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810" yWindow="90" windowWidth="11190" windowHeight="10485"/>
  </bookViews>
  <sheets>
    <sheet name="Fixed(M)" sheetId="1" r:id="rId1"/>
    <sheet name="Wireless(Q)" sheetId="2" r:id="rId2"/>
  </sheets>
  <definedNames>
    <definedName name="_xlnm.Print_Area" localSheetId="0">'Fixed(M)'!$A$1:$EK$46</definedName>
    <definedName name="_xlnm.Print_Area" localSheetId="1">'Wireless(Q)'!$A$1:$AI$44</definedName>
  </definedNames>
  <calcPr calcId="145621"/>
</workbook>
</file>

<file path=xl/calcChain.xml><?xml version="1.0" encoding="utf-8"?>
<calcChain xmlns="http://schemas.openxmlformats.org/spreadsheetml/2006/main">
  <c r="AG17" i="2" l="1"/>
  <c r="AH17" i="2"/>
  <c r="AI17" i="2"/>
  <c r="AF17" i="2" l="1"/>
  <c r="AE17" i="2"/>
  <c r="AD17" i="2"/>
  <c r="AC17" i="2"/>
  <c r="AB17" i="2"/>
  <c r="AA17" i="2"/>
  <c r="Z17" i="2"/>
  <c r="Y17" i="2"/>
  <c r="EB44" i="1"/>
  <c r="EA44" i="1"/>
  <c r="DZ44" i="1"/>
  <c r="DY44" i="1"/>
  <c r="DX44" i="1"/>
  <c r="DW44" i="1"/>
  <c r="DV44" i="1"/>
  <c r="DU44" i="1"/>
  <c r="DT44" i="1"/>
  <c r="DQ44" i="1"/>
  <c r="DP44" i="1"/>
  <c r="DO44" i="1"/>
  <c r="DN44" i="1"/>
  <c r="DM44" i="1"/>
  <c r="DL44" i="1"/>
  <c r="DK44" i="1"/>
  <c r="DF44" i="1"/>
  <c r="DE44" i="1"/>
  <c r="DD44" i="1"/>
  <c r="DC44" i="1"/>
  <c r="DB44" i="1"/>
  <c r="DA44" i="1"/>
  <c r="CZ44" i="1"/>
  <c r="CY44" i="1"/>
</calcChain>
</file>

<file path=xl/sharedStrings.xml><?xml version="1.0" encoding="utf-8"?>
<sst xmlns="http://schemas.openxmlformats.org/spreadsheetml/2006/main" count="195" uniqueCount="119">
  <si>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</si>
  <si>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</si>
  <si>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</si>
  <si>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</si>
  <si>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</si>
  <si>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</si>
  <si>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</si>
  <si>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</si>
  <si>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Domestic Long Distance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</si>
  <si>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</si>
  <si>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</si>
  <si>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</si>
  <si>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</si>
  <si>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</si>
  <si>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</si>
  <si>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</si>
  <si>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</si>
  <si>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</si>
  <si>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</si>
  <si>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</si>
  <si>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</si>
  <si>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</si>
  <si>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Others</t>
    <phoneticPr fontId="5" type="noConversion"/>
  </si>
  <si>
    <t>WiFi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</si>
  <si>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</si>
  <si>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</si>
  <si>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</si>
  <si>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</si>
  <si>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</si>
  <si>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</si>
  <si>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</si>
  <si>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 xml:space="preserve">   - Starting June 2011, WiBro subscribers are classified as part of Wireless.</t>
    <phoneticPr fontId="5" type="noConversion"/>
  </si>
  <si>
    <t xml:space="preserve">   - Starting Jan 2014, the standard of WiFi subscribers is revised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</si>
  <si>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</si>
  <si>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</si>
  <si>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</si>
  <si>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</si>
  <si>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</si>
  <si>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</si>
  <si>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</si>
  <si>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</si>
  <si>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</si>
  <si>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</si>
  <si>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</si>
  <si>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</si>
  <si>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</si>
  <si>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</si>
  <si>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</si>
  <si>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</si>
  <si>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</si>
  <si>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</si>
  <si>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</si>
  <si>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</si>
  <si>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</si>
  <si>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</si>
  <si>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</si>
  <si>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</si>
  <si>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</si>
  <si>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</si>
  <si>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</si>
  <si>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</si>
  <si>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</si>
  <si>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</si>
  <si>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</si>
  <si>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</si>
  <si>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</si>
  <si>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</si>
  <si>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</si>
  <si>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</si>
  <si>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</si>
  <si>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</si>
  <si>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</si>
  <si>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</si>
  <si>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</si>
  <si>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</si>
  <si>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</si>
  <si>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</si>
  <si>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</si>
  <si>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</si>
  <si>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</si>
  <si>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</si>
  <si>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</si>
  <si>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</si>
  <si>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</si>
  <si>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</si>
  <si>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</si>
  <si>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</si>
  <si>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</si>
  <si>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</si>
  <si>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</si>
  <si>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</si>
  <si>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</si>
  <si>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Interconnection</t>
    <phoneticPr fontId="5" type="noConversion"/>
  </si>
  <si>
    <t xml:space="preserve">  ARPU_incl. Activation fee </t>
    <phoneticPr fontId="5" type="noConversion"/>
  </si>
  <si>
    <t>Note 2) ARPU : Calculation based on billed subscribers (Retroactively applied from 1Q14).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</si>
  <si>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</si>
  <si>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</si>
  <si>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</si>
  <si>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</si>
  <si>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olleh WiFi zones</t>
    <phoneticPr fontId="5" type="noConversion"/>
  </si>
  <si>
    <t>※ 미래부(또는 정부) 유료방송 가입자수 및 시장점유율 산정 기준에 따른 가입자 통계와는 차이가 있음. / Olleh TV Subscriber and Market share of IR factsheet is different from that of MSIP's subscriber disclosure.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</si>
  <si>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</si>
  <si>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</si>
  <si>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</si>
  <si>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</si>
  <si>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</si>
  <si>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</si>
  <si>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</si>
  <si>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</si>
  <si>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 xml:space="preserve">※ WiBro(4G) </t>
    <phoneticPr fontId="5" type="noConversion"/>
  </si>
  <si>
    <t xml:space="preserve">   - 2011.6 WiBro 가입자 실적 무선 실적으로 분류</t>
    <phoneticPr fontId="5" type="noConversion"/>
  </si>
  <si>
    <t>※ WiFi</t>
    <phoneticPr fontId="5" type="noConversion"/>
  </si>
  <si>
    <t xml:space="preserve">   - WiFi 가입자 산출기준 변경. 2014년 1월부터 소급적용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</si>
  <si>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</si>
  <si>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</si>
  <si>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</si>
  <si>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</si>
  <si>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</si>
  <si>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KT Monthly Factsheet (August 2016)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</si>
</sst>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  <numFmt numFmtId="187" formatCode="0.000000%"/>
  </numFmts>
  <fonts count="3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212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1" fontId="18" fillId="2" borderId="1" xfId="1" applyNumberFormat="1" applyFont="1" applyFill="1" applyBorder="1" applyAlignment="1">
      <alignment horizontal="left" vertical="center"/>
    </xf>
    <xf numFmtId="181" fontId="18" fillId="2" borderId="1" xfId="1" applyNumberFormat="1" applyFont="1" applyFill="1" applyBorder="1" applyAlignment="1">
      <alignment horizontal="right" vertical="center"/>
    </xf>
    <xf numFmtId="181" fontId="18" fillId="0" borderId="1" xfId="1" applyNumberFormat="1" applyFont="1" applyFill="1" applyBorder="1" applyAlignment="1">
      <alignment horizontal="right" vertical="center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1" fontId="14" fillId="7" borderId="3" xfId="4" applyNumberFormat="1" applyFont="1" applyFill="1" applyBorder="1" applyAlignment="1">
      <alignment horizontal="left" vertical="center"/>
    </xf>
    <xf numFmtId="181" fontId="14" fillId="7" borderId="3" xfId="4" applyNumberFormat="1" applyFont="1" applyFill="1" applyBorder="1" applyAlignment="1">
      <alignment vertical="center"/>
    </xf>
    <xf numFmtId="181" fontId="14" fillId="7" borderId="0" xfId="4" applyNumberFormat="1" applyFont="1" applyFill="1" applyBorder="1" applyAlignment="1">
      <alignment vertical="center"/>
    </xf>
    <xf numFmtId="181" fontId="14" fillId="2" borderId="1" xfId="4" applyNumberFormat="1" applyFont="1" applyFill="1" applyBorder="1" applyAlignment="1">
      <alignment vertical="center"/>
    </xf>
    <xf numFmtId="181" fontId="15" fillId="2" borderId="1" xfId="4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right" vertical="center"/>
    </xf>
    <xf numFmtId="0" fontId="14" fillId="2" borderId="0" xfId="4" applyFont="1" applyFill="1" applyBorder="1" applyAlignment="1">
      <alignment horizontal="left" vertical="center"/>
    </xf>
    <xf numFmtId="179" fontId="18" fillId="2" borderId="0" xfId="3" applyNumberFormat="1" applyFont="1" applyFill="1" applyBorder="1" applyAlignment="1">
      <alignment horizontal="center" vertical="center"/>
    </xf>
    <xf numFmtId="179" fontId="18" fillId="2" borderId="0" xfId="3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18" fillId="0" borderId="0" xfId="4" applyNumberFormat="1" applyFont="1" applyFill="1" applyBorder="1" applyAlignment="1">
      <alignment horizontal="left" vertical="center" indent="1"/>
    </xf>
    <xf numFmtId="180" fontId="18" fillId="0" borderId="0" xfId="2" applyNumberFormat="1" applyFont="1" applyFill="1" applyBorder="1" applyAlignment="1">
      <alignment horizontal="right" vertical="center"/>
    </xf>
    <xf numFmtId="181" fontId="18" fillId="0" borderId="0" xfId="3" applyNumberFormat="1" applyFont="1" applyFill="1" applyBorder="1" applyAlignment="1">
      <alignment horizontal="right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187" fontId="18" fillId="9" borderId="0" xfId="2" applyNumberFormat="1" applyFont="1" applyFill="1" applyBorder="1" applyAlignment="1">
      <alignment horizontal="center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0" fontId="37" fillId="2" borderId="0" xfId="4" applyFont="1" applyFill="1" applyBorder="1" applyAlignment="1">
      <alignment horizontal="left" vertical="center"/>
    </xf>
    <xf numFmtId="180" fontId="37" fillId="2" borderId="0" xfId="4" applyNumberFormat="1" applyFont="1" applyFill="1" applyBorder="1" applyAlignment="1">
      <alignment horizontal="left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140</xdr:col>
      <xdr:colOff>198774</xdr:colOff>
      <xdr:row>0</xdr:row>
      <xdr:rowOff>81643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0360024" y="8164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34</xdr:col>
      <xdr:colOff>495300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34</xdr:col>
      <xdr:colOff>222251</xdr:colOff>
      <xdr:row>0</xdr:row>
      <xdr:rowOff>58964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738101" y="58964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67"/>
  <sheetViews>
    <sheetView showGridLines="0" tabSelected="1" view="pageBreakPreview" zoomScale="60" zoomScaleNormal="30" workbookViewId="0">
      <pane xSplit="121" topLeftCell="DR1" activePane="topRight" state="frozen"/>
      <selection pane="topRight"/>
    </sheetView>
  </sheetViews>
  <sheetFormatPr defaultRowHeight="30.75" customHeight="1" x14ac:dyDescent="0.3"/>
  <cols>
    <col min="1" max="1" width="35.875" style="130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21" width="12.625" style="6" hidden="1" customWidth="1"/>
    <col min="122" max="141" width="12.625" style="6" customWidth="1"/>
    <col min="142" max="142" width="12.375" style="6" bestFit="1" customWidth="1"/>
    <col min="143" max="143" width="17.875" style="6" bestFit="1" customWidth="1"/>
    <col min="144" max="16384" width="9" style="6"/>
  </cols>
  <sheetData>
    <row r="1" spans="1:141" ht="44.25" customHeight="1" x14ac:dyDescent="0.3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41" ht="29.25" customHeight="1" x14ac:dyDescent="0.3">
      <c r="A2" s="6"/>
    </row>
    <row r="3" spans="1:141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</row>
    <row r="4" spans="1:141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6">
        <v>42370</v>
      </c>
      <c r="EE4" s="16">
        <v>42401</v>
      </c>
      <c r="EF4" s="16">
        <v>42430</v>
      </c>
      <c r="EG4" s="16">
        <v>42461</v>
      </c>
      <c r="EH4" s="16">
        <v>42491</v>
      </c>
      <c r="EI4" s="16">
        <v>42522</v>
      </c>
      <c r="EJ4" s="16">
        <v>42552</v>
      </c>
      <c r="EK4" s="16">
        <v>42583</v>
      </c>
    </row>
    <row r="5" spans="1:141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</row>
    <row r="6" spans="1:141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</row>
    <row r="7" spans="1:141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</row>
    <row r="8" spans="1:141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</row>
    <row r="9" spans="1:141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</row>
    <row r="10" spans="1:141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</row>
    <row r="11" spans="1:141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</row>
    <row r="12" spans="1:141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</row>
    <row r="13" spans="1:141" s="17" customFormat="1" ht="29.25" customHeight="1" x14ac:dyDescent="0.3">
      <c r="A13" s="34" t="s">
        <v>8</v>
      </c>
      <c r="B13" s="35">
        <v>18866000</v>
      </c>
      <c r="C13" s="35">
        <v>18861000</v>
      </c>
      <c r="D13" s="35">
        <v>18883000</v>
      </c>
      <c r="E13" s="35">
        <v>18856894</v>
      </c>
      <c r="F13" s="35">
        <v>18818278</v>
      </c>
      <c r="G13" s="35">
        <v>18791320</v>
      </c>
      <c r="H13" s="35">
        <v>18737417</v>
      </c>
      <c r="I13" s="35">
        <v>18730473</v>
      </c>
      <c r="J13" s="35">
        <v>18699454</v>
      </c>
      <c r="K13" s="35">
        <v>18667269</v>
      </c>
      <c r="L13" s="35">
        <v>18623536</v>
      </c>
      <c r="M13" s="35">
        <v>18544371</v>
      </c>
      <c r="N13" s="35">
        <v>18546616</v>
      </c>
      <c r="O13" s="35">
        <v>18559071</v>
      </c>
      <c r="P13" s="35">
        <v>18628965</v>
      </c>
      <c r="Q13" s="35">
        <v>18674691</v>
      </c>
      <c r="R13" s="35">
        <v>18692101</v>
      </c>
      <c r="S13" s="35">
        <v>18733715</v>
      </c>
      <c r="T13" s="35">
        <v>18731293</v>
      </c>
      <c r="U13" s="35">
        <v>18699832</v>
      </c>
      <c r="V13" s="35">
        <v>18718267</v>
      </c>
      <c r="W13" s="35">
        <v>18719381</v>
      </c>
      <c r="X13" s="35">
        <v>18713549</v>
      </c>
      <c r="Y13" s="35">
        <v>18687801</v>
      </c>
      <c r="Z13" s="35">
        <v>18687487</v>
      </c>
      <c r="AA13" s="35">
        <v>18682237</v>
      </c>
      <c r="AB13" s="35">
        <v>18713196</v>
      </c>
      <c r="AC13" s="35">
        <v>18725489</v>
      </c>
      <c r="AD13" s="35">
        <v>18749400</v>
      </c>
      <c r="AE13" s="35">
        <v>18740402</v>
      </c>
      <c r="AF13" s="35">
        <v>18729882</v>
      </c>
      <c r="AG13" s="35">
        <v>18719037</v>
      </c>
      <c r="AH13" s="35">
        <v>18696985</v>
      </c>
      <c r="AI13" s="35">
        <v>18658029</v>
      </c>
      <c r="AJ13" s="35">
        <v>18599368</v>
      </c>
      <c r="AK13" s="35">
        <v>18571171</v>
      </c>
      <c r="AL13" s="35">
        <v>18563059</v>
      </c>
      <c r="AM13" s="35">
        <v>18531559</v>
      </c>
      <c r="AN13" s="35">
        <v>18511992</v>
      </c>
      <c r="AO13" s="35">
        <v>18511992</v>
      </c>
      <c r="AP13" s="35">
        <v>18465598</v>
      </c>
      <c r="AQ13" s="35">
        <v>18440285</v>
      </c>
      <c r="AR13" s="35">
        <v>18396699</v>
      </c>
      <c r="AS13" s="35">
        <v>18371450</v>
      </c>
      <c r="AT13" s="35">
        <v>18321449</v>
      </c>
      <c r="AU13" s="35">
        <v>18272114</v>
      </c>
      <c r="AV13" s="35">
        <v>18197364</v>
      </c>
      <c r="AW13" s="35">
        <v>17633958</v>
      </c>
      <c r="AX13" s="35">
        <v>17527901.66</v>
      </c>
      <c r="AY13" s="35">
        <v>17898826</v>
      </c>
      <c r="AZ13" s="35">
        <v>17263317.206</v>
      </c>
      <c r="BA13" s="35">
        <v>17670186</v>
      </c>
      <c r="BB13" s="35">
        <v>17569005</v>
      </c>
      <c r="BC13" s="35">
        <v>17425472</v>
      </c>
      <c r="BD13" s="35">
        <v>17275462</v>
      </c>
      <c r="BE13" s="35">
        <v>17169899</v>
      </c>
      <c r="BF13" s="35">
        <v>16999984</v>
      </c>
      <c r="BG13" s="35">
        <v>16848000</v>
      </c>
      <c r="BH13" s="35">
        <v>16714004</v>
      </c>
      <c r="BI13" s="35">
        <v>16563333</v>
      </c>
      <c r="BJ13" s="35">
        <v>16436622</v>
      </c>
      <c r="BK13" s="35">
        <v>16346497</v>
      </c>
      <c r="BL13" s="35">
        <v>16217182</v>
      </c>
      <c r="BM13" s="35">
        <v>16090022</v>
      </c>
      <c r="BN13" s="35">
        <v>16043633</v>
      </c>
      <c r="BO13" s="35">
        <v>15906215</v>
      </c>
      <c r="BP13" s="35">
        <v>15807485</v>
      </c>
      <c r="BQ13" s="35">
        <v>15723659</v>
      </c>
      <c r="BR13" s="35">
        <v>15651043</v>
      </c>
      <c r="BS13" s="35">
        <v>15582232</v>
      </c>
      <c r="BT13" s="35">
        <v>15482679</v>
      </c>
      <c r="BU13" s="35">
        <v>15390880</v>
      </c>
      <c r="BV13" s="35">
        <v>15323735</v>
      </c>
      <c r="BW13" s="35">
        <v>15288912</v>
      </c>
      <c r="BX13" s="35">
        <v>15242567</v>
      </c>
      <c r="BY13" s="35">
        <v>15176587</v>
      </c>
      <c r="BZ13" s="35">
        <v>15117576</v>
      </c>
      <c r="CA13" s="35">
        <v>15060295</v>
      </c>
      <c r="CB13" s="35">
        <v>15011495</v>
      </c>
      <c r="CC13" s="35">
        <v>14966289</v>
      </c>
      <c r="CD13" s="35">
        <v>14925905</v>
      </c>
      <c r="CE13" s="35">
        <v>14897136</v>
      </c>
      <c r="CF13" s="35">
        <v>14683437</v>
      </c>
      <c r="CG13" s="35">
        <v>14638500</v>
      </c>
      <c r="CH13" s="35">
        <v>14595641</v>
      </c>
      <c r="CI13" s="35">
        <v>14560813</v>
      </c>
      <c r="CJ13" s="35">
        <v>14529670</v>
      </c>
      <c r="CK13" s="35">
        <v>14464511</v>
      </c>
      <c r="CL13" s="35">
        <v>14427832</v>
      </c>
      <c r="CM13" s="35">
        <v>14386004</v>
      </c>
      <c r="CN13" s="35">
        <v>14341731</v>
      </c>
      <c r="CO13" s="35">
        <v>14295324</v>
      </c>
      <c r="CP13" s="35">
        <v>14263968</v>
      </c>
      <c r="CQ13" s="35">
        <v>14209460</v>
      </c>
      <c r="CR13" s="35">
        <v>14166169</v>
      </c>
      <c r="CS13" s="36">
        <v>14114929</v>
      </c>
      <c r="CT13" s="36">
        <v>14053656</v>
      </c>
      <c r="CU13" s="36">
        <v>13993796</v>
      </c>
      <c r="CV13" s="36">
        <v>13937581</v>
      </c>
      <c r="CW13" s="36">
        <v>13874894</v>
      </c>
      <c r="CX13" s="36">
        <v>13818929</v>
      </c>
      <c r="CY13" s="36">
        <v>13761765</v>
      </c>
      <c r="CZ13" s="36">
        <v>13694465</v>
      </c>
      <c r="DA13" s="36">
        <v>13526796</v>
      </c>
      <c r="DB13" s="36">
        <v>13472140</v>
      </c>
      <c r="DC13" s="36">
        <v>13411548</v>
      </c>
      <c r="DD13" s="36">
        <v>13469828</v>
      </c>
      <c r="DE13" s="36">
        <v>13398405</v>
      </c>
      <c r="DF13" s="36">
        <v>13334968</v>
      </c>
      <c r="DG13" s="36">
        <v>13275725</v>
      </c>
      <c r="DH13" s="36">
        <v>13209121</v>
      </c>
      <c r="DI13" s="36">
        <v>13157831</v>
      </c>
      <c r="DJ13" s="36">
        <v>13116788</v>
      </c>
      <c r="DK13" s="36">
        <v>13034244</v>
      </c>
      <c r="DL13" s="36">
        <v>12971841</v>
      </c>
      <c r="DM13" s="36">
        <v>12925302</v>
      </c>
      <c r="DN13" s="36">
        <v>12871648</v>
      </c>
      <c r="DO13" s="36">
        <v>12820200</v>
      </c>
      <c r="DP13" s="36">
        <v>12762669</v>
      </c>
      <c r="DQ13" s="36">
        <v>12691588</v>
      </c>
      <c r="DR13" s="36">
        <v>12639224</v>
      </c>
      <c r="DS13" s="36">
        <v>12605553</v>
      </c>
      <c r="DT13" s="36">
        <v>12560575</v>
      </c>
      <c r="DU13" s="36">
        <v>12514463</v>
      </c>
      <c r="DV13" s="36">
        <v>12480047</v>
      </c>
      <c r="DW13" s="36">
        <v>12427757</v>
      </c>
      <c r="DX13" s="36">
        <v>12371312</v>
      </c>
      <c r="DY13" s="36">
        <v>12326626</v>
      </c>
      <c r="DZ13" s="36">
        <v>12286867</v>
      </c>
      <c r="EA13" s="36">
        <v>12248929</v>
      </c>
      <c r="EB13" s="36">
        <v>12202572</v>
      </c>
      <c r="EC13" s="36">
        <v>12148099</v>
      </c>
      <c r="ED13" s="36">
        <v>12082841</v>
      </c>
      <c r="EE13" s="36">
        <v>12035351</v>
      </c>
      <c r="EF13" s="36">
        <v>11986020</v>
      </c>
      <c r="EG13" s="36">
        <v>11936805</v>
      </c>
      <c r="EH13" s="36">
        <v>11885437</v>
      </c>
      <c r="EI13" s="36">
        <v>11834703</v>
      </c>
      <c r="EJ13" s="36">
        <v>11786027</v>
      </c>
      <c r="EK13" s="36">
        <v>11734883</v>
      </c>
    </row>
    <row r="14" spans="1:141" s="17" customFormat="1" ht="24.75" customHeight="1" x14ac:dyDescent="0.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40"/>
      <c r="BH14" s="40"/>
      <c r="BI14" s="40"/>
      <c r="BJ14" s="40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</row>
    <row r="15" spans="1:141" s="42" customFormat="1" ht="24.75" customHeight="1" x14ac:dyDescent="0.3">
      <c r="A15" s="41"/>
      <c r="AL15" s="8">
        <v>2008</v>
      </c>
      <c r="AR15" s="9"/>
      <c r="AX15" s="8">
        <v>2009</v>
      </c>
      <c r="BD15" s="9"/>
      <c r="BJ15" s="8">
        <v>2010</v>
      </c>
      <c r="BK15" s="43"/>
      <c r="BL15" s="43"/>
      <c r="BM15" s="43"/>
      <c r="BN15" s="43"/>
      <c r="BO15" s="43"/>
      <c r="BP15" s="6"/>
      <c r="BQ15" s="43"/>
      <c r="BR15" s="43"/>
      <c r="BS15" s="43"/>
      <c r="BT15" s="43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</row>
    <row r="16" spans="1:141" s="44" customFormat="1" ht="29.25" customHeight="1" x14ac:dyDescent="0.3">
      <c r="A16" s="13" t="s">
        <v>9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6">
        <v>42370</v>
      </c>
      <c r="EE16" s="16">
        <v>42401</v>
      </c>
      <c r="EF16" s="16">
        <v>42430</v>
      </c>
      <c r="EG16" s="16">
        <v>42461</v>
      </c>
      <c r="EH16" s="16">
        <v>42491</v>
      </c>
      <c r="EI16" s="16">
        <v>42522</v>
      </c>
      <c r="EJ16" s="16">
        <v>42552</v>
      </c>
      <c r="EK16" s="16">
        <v>42583</v>
      </c>
    </row>
    <row r="17" spans="1:141" s="46" customFormat="1" ht="29.25" customHeight="1" x14ac:dyDescent="0.3">
      <c r="A17" s="45" t="s">
        <v>9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</row>
    <row r="18" spans="1:141" s="46" customFormat="1" ht="29.25" customHeight="1" x14ac:dyDescent="0.3">
      <c r="A18" s="47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</row>
    <row r="19" spans="1:141" s="50" customFormat="1" ht="29.25" hidden="1" customHeight="1" x14ac:dyDescent="0.3">
      <c r="A19" s="48" t="s">
        <v>10</v>
      </c>
      <c r="B19" s="49">
        <v>4876437</v>
      </c>
      <c r="C19" s="49">
        <v>4868216</v>
      </c>
      <c r="D19" s="49">
        <v>4862075</v>
      </c>
      <c r="E19" s="49">
        <v>4854558</v>
      </c>
      <c r="F19" s="49">
        <v>4831436</v>
      </c>
      <c r="G19" s="49">
        <v>4821986</v>
      </c>
      <c r="H19" s="49">
        <v>4823780</v>
      </c>
      <c r="I19" s="49">
        <v>4837908</v>
      </c>
      <c r="J19" s="49">
        <v>4837269</v>
      </c>
      <c r="K19" s="49">
        <v>4820625</v>
      </c>
      <c r="L19" s="49">
        <v>4810788</v>
      </c>
      <c r="M19" s="49">
        <v>4788942</v>
      </c>
      <c r="N19" s="49">
        <v>4787601</v>
      </c>
      <c r="O19" s="49">
        <v>4778547</v>
      </c>
      <c r="P19" s="49">
        <v>4724684</v>
      </c>
      <c r="Q19" s="49">
        <v>4728481</v>
      </c>
      <c r="R19" s="49">
        <v>4740265</v>
      </c>
      <c r="S19" s="49">
        <v>4772280</v>
      </c>
      <c r="T19" s="49">
        <v>4778874</v>
      </c>
      <c r="U19" s="49">
        <v>4784952</v>
      </c>
      <c r="V19" s="49">
        <v>4834732</v>
      </c>
      <c r="W19" s="49">
        <v>4872555</v>
      </c>
      <c r="X19" s="49">
        <v>4900224</v>
      </c>
      <c r="Y19" s="49">
        <v>4937187</v>
      </c>
      <c r="Z19" s="49">
        <v>5585070</v>
      </c>
      <c r="AA19" s="49">
        <v>5629537</v>
      </c>
      <c r="AB19" s="49">
        <v>5686454</v>
      </c>
      <c r="AC19" s="49">
        <v>5682919</v>
      </c>
      <c r="AD19" s="49">
        <v>5699599</v>
      </c>
      <c r="AE19" s="49">
        <v>5694737</v>
      </c>
      <c r="AF19" s="49">
        <v>5671453</v>
      </c>
      <c r="AG19" s="49">
        <v>5653174</v>
      </c>
      <c r="AH19" s="49">
        <v>5639452</v>
      </c>
      <c r="AI19" s="49">
        <v>5618010</v>
      </c>
      <c r="AJ19" s="49">
        <v>5592588</v>
      </c>
      <c r="AK19" s="49">
        <v>5573114</v>
      </c>
      <c r="AL19" s="49">
        <v>5554600</v>
      </c>
      <c r="AM19" s="49">
        <v>5565964</v>
      </c>
      <c r="AN19" s="49">
        <v>5599970</v>
      </c>
      <c r="AO19" s="49">
        <v>5600582</v>
      </c>
      <c r="AP19" s="49">
        <v>5613366</v>
      </c>
      <c r="AQ19" s="49">
        <v>5596844</v>
      </c>
      <c r="AR19" s="49">
        <v>5629828</v>
      </c>
      <c r="AS19" s="49">
        <v>5662337</v>
      </c>
      <c r="AT19" s="49">
        <v>5611047</v>
      </c>
      <c r="AU19" s="49">
        <v>5624066</v>
      </c>
      <c r="AV19" s="49">
        <v>5600155</v>
      </c>
      <c r="AW19" s="49">
        <v>5552393</v>
      </c>
      <c r="AX19" s="49">
        <v>5518916</v>
      </c>
      <c r="AY19" s="49">
        <v>5512777</v>
      </c>
      <c r="AZ19" s="49">
        <v>5533193</v>
      </c>
      <c r="BA19" s="49">
        <v>5566298</v>
      </c>
      <c r="BB19" s="49">
        <v>5565764</v>
      </c>
      <c r="BC19" s="49">
        <v>5562167</v>
      </c>
      <c r="BD19" s="49">
        <v>5580583</v>
      </c>
      <c r="BE19" s="49">
        <v>5587144</v>
      </c>
      <c r="BF19" s="49">
        <v>5627214</v>
      </c>
      <c r="BG19" s="49">
        <v>5669424</v>
      </c>
      <c r="BH19" s="49">
        <v>5741276</v>
      </c>
      <c r="BI19" s="49">
        <v>5762476</v>
      </c>
      <c r="BJ19" s="49">
        <v>5776365</v>
      </c>
      <c r="BK19" s="49">
        <v>5821668</v>
      </c>
      <c r="BL19" s="49">
        <v>5895038</v>
      </c>
      <c r="BM19" s="49">
        <v>5940203</v>
      </c>
      <c r="BN19" s="49">
        <v>5982488</v>
      </c>
      <c r="BO19" s="49">
        <v>6014640</v>
      </c>
      <c r="BP19" s="49">
        <v>6056154</v>
      </c>
      <c r="BQ19" s="49">
        <v>6103488</v>
      </c>
      <c r="BR19" s="49">
        <v>6158367</v>
      </c>
      <c r="BS19" s="49">
        <v>6211503</v>
      </c>
      <c r="BT19" s="49">
        <v>6255845</v>
      </c>
      <c r="BU19" s="49">
        <v>6286709</v>
      </c>
      <c r="BV19" s="49">
        <v>6325407</v>
      </c>
      <c r="BW19" s="49">
        <v>6372847</v>
      </c>
      <c r="BX19" s="49">
        <v>6436728</v>
      </c>
      <c r="BY19" s="49">
        <v>6486004</v>
      </c>
      <c r="BZ19" s="49">
        <v>6509264</v>
      </c>
      <c r="CA19" s="49">
        <v>6546514</v>
      </c>
      <c r="CB19" s="49">
        <v>6582697</v>
      </c>
      <c r="CC19" s="49">
        <v>6621618</v>
      </c>
      <c r="CD19" s="49">
        <v>6665455</v>
      </c>
      <c r="CE19" s="49">
        <v>6708038</v>
      </c>
      <c r="CF19" s="49">
        <v>6748153</v>
      </c>
      <c r="CG19" s="49">
        <v>6786677</v>
      </c>
      <c r="CH19" s="49">
        <v>6809185</v>
      </c>
      <c r="CI19" s="49">
        <v>6842053</v>
      </c>
      <c r="CJ19" s="49">
        <v>6876224</v>
      </c>
      <c r="CK19" s="49">
        <v>6889842</v>
      </c>
      <c r="CL19" s="49">
        <v>6905673</v>
      </c>
      <c r="CM19" s="49">
        <v>6919201</v>
      </c>
      <c r="CN19" s="49">
        <v>6926623</v>
      </c>
      <c r="CO19" s="49">
        <v>6941065</v>
      </c>
      <c r="CP19" s="49">
        <v>6944042</v>
      </c>
      <c r="CQ19" s="49">
        <v>6944897</v>
      </c>
      <c r="CR19" s="49">
        <v>6947645</v>
      </c>
      <c r="CS19" s="49">
        <v>6940795</v>
      </c>
      <c r="CT19" s="49">
        <v>6941083</v>
      </c>
      <c r="CU19" s="49">
        <v>6934192</v>
      </c>
      <c r="CV19" s="49">
        <v>6928346</v>
      </c>
      <c r="CW19" s="49">
        <v>6914711</v>
      </c>
      <c r="CX19" s="49">
        <v>6903918</v>
      </c>
      <c r="CY19" s="49">
        <v>6906018</v>
      </c>
      <c r="CZ19" s="49">
        <v>6882501</v>
      </c>
      <c r="DA19" s="49">
        <v>6815467</v>
      </c>
      <c r="DB19" s="49">
        <v>6892779</v>
      </c>
      <c r="DC19" s="49">
        <v>6900664</v>
      </c>
      <c r="DD19" s="49">
        <v>6838915</v>
      </c>
      <c r="DE19" s="49">
        <v>6899113</v>
      </c>
      <c r="DF19" s="49">
        <v>6884214</v>
      </c>
      <c r="DG19" s="49">
        <v>6876219</v>
      </c>
      <c r="DH19" s="49">
        <v>6881640</v>
      </c>
      <c r="DI19" s="49">
        <v>6861461</v>
      </c>
      <c r="DJ19" s="49">
        <v>6872357</v>
      </c>
      <c r="DK19" s="49">
        <v>6884441</v>
      </c>
      <c r="DL19" s="49">
        <v>6896204</v>
      </c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</row>
    <row r="20" spans="1:141" s="50" customFormat="1" ht="29.25" hidden="1" customHeight="1" x14ac:dyDescent="0.3">
      <c r="A20" s="48" t="s">
        <v>11</v>
      </c>
      <c r="B20" s="49">
        <v>668649</v>
      </c>
      <c r="C20" s="49">
        <v>677503</v>
      </c>
      <c r="D20" s="49">
        <v>688997</v>
      </c>
      <c r="E20" s="49">
        <v>695798</v>
      </c>
      <c r="F20" s="49">
        <v>712800</v>
      </c>
      <c r="G20" s="49">
        <v>717099</v>
      </c>
      <c r="H20" s="49">
        <v>718277</v>
      </c>
      <c r="I20" s="49">
        <v>721371</v>
      </c>
      <c r="J20" s="49">
        <v>724032</v>
      </c>
      <c r="K20" s="49">
        <v>722302</v>
      </c>
      <c r="L20" s="49">
        <v>721421</v>
      </c>
      <c r="M20" s="49">
        <v>717866</v>
      </c>
      <c r="N20" s="49">
        <v>717065</v>
      </c>
      <c r="O20" s="49">
        <v>710695</v>
      </c>
      <c r="P20" s="49">
        <v>689726</v>
      </c>
      <c r="Q20" s="49">
        <v>681112</v>
      </c>
      <c r="R20" s="49">
        <v>675793</v>
      </c>
      <c r="S20" s="49">
        <v>671292</v>
      </c>
      <c r="T20" s="49">
        <v>670890</v>
      </c>
      <c r="U20" s="49">
        <v>663125</v>
      </c>
      <c r="V20" s="49">
        <v>646839</v>
      </c>
      <c r="W20" s="49">
        <v>635543</v>
      </c>
      <c r="X20" s="49">
        <v>622950</v>
      </c>
      <c r="Y20" s="49">
        <v>604485</v>
      </c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>
        <v>6903918</v>
      </c>
      <c r="CY20" s="49">
        <v>1132255</v>
      </c>
      <c r="CZ20" s="49">
        <v>1151965</v>
      </c>
      <c r="DA20" s="49">
        <v>1224531</v>
      </c>
      <c r="DB20" s="49">
        <v>1148565</v>
      </c>
      <c r="DC20" s="49"/>
      <c r="DD20" s="49"/>
      <c r="DE20" s="49"/>
      <c r="DF20" s="49"/>
      <c r="DG20" s="49"/>
      <c r="DH20" s="49">
        <v>1155259</v>
      </c>
      <c r="DI20" s="49">
        <v>1154082</v>
      </c>
      <c r="DJ20" s="49">
        <v>1154083</v>
      </c>
      <c r="DK20" s="49">
        <v>1154324</v>
      </c>
      <c r="DL20" s="51">
        <v>1151373</v>
      </c>
      <c r="DM20" s="51">
        <v>1144629</v>
      </c>
      <c r="DN20" s="51"/>
      <c r="DO20" s="51"/>
      <c r="DP20" s="51"/>
      <c r="DQ20" s="51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51"/>
      <c r="EE20" s="51"/>
      <c r="EF20" s="51"/>
      <c r="EG20" s="51"/>
      <c r="EH20" s="51"/>
      <c r="EI20" s="51"/>
      <c r="EJ20" s="51"/>
      <c r="EK20" s="51"/>
    </row>
    <row r="21" spans="1:141" s="50" customFormat="1" ht="29.25" hidden="1" customHeight="1" x14ac:dyDescent="0.3">
      <c r="A21" s="48" t="s">
        <v>12</v>
      </c>
      <c r="B21" s="49">
        <v>3144</v>
      </c>
      <c r="C21" s="49">
        <v>4111</v>
      </c>
      <c r="D21" s="49">
        <v>4970</v>
      </c>
      <c r="E21" s="49">
        <v>5267</v>
      </c>
      <c r="F21" s="49">
        <v>5616</v>
      </c>
      <c r="G21" s="49">
        <v>5973</v>
      </c>
      <c r="H21" s="49">
        <v>6379</v>
      </c>
      <c r="I21" s="49">
        <v>6804</v>
      </c>
      <c r="J21" s="49">
        <v>7206</v>
      </c>
      <c r="K21" s="49">
        <v>7518</v>
      </c>
      <c r="L21" s="49">
        <v>7844</v>
      </c>
      <c r="M21" s="49">
        <v>8196</v>
      </c>
      <c r="N21" s="49">
        <v>8553</v>
      </c>
      <c r="O21" s="49">
        <v>8866</v>
      </c>
      <c r="P21" s="49">
        <v>8992</v>
      </c>
      <c r="Q21" s="49">
        <v>9035</v>
      </c>
      <c r="R21" s="49">
        <v>9069</v>
      </c>
      <c r="S21" s="49">
        <v>9035</v>
      </c>
      <c r="T21" s="49">
        <v>9011</v>
      </c>
      <c r="U21" s="49">
        <v>8900</v>
      </c>
      <c r="V21" s="49">
        <v>8730</v>
      </c>
      <c r="W21" s="49">
        <v>8529</v>
      </c>
      <c r="X21" s="49">
        <v>8352</v>
      </c>
      <c r="Y21" s="49">
        <v>8204</v>
      </c>
      <c r="Z21" s="49">
        <v>797376</v>
      </c>
      <c r="AA21" s="49">
        <v>783858</v>
      </c>
      <c r="AB21" s="49">
        <v>763275</v>
      </c>
      <c r="AC21" s="49">
        <v>809402</v>
      </c>
      <c r="AD21" s="49">
        <v>815409</v>
      </c>
      <c r="AE21" s="49">
        <v>827894</v>
      </c>
      <c r="AF21" s="49">
        <v>841395</v>
      </c>
      <c r="AG21" s="49">
        <v>858605</v>
      </c>
      <c r="AH21" s="49">
        <v>882628</v>
      </c>
      <c r="AI21" s="49">
        <v>902012</v>
      </c>
      <c r="AJ21" s="49">
        <v>920705</v>
      </c>
      <c r="AK21" s="49">
        <v>942427</v>
      </c>
      <c r="AL21" s="49">
        <v>964221</v>
      </c>
      <c r="AM21" s="49">
        <v>989198</v>
      </c>
      <c r="AN21" s="49">
        <v>1027205</v>
      </c>
      <c r="AO21" s="49">
        <v>1047465</v>
      </c>
      <c r="AP21" s="49">
        <v>1070864</v>
      </c>
      <c r="AQ21" s="49">
        <v>1090303</v>
      </c>
      <c r="AR21" s="49">
        <v>1112118</v>
      </c>
      <c r="AS21" s="49">
        <v>1148770</v>
      </c>
      <c r="AT21" s="49">
        <v>1142980</v>
      </c>
      <c r="AU21" s="49">
        <v>1169090</v>
      </c>
      <c r="AV21" s="49">
        <v>1171219</v>
      </c>
      <c r="AW21" s="49">
        <v>1159145</v>
      </c>
      <c r="AX21" s="49">
        <v>1165063</v>
      </c>
      <c r="AY21" s="49">
        <v>1170016</v>
      </c>
      <c r="AZ21" s="49">
        <v>1181212</v>
      </c>
      <c r="BA21" s="49">
        <v>1190189</v>
      </c>
      <c r="BB21" s="49">
        <v>1183598</v>
      </c>
      <c r="BC21" s="49">
        <v>1175927</v>
      </c>
      <c r="BD21" s="49">
        <v>1176118</v>
      </c>
      <c r="BE21" s="49">
        <v>1182436</v>
      </c>
      <c r="BF21" s="49">
        <v>1190866</v>
      </c>
      <c r="BG21" s="49">
        <v>1192732</v>
      </c>
      <c r="BH21" s="49">
        <v>1197297</v>
      </c>
      <c r="BI21" s="49">
        <v>1190357</v>
      </c>
      <c r="BJ21" s="49">
        <v>1190537</v>
      </c>
      <c r="BK21" s="49">
        <v>1192432</v>
      </c>
      <c r="BL21" s="49">
        <v>1195184</v>
      </c>
      <c r="BM21" s="49">
        <v>1190755</v>
      </c>
      <c r="BN21" s="49">
        <v>1183249</v>
      </c>
      <c r="BO21" s="49">
        <v>1174000</v>
      </c>
      <c r="BP21" s="49">
        <v>1166215</v>
      </c>
      <c r="BQ21" s="49">
        <v>1160052</v>
      </c>
      <c r="BR21" s="49">
        <v>1156401</v>
      </c>
      <c r="BS21" s="49">
        <v>1151547</v>
      </c>
      <c r="BT21" s="49">
        <v>1145753</v>
      </c>
      <c r="BU21" s="49">
        <v>1136898</v>
      </c>
      <c r="BV21" s="49">
        <v>1130854</v>
      </c>
      <c r="BW21" s="49">
        <v>1124743</v>
      </c>
      <c r="BX21" s="49">
        <v>1115452</v>
      </c>
      <c r="BY21" s="49">
        <v>1101672</v>
      </c>
      <c r="BZ21" s="49">
        <v>1092533</v>
      </c>
      <c r="CA21" s="49">
        <v>1082634</v>
      </c>
      <c r="CB21" s="49">
        <v>1074737</v>
      </c>
      <c r="CC21" s="49">
        <v>1066659</v>
      </c>
      <c r="CD21" s="49">
        <v>1058977</v>
      </c>
      <c r="CE21" s="49">
        <v>1051170</v>
      </c>
      <c r="CF21" s="49">
        <v>1043631</v>
      </c>
      <c r="CG21" s="49">
        <v>1036167</v>
      </c>
      <c r="CH21" s="49">
        <v>1036735</v>
      </c>
      <c r="CI21" s="49">
        <v>1038989</v>
      </c>
      <c r="CJ21" s="49">
        <v>1045316</v>
      </c>
      <c r="CK21" s="49">
        <v>1046025</v>
      </c>
      <c r="CL21" s="49">
        <v>1039159</v>
      </c>
      <c r="CM21" s="49">
        <v>1047480</v>
      </c>
      <c r="CN21" s="49">
        <v>1053694</v>
      </c>
      <c r="CO21" s="49">
        <v>1060234</v>
      </c>
      <c r="CP21" s="49">
        <v>1065373</v>
      </c>
      <c r="CQ21" s="49">
        <v>1072277</v>
      </c>
      <c r="CR21" s="49">
        <v>1084050</v>
      </c>
      <c r="CS21" s="49">
        <v>1095844</v>
      </c>
      <c r="CT21" s="49">
        <v>1105793</v>
      </c>
      <c r="CU21" s="49">
        <v>1113067</v>
      </c>
      <c r="CV21" s="49">
        <v>1121577</v>
      </c>
      <c r="CW21" s="49">
        <v>1124659</v>
      </c>
      <c r="CX21" s="49">
        <v>1127252</v>
      </c>
      <c r="CY21" s="49">
        <v>1132255</v>
      </c>
      <c r="CZ21" s="49">
        <v>1151965</v>
      </c>
      <c r="DA21" s="49">
        <v>1224531</v>
      </c>
      <c r="DB21" s="49">
        <v>1148565</v>
      </c>
      <c r="DC21" s="49">
        <v>1152550</v>
      </c>
      <c r="DD21" s="49">
        <v>1157905</v>
      </c>
      <c r="DE21" s="49">
        <v>1167515</v>
      </c>
      <c r="DF21" s="49">
        <v>1156526</v>
      </c>
      <c r="DG21" s="49">
        <v>1155957</v>
      </c>
      <c r="DH21" s="49">
        <v>1155259</v>
      </c>
      <c r="DI21" s="49">
        <v>1154082</v>
      </c>
      <c r="DJ21" s="49">
        <v>1154306</v>
      </c>
      <c r="DK21" s="49">
        <v>1154324</v>
      </c>
      <c r="DL21" s="49">
        <v>1151373</v>
      </c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</row>
    <row r="22" spans="1:141" s="57" customFormat="1" ht="29.25" hidden="1" customHeight="1" x14ac:dyDescent="0.3">
      <c r="A22" s="52" t="s">
        <v>13</v>
      </c>
      <c r="B22" s="53">
        <v>539363</v>
      </c>
      <c r="C22" s="53">
        <v>557441</v>
      </c>
      <c r="D22" s="53">
        <v>577251</v>
      </c>
      <c r="E22" s="53">
        <v>592298</v>
      </c>
      <c r="F22" s="53">
        <v>608706</v>
      </c>
      <c r="G22" s="53">
        <v>627417</v>
      </c>
      <c r="H22" s="53">
        <v>644839</v>
      </c>
      <c r="I22" s="53">
        <v>662676</v>
      </c>
      <c r="J22" s="53">
        <v>675533</v>
      </c>
      <c r="K22" s="53">
        <v>689740</v>
      </c>
      <c r="L22" s="53">
        <v>705242</v>
      </c>
      <c r="M22" s="53">
        <v>726785</v>
      </c>
      <c r="N22" s="53">
        <v>756063</v>
      </c>
      <c r="O22" s="53">
        <v>789458</v>
      </c>
      <c r="P22" s="53">
        <v>817203</v>
      </c>
      <c r="Q22" s="53">
        <v>841821</v>
      </c>
      <c r="R22" s="53">
        <v>860346</v>
      </c>
      <c r="S22" s="53">
        <v>867653</v>
      </c>
      <c r="T22" s="53">
        <v>861115</v>
      </c>
      <c r="U22" s="53">
        <v>849580</v>
      </c>
      <c r="V22" s="53">
        <v>842818</v>
      </c>
      <c r="W22" s="53">
        <v>831991</v>
      </c>
      <c r="X22" s="53">
        <v>816199</v>
      </c>
      <c r="Y22" s="53">
        <v>802666</v>
      </c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6"/>
      <c r="DA22" s="55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</row>
    <row r="23" spans="1:141" s="57" customFormat="1" ht="29.25" customHeight="1" x14ac:dyDescent="0.3">
      <c r="A23" s="58" t="s">
        <v>14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  <c r="DA23" s="62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</row>
    <row r="24" spans="1:141" s="57" customFormat="1" ht="29.25" customHeight="1" x14ac:dyDescent="0.3">
      <c r="A24" s="64" t="s">
        <v>15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7"/>
      <c r="BE24" s="67"/>
      <c r="BF24" s="67"/>
      <c r="BG24" s="67"/>
      <c r="BH24" s="67"/>
      <c r="BI24" s="67"/>
      <c r="BJ24" s="68">
        <v>0.42474098939888399</v>
      </c>
      <c r="BK24" s="68">
        <v>0.42578328073542054</v>
      </c>
      <c r="BL24" s="68">
        <v>0.42679990753961472</v>
      </c>
      <c r="BM24" s="68">
        <v>0.42774203242544839</v>
      </c>
      <c r="BN24" s="68">
        <v>0.43019807127789966</v>
      </c>
      <c r="BO24" s="68">
        <v>0.42815144085922369</v>
      </c>
      <c r="BP24" s="68">
        <v>0.4288325964522714</v>
      </c>
      <c r="BQ24" s="68">
        <v>0.42961551412423832</v>
      </c>
      <c r="BR24" s="68">
        <v>0.4309070855330272</v>
      </c>
      <c r="BS24" s="68">
        <v>0.43050446325964914</v>
      </c>
      <c r="BT24" s="68">
        <v>0.4314783401207517</v>
      </c>
      <c r="BU24" s="68">
        <v>0.43112079919532248</v>
      </c>
      <c r="BV24" s="68">
        <v>0.43203282639238794</v>
      </c>
      <c r="BW24" s="68">
        <v>0.43298035439110438</v>
      </c>
      <c r="BX24" s="68">
        <v>0.43405758068784073</v>
      </c>
      <c r="BY24" s="68">
        <v>0.43347227547071143</v>
      </c>
      <c r="BZ24" s="68">
        <v>0.43318646844788827</v>
      </c>
      <c r="CA24" s="68">
        <v>0.43334822862052469</v>
      </c>
      <c r="CB24" s="68">
        <v>0.43409155122160054</v>
      </c>
      <c r="CC24" s="68">
        <v>0.43468025268667437</v>
      </c>
      <c r="CD24" s="68">
        <v>0.43506134759756104</v>
      </c>
      <c r="CE24" s="68">
        <v>0.43615716211682831</v>
      </c>
      <c r="CF24" s="68">
        <v>0.4370349609055445</v>
      </c>
      <c r="CG24" s="68">
        <v>0.43802090559870527</v>
      </c>
      <c r="CH24" s="68">
        <v>0.43897762713108579</v>
      </c>
      <c r="CI24" s="69">
        <v>0.43979181177970594</v>
      </c>
      <c r="CJ24" s="68">
        <v>0.44098457611138797</v>
      </c>
      <c r="CK24" s="68">
        <v>0.44124604277233709</v>
      </c>
      <c r="CL24" s="68">
        <v>0.44217163233961992</v>
      </c>
      <c r="CM24" s="68">
        <v>0.44232931828587224</v>
      </c>
      <c r="CN24" s="68">
        <v>0.44252254224536114</v>
      </c>
      <c r="CO24" s="68">
        <v>0.44183167366883785</v>
      </c>
      <c r="CP24" s="68">
        <v>0.44157256744245588</v>
      </c>
      <c r="CQ24" s="68">
        <v>0.44138431236272074</v>
      </c>
      <c r="CR24" s="68">
        <v>0.44132602626758843</v>
      </c>
      <c r="CS24" s="69">
        <v>0.44111275402240507</v>
      </c>
      <c r="CT24" s="69">
        <v>0.43944694255826067</v>
      </c>
      <c r="CU24" s="69">
        <v>0.43839219023484088</v>
      </c>
      <c r="CV24" s="69">
        <v>0.43711602315966014</v>
      </c>
      <c r="CW24" s="69">
        <v>0.43574541476159906</v>
      </c>
      <c r="CX24" s="69">
        <v>0.43440515528641382</v>
      </c>
      <c r="CY24" s="69">
        <v>0.43379169159210623</v>
      </c>
      <c r="CZ24" s="69">
        <v>0.43316352122863366</v>
      </c>
      <c r="DA24" s="69">
        <v>0.43213523987435398</v>
      </c>
      <c r="DB24" s="69">
        <v>0.4313285272914521</v>
      </c>
      <c r="DC24" s="69">
        <v>0.43076271162869018</v>
      </c>
      <c r="DD24" s="69">
        <v>0.43045593382409425</v>
      </c>
      <c r="DE24" s="69">
        <v>0.43050684311696846</v>
      </c>
      <c r="DF24" s="69">
        <v>0.42854734593981564</v>
      </c>
      <c r="DG24" s="69">
        <v>0.42754418613861006</v>
      </c>
      <c r="DH24" s="69">
        <v>0.42630290695346068</v>
      </c>
      <c r="DI24" s="69">
        <v>0.42485400906216081</v>
      </c>
      <c r="DJ24" s="69">
        <v>0.42436808294468303</v>
      </c>
      <c r="DK24" s="69">
        <v>0.42396852362292037</v>
      </c>
      <c r="DL24" s="69">
        <v>0.4236080968563869</v>
      </c>
      <c r="DM24" s="69">
        <v>0.42372230729342963</v>
      </c>
      <c r="DN24" s="69">
        <v>0.42407558557018921</v>
      </c>
      <c r="DO24" s="69">
        <v>0.42446386399391822</v>
      </c>
      <c r="DP24" s="69">
        <v>0.42454270013877043</v>
      </c>
      <c r="DQ24" s="69">
        <v>0.42343403024355414</v>
      </c>
      <c r="DR24" s="69">
        <v>0.42304057364630526</v>
      </c>
      <c r="DS24" s="69">
        <v>0.42278720490262078</v>
      </c>
      <c r="DT24" s="69">
        <v>0.42243708070830205</v>
      </c>
      <c r="DU24" s="69">
        <v>0.42266904450452381</v>
      </c>
      <c r="DV24" s="69">
        <v>0.42252520148108702</v>
      </c>
      <c r="DW24" s="69">
        <v>0.42267794803606706</v>
      </c>
      <c r="DX24" s="69">
        <v>0.42261591781204177</v>
      </c>
      <c r="DY24" s="69">
        <v>0.41575216012528071</v>
      </c>
      <c r="DZ24" s="69">
        <v>0.41572100151773533</v>
      </c>
      <c r="EA24" s="69">
        <v>0.41608277182620962</v>
      </c>
      <c r="EB24" s="69">
        <v>0.41596055208146349</v>
      </c>
      <c r="EC24" s="69">
        <v>0.41548140113354665</v>
      </c>
      <c r="ED24" s="69">
        <v>0.41518437646711259</v>
      </c>
      <c r="EE24" s="69">
        <v>0.41672536100000002</v>
      </c>
      <c r="EF24" s="69">
        <v>0.41517010300000001</v>
      </c>
      <c r="EG24" s="69">
        <v>0.41517449400000001</v>
      </c>
      <c r="EH24" s="69">
        <v>0.41519741799999998</v>
      </c>
      <c r="EI24" s="69">
        <v>0.41518228099999999</v>
      </c>
      <c r="EJ24" s="69">
        <v>0.41498642099999999</v>
      </c>
      <c r="EK24" s="69"/>
    </row>
    <row r="25" spans="1:141" s="57" customFormat="1" ht="29.25" customHeight="1" x14ac:dyDescent="0.3">
      <c r="A25" s="52" t="s">
        <v>16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5"/>
      <c r="BE25" s="55"/>
      <c r="BF25" s="55"/>
      <c r="BG25" s="55"/>
      <c r="BH25" s="55"/>
      <c r="BI25" s="55"/>
      <c r="BJ25" s="70">
        <v>0.23391712111909332</v>
      </c>
      <c r="BK25" s="70">
        <v>0.23384584024042632</v>
      </c>
      <c r="BL25" s="70">
        <v>0.23348901912533437</v>
      </c>
      <c r="BM25" s="70">
        <v>0.23286237044621658</v>
      </c>
      <c r="BN25" s="70">
        <v>0.22969541867265036</v>
      </c>
      <c r="BO25" s="70">
        <v>0.23283950806991827</v>
      </c>
      <c r="BP25" s="70">
        <v>0.23218210548422269</v>
      </c>
      <c r="BQ25" s="70">
        <v>0.23166324906306954</v>
      </c>
      <c r="BR25" s="70">
        <v>0.23125021980492927</v>
      </c>
      <c r="BS25" s="70">
        <v>0.23141536312246513</v>
      </c>
      <c r="BT25" s="70">
        <v>0.23221143843465938</v>
      </c>
      <c r="BU25" s="70">
        <v>0.23240795803783193</v>
      </c>
      <c r="BV25" s="70">
        <v>0.23304284160107985</v>
      </c>
      <c r="BW25" s="70">
        <v>0.23314241039449912</v>
      </c>
      <c r="BX25" s="70">
        <v>0.23293732270561321</v>
      </c>
      <c r="BY25" s="70">
        <v>0.23206827491290907</v>
      </c>
      <c r="BZ25" s="70">
        <v>0.23288235225735951</v>
      </c>
      <c r="CA25" s="70">
        <v>0.23351268077055534</v>
      </c>
      <c r="CB25" s="70">
        <v>0.23332824644889358</v>
      </c>
      <c r="CC25" s="70">
        <v>0.23353977828374314</v>
      </c>
      <c r="CD25" s="70">
        <v>0.23381927298465752</v>
      </c>
      <c r="CE25" s="70">
        <v>0.23369853607118091</v>
      </c>
      <c r="CF25" s="70">
        <v>0.23408980655562761</v>
      </c>
      <c r="CG25" s="70">
        <v>0.23471468049368846</v>
      </c>
      <c r="CH25" s="70">
        <v>0.23504772461689216</v>
      </c>
      <c r="CI25" s="71">
        <v>0.23552308049280082</v>
      </c>
      <c r="CJ25" s="70">
        <v>0.23612437890045171</v>
      </c>
      <c r="CK25" s="70">
        <v>0.23679040611829916</v>
      </c>
      <c r="CL25" s="70">
        <v>0.23827939337555562</v>
      </c>
      <c r="CM25" s="70">
        <v>0.23888349766300629</v>
      </c>
      <c r="CN25" s="70">
        <v>0.23951590400547951</v>
      </c>
      <c r="CO25" s="70">
        <v>0.2390895923952793</v>
      </c>
      <c r="CP25" s="70">
        <v>0.23971368129771614</v>
      </c>
      <c r="CQ25" s="70">
        <v>0.24019715362020874</v>
      </c>
      <c r="CR25" s="70">
        <v>0.24069100257453621</v>
      </c>
      <c r="CS25" s="71">
        <v>0.24118337255700953</v>
      </c>
      <c r="CT25" s="71">
        <v>0.24083013773245052</v>
      </c>
      <c r="CU25" s="71">
        <v>0.24082003231478935</v>
      </c>
      <c r="CV25" s="71">
        <v>0.2408875505830885</v>
      </c>
      <c r="CW25" s="71">
        <v>0.24090132655309479</v>
      </c>
      <c r="CX25" s="71">
        <v>0.24069944510797722</v>
      </c>
      <c r="CY25" s="71">
        <v>0.24073481949664507</v>
      </c>
      <c r="CZ25" s="71">
        <v>0.24083168826284437</v>
      </c>
      <c r="DA25" s="71">
        <v>0.24103230469712847</v>
      </c>
      <c r="DB25" s="71">
        <v>0.24151502960865087</v>
      </c>
      <c r="DC25" s="71">
        <v>0.24207857356662474</v>
      </c>
      <c r="DD25" s="71">
        <v>0.24292456242046551</v>
      </c>
      <c r="DE25" s="71">
        <v>0.24384798324900517</v>
      </c>
      <c r="DF25" s="71">
        <v>0.24465221866630538</v>
      </c>
      <c r="DG25" s="71">
        <v>0.24530305203011438</v>
      </c>
      <c r="DH25" s="71">
        <v>0.24570637772970294</v>
      </c>
      <c r="DI25" s="71">
        <v>0.24594067966312075</v>
      </c>
      <c r="DJ25" s="71">
        <v>0.2464682311440248</v>
      </c>
      <c r="DK25" s="71">
        <v>0.24693673918855252</v>
      </c>
      <c r="DL25" s="71">
        <v>0.24738276129723955</v>
      </c>
      <c r="DM25" s="71">
        <v>0.24775118570982788</v>
      </c>
      <c r="DN25" s="71">
        <v>0.24802624210673394</v>
      </c>
      <c r="DO25" s="71">
        <v>0.24841867345739929</v>
      </c>
      <c r="DP25" s="71">
        <v>0.24920138052395599</v>
      </c>
      <c r="DQ25" s="71">
        <v>0.25056042174008203</v>
      </c>
      <c r="DR25" s="71">
        <v>0.25175248935876859</v>
      </c>
      <c r="DS25" s="71">
        <v>0.2525178513395655</v>
      </c>
      <c r="DT25" s="71">
        <v>0.25295233593090966</v>
      </c>
      <c r="DU25" s="71">
        <v>0.25326544763231423</v>
      </c>
      <c r="DV25" s="71">
        <v>0.25363357860928476</v>
      </c>
      <c r="DW25" s="71">
        <v>0.25386203983419403</v>
      </c>
      <c r="DX25" s="71">
        <v>0.25416850384934409</v>
      </c>
      <c r="DY25" s="71">
        <v>0.25031941380809891</v>
      </c>
      <c r="DZ25" s="71">
        <v>0.25050697756509233</v>
      </c>
      <c r="EA25" s="71">
        <v>0.25073365231659067</v>
      </c>
      <c r="EB25" s="71">
        <v>0.25092313088035495</v>
      </c>
      <c r="EC25" s="71">
        <v>0.25123472036510236</v>
      </c>
      <c r="ED25" s="71">
        <v>0.25151123947890702</v>
      </c>
      <c r="EE25" s="71">
        <v>0.252855897</v>
      </c>
      <c r="EF25" s="71">
        <v>0.252446214</v>
      </c>
      <c r="EG25" s="71">
        <v>0.25284403300000002</v>
      </c>
      <c r="EH25" s="71">
        <v>0.25304415299999999</v>
      </c>
      <c r="EI25" s="71">
        <v>0.25328477399999999</v>
      </c>
      <c r="EJ25" s="71">
        <v>0.25362881199999998</v>
      </c>
      <c r="EK25" s="71"/>
    </row>
    <row r="26" spans="1:141" s="57" customFormat="1" ht="29.25" customHeight="1" x14ac:dyDescent="0.3">
      <c r="A26" s="52" t="s">
        <v>17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5"/>
      <c r="BE26" s="55"/>
      <c r="BF26" s="55"/>
      <c r="BG26" s="55"/>
      <c r="BH26" s="55"/>
      <c r="BI26" s="55"/>
      <c r="BJ26" s="70">
        <v>0.15526461577348177</v>
      </c>
      <c r="BK26" s="70">
        <v>0.15543284193115156</v>
      </c>
      <c r="BL26" s="70">
        <v>0.15574235576541068</v>
      </c>
      <c r="BM26" s="70">
        <v>0.1562431299792186</v>
      </c>
      <c r="BN26" s="70">
        <v>0.1568097703092641</v>
      </c>
      <c r="BO26" s="70">
        <v>0.15726773884396419</v>
      </c>
      <c r="BP26" s="70">
        <v>0.15846389585612244</v>
      </c>
      <c r="BQ26" s="70">
        <v>0.15868721436137578</v>
      </c>
      <c r="BR26" s="70">
        <v>0.15943325585399803</v>
      </c>
      <c r="BS26" s="70">
        <v>0.15912437284789427</v>
      </c>
      <c r="BT26" s="70">
        <v>0.15989274365232733</v>
      </c>
      <c r="BU26" s="70">
        <v>0.16106721984375691</v>
      </c>
      <c r="BV26" s="70">
        <v>0.16051166980868384</v>
      </c>
      <c r="BW26" s="70">
        <v>0.16022333028956176</v>
      </c>
      <c r="BX26" s="70">
        <v>0.16017751106556066</v>
      </c>
      <c r="BY26" s="70">
        <v>0.15968119803416386</v>
      </c>
      <c r="BZ26" s="70">
        <v>0.16029455642960025</v>
      </c>
      <c r="CA26" s="70">
        <v>0.16012295513333877</v>
      </c>
      <c r="CB26" s="70">
        <v>0.15990749731181211</v>
      </c>
      <c r="CC26" s="70">
        <v>0.1595667398137218</v>
      </c>
      <c r="CD26" s="70">
        <v>0.1595619350721334</v>
      </c>
      <c r="CE26" s="70">
        <v>0.15954380049484157</v>
      </c>
      <c r="CF26" s="70">
        <v>0.15863911437839448</v>
      </c>
      <c r="CG26" s="70">
        <v>0.15732167971796782</v>
      </c>
      <c r="CH26" s="70">
        <v>0.15633755094089094</v>
      </c>
      <c r="CI26" s="71">
        <v>0.15531532530971925</v>
      </c>
      <c r="CJ26" s="70">
        <v>0.15393014559014309</v>
      </c>
      <c r="CK26" s="70">
        <v>0.15320768619452216</v>
      </c>
      <c r="CL26" s="70">
        <v>0.15335443112651351</v>
      </c>
      <c r="CM26" s="70">
        <v>0.15298933203544152</v>
      </c>
      <c r="CN26" s="70">
        <v>0.15237469900790165</v>
      </c>
      <c r="CO26" s="70">
        <v>0.15092833367100358</v>
      </c>
      <c r="CP26" s="70">
        <v>0.15083224866331846</v>
      </c>
      <c r="CQ26" s="70">
        <v>0.15077101014198427</v>
      </c>
      <c r="CR26" s="70">
        <v>0.15066064597154372</v>
      </c>
      <c r="CS26" s="71">
        <v>0.15056529132505697</v>
      </c>
      <c r="CT26" s="71">
        <v>0.15048316152842953</v>
      </c>
      <c r="CU26" s="71">
        <v>0.15111127236364233</v>
      </c>
      <c r="CV26" s="71">
        <v>0.15213460999945319</v>
      </c>
      <c r="CW26" s="71">
        <v>0.15301277338189059</v>
      </c>
      <c r="CX26" s="71">
        <v>0.15389868345732449</v>
      </c>
      <c r="CY26" s="71">
        <v>0.15454517245166219</v>
      </c>
      <c r="CZ26" s="71">
        <v>0.15493426259508666</v>
      </c>
      <c r="DA26" s="71">
        <v>0.15534013405440456</v>
      </c>
      <c r="DB26" s="71">
        <v>0.15562859380363886</v>
      </c>
      <c r="DC26" s="71">
        <v>0.15595699098658461</v>
      </c>
      <c r="DD26" s="71">
        <v>0.15625672101378391</v>
      </c>
      <c r="DE26" s="71">
        <v>0.15627243827542972</v>
      </c>
      <c r="DF26" s="71">
        <v>0.15671312264423914</v>
      </c>
      <c r="DG26" s="71">
        <v>0.15691576424989198</v>
      </c>
      <c r="DH26" s="71">
        <v>0.15716522243271536</v>
      </c>
      <c r="DI26" s="71">
        <v>0.15781226297375964</v>
      </c>
      <c r="DJ26" s="71">
        <v>0.1577507473278677</v>
      </c>
      <c r="DK26" s="71">
        <v>0.15785227795996984</v>
      </c>
      <c r="DL26" s="71">
        <v>0.1577577783914195</v>
      </c>
      <c r="DM26" s="71">
        <v>0.15772075943347821</v>
      </c>
      <c r="DN26" s="71">
        <v>0.15747414020791409</v>
      </c>
      <c r="DO26" s="71">
        <v>0.15720345340723674</v>
      </c>
      <c r="DP26" s="71">
        <v>0.15685774182453735</v>
      </c>
      <c r="DQ26" s="71">
        <v>0.15699809166488099</v>
      </c>
      <c r="DR26" s="71">
        <v>0.15715740142336612</v>
      </c>
      <c r="DS26" s="71">
        <v>0.15721210284759229</v>
      </c>
      <c r="DT26" s="71">
        <v>0.15775189568594067</v>
      </c>
      <c r="DU26" s="71">
        <v>0.15814981617817922</v>
      </c>
      <c r="DV26" s="71">
        <v>0.15839619675039737</v>
      </c>
      <c r="DW26" s="71">
        <v>0.15855540028138365</v>
      </c>
      <c r="DX26" s="71">
        <v>0.15880383235708495</v>
      </c>
      <c r="DY26" s="71">
        <v>0.17278815082496024</v>
      </c>
      <c r="DZ26" s="71">
        <v>0.17280701389223602</v>
      </c>
      <c r="EA26" s="71">
        <v>0.1731104671167065</v>
      </c>
      <c r="EB26" s="71">
        <v>0.17338638020715491</v>
      </c>
      <c r="EC26" s="71">
        <v>0.17376924691349219</v>
      </c>
      <c r="ED26" s="71">
        <v>0.17417500650612242</v>
      </c>
      <c r="EE26" s="71">
        <v>0.17512564799999999</v>
      </c>
      <c r="EF26" s="71">
        <v>0.174484949</v>
      </c>
      <c r="EG26" s="71">
        <v>0.174408337</v>
      </c>
      <c r="EH26" s="71">
        <v>0.17438800199999999</v>
      </c>
      <c r="EI26" s="71">
        <v>0.17455639000000001</v>
      </c>
      <c r="EJ26" s="71">
        <v>0.17465952100000001</v>
      </c>
      <c r="EK26" s="71"/>
    </row>
    <row r="27" spans="1:141" s="57" customFormat="1" ht="29.25" customHeight="1" x14ac:dyDescent="0.3">
      <c r="A27" s="72" t="s">
        <v>18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5"/>
      <c r="BE27" s="75"/>
      <c r="BF27" s="75"/>
      <c r="BG27" s="75"/>
      <c r="BH27" s="75"/>
      <c r="BI27" s="75"/>
      <c r="BJ27" s="76">
        <v>0.18607727370854091</v>
      </c>
      <c r="BK27" s="76">
        <v>0.18493803709300155</v>
      </c>
      <c r="BL27" s="76">
        <v>0.18396871756964026</v>
      </c>
      <c r="BM27" s="76">
        <v>0.18315246714911645</v>
      </c>
      <c r="BN27" s="76">
        <v>0.1832967397401859</v>
      </c>
      <c r="BO27" s="76">
        <v>0.18174131222689388</v>
      </c>
      <c r="BP27" s="76">
        <v>0.18052140220738347</v>
      </c>
      <c r="BQ27" s="76">
        <v>0.18003402245131639</v>
      </c>
      <c r="BR27" s="76">
        <v>0.17840943880804552</v>
      </c>
      <c r="BS27" s="76">
        <v>0.17895580076999143</v>
      </c>
      <c r="BT27" s="76">
        <v>0.17641747779226158</v>
      </c>
      <c r="BU27" s="76">
        <v>0.17540402292308871</v>
      </c>
      <c r="BV27" s="76">
        <v>0.17441266219784834</v>
      </c>
      <c r="BW27" s="76">
        <v>0.17365390492483471</v>
      </c>
      <c r="BX27" s="76">
        <v>0.1728275855409854</v>
      </c>
      <c r="BY27" s="76">
        <v>0.17477825158221566</v>
      </c>
      <c r="BZ27" s="76">
        <v>0.17363662286515197</v>
      </c>
      <c r="CA27" s="76">
        <v>0.17301613547558123</v>
      </c>
      <c r="CB27" s="76">
        <v>0.17267270501769375</v>
      </c>
      <c r="CC27" s="76">
        <v>0.17221322921586066</v>
      </c>
      <c r="CD27" s="76">
        <v>0.17155744434564807</v>
      </c>
      <c r="CE27" s="76">
        <v>0.17060050131714921</v>
      </c>
      <c r="CF27" s="76">
        <v>0.17023611816043341</v>
      </c>
      <c r="CG27" s="76">
        <v>0.16994273418963846</v>
      </c>
      <c r="CH27" s="76">
        <v>0.16963709731113111</v>
      </c>
      <c r="CI27" s="77">
        <v>0.16936978241777398</v>
      </c>
      <c r="CJ27" s="76">
        <v>0.1689608993980172</v>
      </c>
      <c r="CK27" s="76">
        <v>0.1687558649148416</v>
      </c>
      <c r="CL27" s="76">
        <v>0.16619454315831092</v>
      </c>
      <c r="CM27" s="76">
        <v>0.16579785201567998</v>
      </c>
      <c r="CN27" s="76">
        <v>0.1655868547412577</v>
      </c>
      <c r="CO27" s="76">
        <v>0.16815040026487926</v>
      </c>
      <c r="CP27" s="76">
        <v>0.16788150259650952</v>
      </c>
      <c r="CQ27" s="76">
        <v>0.16764752387508627</v>
      </c>
      <c r="CR27" s="76">
        <v>0.16732232518633161</v>
      </c>
      <c r="CS27" s="77">
        <v>0.16713858209552845</v>
      </c>
      <c r="CT27" s="77">
        <v>0.16923975818085932</v>
      </c>
      <c r="CU27" s="77">
        <v>0.16967650508672744</v>
      </c>
      <c r="CV27" s="77">
        <v>0.16986181625779817</v>
      </c>
      <c r="CW27" s="77">
        <v>0.17034048530341558</v>
      </c>
      <c r="CX27" s="77">
        <v>0.17099671614828443</v>
      </c>
      <c r="CY27" s="77">
        <v>0.17092831645958653</v>
      </c>
      <c r="CZ27" s="77">
        <v>0.1710705279134353</v>
      </c>
      <c r="DA27" s="77">
        <v>0.17149232137411299</v>
      </c>
      <c r="DB27" s="77">
        <v>0.17152784929625817</v>
      </c>
      <c r="DC27" s="77">
        <v>0.17120172381810048</v>
      </c>
      <c r="DD27" s="77">
        <v>0.17036278274165637</v>
      </c>
      <c r="DE27" s="77">
        <v>0.16937273535859668</v>
      </c>
      <c r="DF27" s="77">
        <v>0.17008731274963984</v>
      </c>
      <c r="DG27" s="77">
        <v>0.17023699758138358</v>
      </c>
      <c r="DH27" s="77">
        <v>0.17082549288412102</v>
      </c>
      <c r="DI27" s="77">
        <v>0.17139304830095881</v>
      </c>
      <c r="DJ27" s="77">
        <v>0.17141293858342449</v>
      </c>
      <c r="DK27" s="77">
        <v>0.17124245922855724</v>
      </c>
      <c r="DL27" s="77">
        <v>0.17125136345495406</v>
      </c>
      <c r="DM27" s="77">
        <v>0.17080574756326428</v>
      </c>
      <c r="DN27" s="77">
        <v>0.17042403211516274</v>
      </c>
      <c r="DO27" s="77">
        <v>0.16991400914144572</v>
      </c>
      <c r="DP27" s="77">
        <v>0.16939817751273623</v>
      </c>
      <c r="DQ27" s="77">
        <v>0.16900745635148284</v>
      </c>
      <c r="DR27" s="77">
        <v>0.16804953557155999</v>
      </c>
      <c r="DS27" s="77">
        <v>0.16748284091022142</v>
      </c>
      <c r="DT27" s="77">
        <v>0.16685868767484766</v>
      </c>
      <c r="DU27" s="77">
        <v>0.16591569168498274</v>
      </c>
      <c r="DV27" s="77">
        <v>0.16544502315923085</v>
      </c>
      <c r="DW27" s="77">
        <v>0.16490461184835525</v>
      </c>
      <c r="DX27" s="77">
        <v>0.16441174598152919</v>
      </c>
      <c r="DY27" s="77">
        <v>0.16114027524166016</v>
      </c>
      <c r="DZ27" s="77">
        <v>0.16096500702493632</v>
      </c>
      <c r="EA27" s="77">
        <v>0.16007310874049324</v>
      </c>
      <c r="EB27" s="77">
        <v>0.15972993683102668</v>
      </c>
      <c r="EC27" s="77">
        <v>0.15951463158785881</v>
      </c>
      <c r="ED27" s="77">
        <v>0.159129377547858</v>
      </c>
      <c r="EE27" s="77">
        <v>0.15529309399999999</v>
      </c>
      <c r="EF27" s="77">
        <v>0.15789873400000001</v>
      </c>
      <c r="EG27" s="77">
        <v>0.157573136</v>
      </c>
      <c r="EH27" s="77">
        <v>0.15737042700000001</v>
      </c>
      <c r="EI27" s="77">
        <v>0.15697655599999999</v>
      </c>
      <c r="EJ27" s="77">
        <v>0.15672524600000001</v>
      </c>
      <c r="EK27" s="77"/>
    </row>
    <row r="28" spans="1:141" s="42" customFormat="1" ht="24.75" customHeight="1" x14ac:dyDescent="0.3">
      <c r="A28" s="78" t="s">
        <v>19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79"/>
      <c r="BK28" s="79"/>
      <c r="BL28" s="79"/>
      <c r="BM28" s="82"/>
      <c r="BN28" s="82"/>
      <c r="BO28" s="82"/>
      <c r="BP28" s="82"/>
      <c r="BQ28" s="82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>
        <v>0.16579785201567998</v>
      </c>
      <c r="CN28" s="79"/>
      <c r="CO28" s="79"/>
      <c r="CP28" s="79"/>
      <c r="CQ28" s="79"/>
      <c r="CR28" s="79"/>
      <c r="CS28" s="79">
        <v>0.16713858209552845</v>
      </c>
      <c r="CT28" s="79"/>
      <c r="CU28" s="79"/>
      <c r="CV28" s="79"/>
      <c r="CW28" s="79"/>
      <c r="CX28" s="79"/>
      <c r="CY28" s="79"/>
      <c r="CZ28" s="79">
        <v>0.1710705279134353</v>
      </c>
      <c r="DA28" s="42">
        <v>0.17149232137411299</v>
      </c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  <c r="EK28" s="79"/>
    </row>
    <row r="29" spans="1:141" s="42" customFormat="1" ht="24.75" customHeight="1" x14ac:dyDescent="0.3">
      <c r="A29" s="78" t="s">
        <v>20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79"/>
      <c r="BK29" s="79"/>
      <c r="BL29" s="79"/>
      <c r="BM29" s="82"/>
      <c r="BN29" s="82"/>
      <c r="BO29" s="82"/>
      <c r="BP29" s="82"/>
      <c r="BQ29" s="82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83"/>
      <c r="CR29" s="83"/>
      <c r="CS29" s="79"/>
      <c r="CT29" s="79"/>
      <c r="CU29" s="79"/>
      <c r="CV29" s="79"/>
      <c r="CW29" s="79"/>
      <c r="CX29" s="79"/>
      <c r="CY29" s="79"/>
      <c r="CZ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>
        <v>0.16900745635148284</v>
      </c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</row>
    <row r="30" spans="1:141" s="42" customFormat="1" ht="24.75" customHeight="1" x14ac:dyDescent="0.3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79"/>
      <c r="BK30" s="79"/>
      <c r="BL30" s="79"/>
      <c r="BM30" s="82"/>
      <c r="BN30" s="82"/>
      <c r="BO30" s="82"/>
      <c r="BP30" s="82"/>
      <c r="BQ30" s="82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79"/>
    </row>
    <row r="31" spans="1:141" s="42" customFormat="1" ht="24.75" customHeight="1" x14ac:dyDescent="0.3">
      <c r="A31" s="41"/>
      <c r="AL31" s="8">
        <v>2008</v>
      </c>
      <c r="AR31" s="9"/>
      <c r="AX31" s="8">
        <v>2009</v>
      </c>
      <c r="BD31" s="9"/>
      <c r="BG31" s="84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</row>
    <row r="32" spans="1:141" s="44" customFormat="1" ht="29.25" customHeight="1" x14ac:dyDescent="0.3">
      <c r="A32" s="13" t="s">
        <v>96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6">
        <v>42370</v>
      </c>
      <c r="EE32" s="16">
        <v>42401</v>
      </c>
      <c r="EF32" s="16">
        <v>42430</v>
      </c>
      <c r="EG32" s="16">
        <v>42461</v>
      </c>
      <c r="EH32" s="16">
        <v>42491</v>
      </c>
      <c r="EI32" s="16">
        <v>42522</v>
      </c>
      <c r="EJ32" s="16">
        <v>42552</v>
      </c>
      <c r="EK32" s="16">
        <v>42583</v>
      </c>
    </row>
    <row r="33" spans="1:143" s="46" customFormat="1" ht="29.25" customHeight="1" x14ac:dyDescent="0.3">
      <c r="A33" s="45" t="s">
        <v>97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</row>
    <row r="34" spans="1:143" s="46" customFormat="1" ht="29.25" customHeight="1" x14ac:dyDescent="0.3">
      <c r="A34" s="85" t="s">
        <v>21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</row>
    <row r="35" spans="1:143" s="46" customFormat="1" ht="29.25" customHeight="1" x14ac:dyDescent="0.3">
      <c r="A35" s="86" t="s">
        <v>98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</row>
    <row r="36" spans="1:143" s="46" customFormat="1" ht="29.25" customHeight="1" x14ac:dyDescent="0.3">
      <c r="A36" s="88" t="s">
        <v>15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>
        <v>0.48808037780740726</v>
      </c>
      <c r="BK36" s="90">
        <v>0.49602692104190965</v>
      </c>
      <c r="BL36" s="90">
        <v>0.50915866783154495</v>
      </c>
      <c r="BM36" s="90">
        <v>0.52561450772629248</v>
      </c>
      <c r="BN36" s="90">
        <v>0.53674856430340179</v>
      </c>
      <c r="BO36" s="90">
        <v>0.53939634737126829</v>
      </c>
      <c r="BP36" s="90">
        <v>0.54673785069221759</v>
      </c>
      <c r="BQ36" s="90">
        <v>0.55405041184713311</v>
      </c>
      <c r="BR36" s="90">
        <v>0.55839205851280571</v>
      </c>
      <c r="BS36" s="90">
        <v>0.56442779535550114</v>
      </c>
      <c r="BT36" s="90">
        <v>0.5698274884721497</v>
      </c>
      <c r="BU36" s="90">
        <v>0.57192255557390204</v>
      </c>
      <c r="BV36" s="90">
        <v>0.58164246646802986</v>
      </c>
      <c r="BW36" s="90">
        <v>0.59072905188084857</v>
      </c>
      <c r="BX36" s="90">
        <v>0.60084933578487243</v>
      </c>
      <c r="BY36" s="90">
        <v>0.60747395430162165</v>
      </c>
      <c r="BZ36" s="90">
        <v>0.60928790139904498</v>
      </c>
      <c r="CA36" s="90">
        <v>0.61242831346550519</v>
      </c>
      <c r="CB36" s="90">
        <v>0.61636458137756389</v>
      </c>
      <c r="CC36" s="90">
        <v>0.6191226322645893</v>
      </c>
      <c r="CD36" s="90">
        <v>0.62121361156613275</v>
      </c>
      <c r="CE36" s="90">
        <v>0.62332327950254351</v>
      </c>
      <c r="CF36" s="90">
        <v>0.62503888070335556</v>
      </c>
      <c r="CG36" s="90">
        <v>0.62529783550170726</v>
      </c>
      <c r="CH36" s="90">
        <v>0.62654177979725145</v>
      </c>
      <c r="CI36" s="90">
        <v>0.62816731703817841</v>
      </c>
      <c r="CJ36" s="90">
        <v>0.6285948751312268</v>
      </c>
      <c r="CK36" s="90">
        <v>0.62860430988387039</v>
      </c>
      <c r="CL36" s="90">
        <v>0.62742373640812998</v>
      </c>
      <c r="CM36" s="90">
        <v>0.6269937206754137</v>
      </c>
      <c r="CN36" s="90">
        <v>0.62592132583368887</v>
      </c>
      <c r="CO36" s="90">
        <v>0.62489746776945398</v>
      </c>
      <c r="CP36" s="90">
        <v>0.62322330864848385</v>
      </c>
      <c r="CQ36" s="90">
        <v>0.62175833629287502</v>
      </c>
      <c r="CR36" s="90">
        <v>0.61961141678884535</v>
      </c>
      <c r="CS36" s="91">
        <v>0.61718790318221173</v>
      </c>
      <c r="CT36" s="91">
        <v>0.61387785476613532</v>
      </c>
      <c r="CU36" s="91">
        <v>0.61116857575162842</v>
      </c>
      <c r="CV36" s="91">
        <v>0.60607645625483875</v>
      </c>
      <c r="CW36" s="91">
        <v>0.60213191554060475</v>
      </c>
      <c r="CX36" s="91">
        <v>0.59800186779552411</v>
      </c>
      <c r="CY36" s="91">
        <v>0.59487832776214822</v>
      </c>
      <c r="CZ36" s="91">
        <v>0.59162349371373524</v>
      </c>
      <c r="DA36" s="91">
        <v>0.58793406564187367</v>
      </c>
      <c r="DB36" s="91">
        <v>0.58512710755048014</v>
      </c>
      <c r="DC36" s="91">
        <v>0.58204752298273144</v>
      </c>
      <c r="DD36" s="91">
        <v>0.57898082359993019</v>
      </c>
      <c r="DE36" s="91">
        <v>0.57679329077881458</v>
      </c>
      <c r="DF36" s="91">
        <v>0.57296563097130015</v>
      </c>
      <c r="DG36" s="91">
        <v>0.57009734670887913</v>
      </c>
      <c r="DH36" s="91">
        <v>0.56697211263540381</v>
      </c>
      <c r="DI36" s="91">
        <v>0.56402176694949413</v>
      </c>
      <c r="DJ36" s="91">
        <v>0.56196856940665674</v>
      </c>
      <c r="DK36" s="91">
        <v>0.56033757345193547</v>
      </c>
      <c r="DL36" s="91">
        <v>0.5589035830634258</v>
      </c>
      <c r="DM36" s="91">
        <v>0.55744333785507605</v>
      </c>
      <c r="DN36" s="91">
        <v>0.55655664128784454</v>
      </c>
      <c r="DO36" s="91">
        <v>0.55557122881578846</v>
      </c>
      <c r="DP36" s="91">
        <v>0.55382815174075706</v>
      </c>
      <c r="DQ36" s="91">
        <v>0.550821633064283</v>
      </c>
      <c r="DR36" s="91">
        <v>0.54796752144634486</v>
      </c>
      <c r="DS36" s="91">
        <v>0.54614900899408603</v>
      </c>
      <c r="DT36" s="91">
        <v>0.54379606286450144</v>
      </c>
      <c r="DU36" s="91">
        <v>0.5418576412322601</v>
      </c>
      <c r="DV36" s="91">
        <v>0.54004887541843571</v>
      </c>
      <c r="DW36" s="91">
        <v>0.53882384875613887</v>
      </c>
      <c r="DX36" s="91">
        <v>0.53744529982682276</v>
      </c>
      <c r="DY36" s="91">
        <v>0.53650348573816276</v>
      </c>
      <c r="DZ36" s="91">
        <v>0.53570842430964638</v>
      </c>
      <c r="EA36" s="91">
        <v>0.53479542493122922</v>
      </c>
      <c r="EB36" s="91">
        <v>0.533995</v>
      </c>
      <c r="EC36" s="91">
        <v>0.53207099999999996</v>
      </c>
      <c r="ED36" s="91">
        <v>0.53003556863753354</v>
      </c>
      <c r="EE36" s="91">
        <v>0.52874950011183941</v>
      </c>
      <c r="EF36" s="91">
        <v>0.52723301446290127</v>
      </c>
      <c r="EG36" s="91">
        <v>0.52612463396707287</v>
      </c>
      <c r="EH36" s="91">
        <v>0.52520511703839645</v>
      </c>
      <c r="EI36" s="91">
        <v>0.52418792912578605</v>
      </c>
      <c r="EJ36" s="91">
        <v>0.52284228445809122</v>
      </c>
      <c r="EK36" s="91"/>
      <c r="EM36" s="205"/>
    </row>
    <row r="37" spans="1:143" s="46" customFormat="1" ht="29.25" customHeight="1" x14ac:dyDescent="0.3">
      <c r="A37" s="86" t="s">
        <v>16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1">
        <v>0.36212213994515563</v>
      </c>
      <c r="BK37" s="81">
        <v>0.35656212403434612</v>
      </c>
      <c r="BL37" s="81">
        <v>0.34286039197817519</v>
      </c>
      <c r="BM37" s="81">
        <v>0.32518265358439313</v>
      </c>
      <c r="BN37" s="81">
        <v>0.31400565354256771</v>
      </c>
      <c r="BO37" s="81">
        <v>0.30687731760657511</v>
      </c>
      <c r="BP37" s="81">
        <v>0.29329109670778325</v>
      </c>
      <c r="BQ37" s="81">
        <v>0.28266273520271773</v>
      </c>
      <c r="BR37" s="81">
        <v>0.27613553894145537</v>
      </c>
      <c r="BS37" s="81">
        <v>0.26981016058742763</v>
      </c>
      <c r="BT37" s="81">
        <v>0.26392187648586973</v>
      </c>
      <c r="BU37" s="81">
        <v>0.25992452821908429</v>
      </c>
      <c r="BV37" s="81">
        <v>0.24934338892391525</v>
      </c>
      <c r="BW37" s="81">
        <v>0.23994619309094731</v>
      </c>
      <c r="BX37" s="81">
        <v>0.2289865208864503</v>
      </c>
      <c r="BY37" s="81">
        <v>0.22119711525409552</v>
      </c>
      <c r="BZ37" s="81">
        <v>0.21577249673454085</v>
      </c>
      <c r="CA37" s="81">
        <v>0.21286164469642288</v>
      </c>
      <c r="CB37" s="81">
        <v>0.20757861620819615</v>
      </c>
      <c r="CC37" s="81">
        <v>0.20420398275353496</v>
      </c>
      <c r="CD37" s="81">
        <v>0.20215944745144893</v>
      </c>
      <c r="CE37" s="81">
        <v>0.19987009918437398</v>
      </c>
      <c r="CF37" s="81">
        <v>0.19857549453123335</v>
      </c>
      <c r="CG37" s="81">
        <v>0.19948687531785719</v>
      </c>
      <c r="CH37" s="81">
        <v>0.1999896414548975</v>
      </c>
      <c r="CI37" s="81">
        <v>0.20057434093386389</v>
      </c>
      <c r="CJ37" s="81">
        <v>0.20220643014184436</v>
      </c>
      <c r="CK37" s="81">
        <v>0.20405848136342286</v>
      </c>
      <c r="CL37" s="81">
        <v>0.20630682939690781</v>
      </c>
      <c r="CM37" s="81">
        <v>0.2083492540668109</v>
      </c>
      <c r="CN37" s="81">
        <v>0.21090338213595666</v>
      </c>
      <c r="CO37" s="81">
        <v>0.21319837617893131</v>
      </c>
      <c r="CP37" s="81">
        <v>0.21527599528818669</v>
      </c>
      <c r="CQ37" s="81">
        <v>0.21707776002142135</v>
      </c>
      <c r="CR37" s="81">
        <v>0.21905542390339572</v>
      </c>
      <c r="CS37" s="92">
        <v>0.22133967404079674</v>
      </c>
      <c r="CT37" s="92">
        <v>0.22271471773093005</v>
      </c>
      <c r="CU37" s="92">
        <v>0.22307001499292128</v>
      </c>
      <c r="CV37" s="92">
        <v>0.22485233224531675</v>
      </c>
      <c r="CW37" s="92">
        <v>0.22639755771172143</v>
      </c>
      <c r="CX37" s="92">
        <v>0.22792122538293216</v>
      </c>
      <c r="CY37" s="92">
        <v>0.22953964772109384</v>
      </c>
      <c r="CZ37" s="92">
        <v>0.23166321814881591</v>
      </c>
      <c r="DA37" s="92">
        <v>0.2341336983269508</v>
      </c>
      <c r="DB37" s="92">
        <v>0.23624564133255027</v>
      </c>
      <c r="DC37" s="92">
        <v>0.23855837982011294</v>
      </c>
      <c r="DD37" s="92">
        <v>0.24086704004940221</v>
      </c>
      <c r="DE37" s="92">
        <v>0.24330783328368305</v>
      </c>
      <c r="DF37" s="92">
        <v>0.24568783390098997</v>
      </c>
      <c r="DG37" s="92">
        <v>0.2474726822228194</v>
      </c>
      <c r="DH37" s="92">
        <v>0.24926866301101674</v>
      </c>
      <c r="DI37" s="92">
        <v>0.25041028113388558</v>
      </c>
      <c r="DJ37" s="92">
        <v>0.25200682017882975</v>
      </c>
      <c r="DK37" s="92">
        <v>0.25333923698750732</v>
      </c>
      <c r="DL37" s="92">
        <v>0.25474975800367156</v>
      </c>
      <c r="DM37" s="92">
        <v>0.25653574943709634</v>
      </c>
      <c r="DN37" s="92">
        <v>0.25821446928683151</v>
      </c>
      <c r="DO37" s="92">
        <v>0.26010683888823927</v>
      </c>
      <c r="DP37" s="92">
        <v>0.2627983599041992</v>
      </c>
      <c r="DQ37" s="92">
        <v>0.26593622379983778</v>
      </c>
      <c r="DR37" s="92">
        <v>0.26883361621048241</v>
      </c>
      <c r="DS37" s="92">
        <v>0.27088431447595063</v>
      </c>
      <c r="DT37" s="92">
        <v>0.27261890094667895</v>
      </c>
      <c r="DU37" s="92">
        <v>0.27423769782350793</v>
      </c>
      <c r="DV37" s="92">
        <v>0.27590157023543038</v>
      </c>
      <c r="DW37" s="92">
        <v>0.27720324906186727</v>
      </c>
      <c r="DX37" s="92">
        <v>0.27839245541781754</v>
      </c>
      <c r="DY37" s="92">
        <v>0.27941122236827193</v>
      </c>
      <c r="DZ37" s="92">
        <v>0.28027790315252227</v>
      </c>
      <c r="EA37" s="92">
        <v>0.28108701317503981</v>
      </c>
      <c r="EB37" s="92">
        <v>0.28151300000000001</v>
      </c>
      <c r="EC37" s="92">
        <v>0.28277200000000002</v>
      </c>
      <c r="ED37" s="92">
        <v>0.28428427704143416</v>
      </c>
      <c r="EE37" s="92">
        <v>0.28524609249934513</v>
      </c>
      <c r="EF37" s="92">
        <v>0.28678870200357626</v>
      </c>
      <c r="EG37" s="92">
        <v>0.28789204954173969</v>
      </c>
      <c r="EH37" s="92">
        <v>0.28882435274308377</v>
      </c>
      <c r="EI37" s="92">
        <v>0.28975110127345466</v>
      </c>
      <c r="EJ37" s="92">
        <v>0.29093355914373831</v>
      </c>
      <c r="EK37" s="92"/>
      <c r="EM37" s="205"/>
    </row>
    <row r="38" spans="1:143" s="46" customFormat="1" ht="29.25" customHeight="1" x14ac:dyDescent="0.3">
      <c r="A38" s="93" t="s">
        <v>17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5">
        <v>0.14979748224743711</v>
      </c>
      <c r="BK38" s="95">
        <v>0.14741095492374426</v>
      </c>
      <c r="BL38" s="95">
        <v>0.14798094019027982</v>
      </c>
      <c r="BM38" s="95">
        <v>0.14920283868931444</v>
      </c>
      <c r="BN38" s="95">
        <v>0.14924578215403053</v>
      </c>
      <c r="BO38" s="95">
        <v>0.15372633502215657</v>
      </c>
      <c r="BP38" s="95">
        <v>0.15997105259999919</v>
      </c>
      <c r="BQ38" s="95">
        <v>0.16328685295014916</v>
      </c>
      <c r="BR38" s="95">
        <v>0.16547240254573886</v>
      </c>
      <c r="BS38" s="95">
        <v>0.16576204405707121</v>
      </c>
      <c r="BT38" s="95">
        <v>0.16625063504198059</v>
      </c>
      <c r="BU38" s="95">
        <v>0.16815291620701364</v>
      </c>
      <c r="BV38" s="95">
        <v>0.16901414460805492</v>
      </c>
      <c r="BW38" s="95">
        <v>0.16932475502820415</v>
      </c>
      <c r="BX38" s="95">
        <v>0.17016414332867727</v>
      </c>
      <c r="BY38" s="95">
        <v>0.17132893044428285</v>
      </c>
      <c r="BZ38" s="95">
        <v>0.17493960186641419</v>
      </c>
      <c r="CA38" s="95">
        <v>0.17471004183807196</v>
      </c>
      <c r="CB38" s="95">
        <v>0.17605680241423999</v>
      </c>
      <c r="CC38" s="95">
        <v>0.17667338498187579</v>
      </c>
      <c r="CD38" s="95">
        <v>0.17662694098241832</v>
      </c>
      <c r="CE38" s="95">
        <v>0.17680662131308253</v>
      </c>
      <c r="CF38" s="95">
        <v>0.17638562476541106</v>
      </c>
      <c r="CG38" s="95">
        <v>0.17521528918043558</v>
      </c>
      <c r="CH38" s="95">
        <v>0.1734685787478511</v>
      </c>
      <c r="CI38" s="95">
        <v>0.1712583420279577</v>
      </c>
      <c r="CJ38" s="95">
        <v>0.16919869472692883</v>
      </c>
      <c r="CK38" s="95">
        <v>0.16733720875270677</v>
      </c>
      <c r="CL38" s="95">
        <v>0.16626943419496221</v>
      </c>
      <c r="CM38" s="95">
        <v>0.1646570252577754</v>
      </c>
      <c r="CN38" s="95">
        <v>0.1631752920303545</v>
      </c>
      <c r="CO38" s="95">
        <v>0.16190415605161465</v>
      </c>
      <c r="CP38" s="95">
        <v>0.1615006960633294</v>
      </c>
      <c r="CQ38" s="95">
        <v>0.16116390368570357</v>
      </c>
      <c r="CR38" s="95">
        <v>0.16133315930775891</v>
      </c>
      <c r="CS38" s="96">
        <v>0.16147242277699159</v>
      </c>
      <c r="CT38" s="96">
        <v>0.1634074275029346</v>
      </c>
      <c r="CU38" s="96">
        <v>0.16576140925545027</v>
      </c>
      <c r="CV38" s="96">
        <v>0.16907121149984455</v>
      </c>
      <c r="CW38" s="96">
        <v>0.17147052674767382</v>
      </c>
      <c r="CX38" s="96">
        <v>0.17407690682154373</v>
      </c>
      <c r="CY38" s="96">
        <v>0.17558202451675795</v>
      </c>
      <c r="CZ38" s="96">
        <v>0.17671328813744883</v>
      </c>
      <c r="DA38" s="96">
        <v>0.17793223603117556</v>
      </c>
      <c r="DB38" s="96">
        <v>0.17862725111696964</v>
      </c>
      <c r="DC38" s="96">
        <v>0.17939409719715568</v>
      </c>
      <c r="DD38" s="96">
        <v>0.18015213635066757</v>
      </c>
      <c r="DE38" s="96">
        <v>0.17989887593750239</v>
      </c>
      <c r="DF38" s="96">
        <v>0.1813465351277099</v>
      </c>
      <c r="DG38" s="96">
        <v>0.1824299710683015</v>
      </c>
      <c r="DH38" s="96">
        <v>0.18375922435357944</v>
      </c>
      <c r="DI38" s="96">
        <v>0.18556795191662026</v>
      </c>
      <c r="DJ38" s="96">
        <v>0.18602461041451346</v>
      </c>
      <c r="DK38" s="96">
        <v>0.18632318956055718</v>
      </c>
      <c r="DL38" s="96">
        <v>0.18634665893290259</v>
      </c>
      <c r="DM38" s="96">
        <v>0.18602091270782761</v>
      </c>
      <c r="DN38" s="96">
        <v>0.18522888942532395</v>
      </c>
      <c r="DO38" s="96">
        <v>0.18432193229597235</v>
      </c>
      <c r="DP38" s="96">
        <v>0.18337348835504372</v>
      </c>
      <c r="DQ38" s="96">
        <v>0.18324214313587925</v>
      </c>
      <c r="DR38" s="96">
        <v>0.18319886234317276</v>
      </c>
      <c r="DS38" s="96">
        <v>0.18296667652996332</v>
      </c>
      <c r="DT38" s="96">
        <v>0.18358503618881958</v>
      </c>
      <c r="DU38" s="96">
        <v>0.18390466094423197</v>
      </c>
      <c r="DV38" s="96">
        <v>0.18404955434613388</v>
      </c>
      <c r="DW38" s="96">
        <v>0.18397290218199386</v>
      </c>
      <c r="DX38" s="96">
        <v>0.18416224475535972</v>
      </c>
      <c r="DY38" s="96">
        <v>0.18408529189356529</v>
      </c>
      <c r="DZ38" s="96">
        <v>0.18401367253783135</v>
      </c>
      <c r="EA38" s="96">
        <v>0.18411756189373099</v>
      </c>
      <c r="EB38" s="96">
        <v>0.18449199999999999</v>
      </c>
      <c r="EC38" s="96">
        <v>0.18515699999999999</v>
      </c>
      <c r="ED38" s="96">
        <v>0.18568015432103233</v>
      </c>
      <c r="EE38" s="96">
        <v>0.18600440738881549</v>
      </c>
      <c r="EF38" s="96">
        <v>0.18597828353352247</v>
      </c>
      <c r="EG38" s="96">
        <v>0.18598331649118743</v>
      </c>
      <c r="EH38" s="96">
        <v>0.18597053021851981</v>
      </c>
      <c r="EI38" s="96">
        <v>0.18606096960075932</v>
      </c>
      <c r="EJ38" s="96">
        <v>0.18622415639817044</v>
      </c>
      <c r="EK38" s="96"/>
      <c r="EM38" s="205"/>
    </row>
    <row r="39" spans="1:143" s="46" customFormat="1" ht="24.75" customHeight="1" x14ac:dyDescent="0.3">
      <c r="A39" s="204" t="s">
        <v>100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</row>
    <row r="40" spans="1:143" s="46" customFormat="1" ht="24.75" customHeight="1" x14ac:dyDescent="0.3">
      <c r="A40" s="204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</row>
    <row r="41" spans="1:143" s="42" customFormat="1" ht="24.75" customHeight="1" x14ac:dyDescent="0.3">
      <c r="A41" s="41"/>
      <c r="AL41" s="8">
        <v>2008</v>
      </c>
      <c r="AR41" s="9"/>
      <c r="AX41" s="8">
        <v>2009</v>
      </c>
      <c r="BD41" s="9"/>
      <c r="BG41" s="84"/>
      <c r="BJ41" s="8">
        <v>2010</v>
      </c>
      <c r="BP41" s="6"/>
      <c r="BU41" s="6"/>
      <c r="BV41" s="8">
        <v>2011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8">
        <v>2011</v>
      </c>
      <c r="CH41" s="8">
        <v>2012</v>
      </c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8">
        <v>2013</v>
      </c>
      <c r="CU41" s="11"/>
      <c r="CV41" s="11"/>
      <c r="CW41" s="11"/>
      <c r="CX41" s="11"/>
      <c r="CY41" s="11"/>
      <c r="CZ41" s="11"/>
      <c r="DB41" s="11"/>
      <c r="DC41" s="11"/>
      <c r="DD41" s="11"/>
      <c r="DE41" s="11"/>
      <c r="DF41" s="8">
        <v>2014</v>
      </c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8">
        <v>2015</v>
      </c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8">
        <v>2016</v>
      </c>
      <c r="EE41" s="12"/>
      <c r="EF41" s="12"/>
      <c r="EG41" s="12"/>
      <c r="EH41" s="12"/>
      <c r="EI41" s="12"/>
      <c r="EJ41" s="12"/>
      <c r="EK41" s="12"/>
    </row>
    <row r="42" spans="1:143" s="44" customFormat="1" ht="29.25" customHeight="1" x14ac:dyDescent="0.3">
      <c r="A42" s="13" t="s">
        <v>22</v>
      </c>
      <c r="B42" s="14">
        <v>38355</v>
      </c>
      <c r="C42" s="14">
        <v>38385</v>
      </c>
      <c r="D42" s="14">
        <v>38413</v>
      </c>
      <c r="E42" s="14">
        <v>38444</v>
      </c>
      <c r="F42" s="14">
        <v>38474</v>
      </c>
      <c r="G42" s="14">
        <v>38505</v>
      </c>
      <c r="H42" s="14">
        <v>38535</v>
      </c>
      <c r="I42" s="14">
        <v>38566</v>
      </c>
      <c r="J42" s="14">
        <v>38597</v>
      </c>
      <c r="K42" s="14">
        <v>38627</v>
      </c>
      <c r="L42" s="14">
        <v>38658</v>
      </c>
      <c r="M42" s="14">
        <v>38688</v>
      </c>
      <c r="N42" s="14">
        <v>38719</v>
      </c>
      <c r="O42" s="14">
        <v>38750</v>
      </c>
      <c r="P42" s="14">
        <v>38778</v>
      </c>
      <c r="Q42" s="14">
        <v>38809</v>
      </c>
      <c r="R42" s="14">
        <v>38839</v>
      </c>
      <c r="S42" s="14">
        <v>38870</v>
      </c>
      <c r="T42" s="14">
        <v>38900</v>
      </c>
      <c r="U42" s="14">
        <v>38931</v>
      </c>
      <c r="V42" s="14">
        <v>38962</v>
      </c>
      <c r="W42" s="14">
        <v>38992</v>
      </c>
      <c r="X42" s="14">
        <v>39023</v>
      </c>
      <c r="Y42" s="14">
        <v>39053</v>
      </c>
      <c r="Z42" s="14">
        <v>39084</v>
      </c>
      <c r="AA42" s="14">
        <v>39115</v>
      </c>
      <c r="AB42" s="14">
        <v>39143</v>
      </c>
      <c r="AC42" s="14">
        <v>39174</v>
      </c>
      <c r="AD42" s="14">
        <v>39204</v>
      </c>
      <c r="AE42" s="14">
        <v>39235</v>
      </c>
      <c r="AF42" s="14">
        <v>39264</v>
      </c>
      <c r="AG42" s="14">
        <v>39324</v>
      </c>
      <c r="AH42" s="14">
        <v>39332</v>
      </c>
      <c r="AI42" s="14">
        <v>39362</v>
      </c>
      <c r="AJ42" s="14">
        <v>39393</v>
      </c>
      <c r="AK42" s="14">
        <v>39417</v>
      </c>
      <c r="AL42" s="14">
        <v>39448</v>
      </c>
      <c r="AM42" s="14">
        <v>39480</v>
      </c>
      <c r="AN42" s="14">
        <v>39509</v>
      </c>
      <c r="AO42" s="14">
        <v>39541</v>
      </c>
      <c r="AP42" s="14">
        <v>39569</v>
      </c>
      <c r="AQ42" s="14">
        <v>39600</v>
      </c>
      <c r="AR42" s="14">
        <v>39630</v>
      </c>
      <c r="AS42" s="14">
        <v>39661</v>
      </c>
      <c r="AT42" s="14">
        <v>39692</v>
      </c>
      <c r="AU42" s="14">
        <v>39722</v>
      </c>
      <c r="AV42" s="14">
        <v>39753</v>
      </c>
      <c r="AW42" s="14">
        <v>39783</v>
      </c>
      <c r="AX42" s="14">
        <v>39814</v>
      </c>
      <c r="AY42" s="14">
        <v>39845</v>
      </c>
      <c r="AZ42" s="14">
        <v>39873</v>
      </c>
      <c r="BA42" s="14">
        <v>39904</v>
      </c>
      <c r="BB42" s="14">
        <v>39934</v>
      </c>
      <c r="BC42" s="14">
        <v>39965</v>
      </c>
      <c r="BD42" s="14">
        <v>39995</v>
      </c>
      <c r="BE42" s="14">
        <v>40027</v>
      </c>
      <c r="BF42" s="14">
        <v>40057</v>
      </c>
      <c r="BG42" s="14">
        <v>40087</v>
      </c>
      <c r="BH42" s="14">
        <v>40118</v>
      </c>
      <c r="BI42" s="14">
        <v>40148</v>
      </c>
      <c r="BJ42" s="14">
        <v>40179</v>
      </c>
      <c r="BK42" s="14">
        <v>40210</v>
      </c>
      <c r="BL42" s="14">
        <v>40238</v>
      </c>
      <c r="BM42" s="14">
        <v>40269</v>
      </c>
      <c r="BN42" s="14">
        <v>40299</v>
      </c>
      <c r="BO42" s="14">
        <v>40330</v>
      </c>
      <c r="BP42" s="14">
        <v>40360</v>
      </c>
      <c r="BQ42" s="14">
        <v>40391</v>
      </c>
      <c r="BR42" s="14">
        <v>40422</v>
      </c>
      <c r="BS42" s="14">
        <v>40452</v>
      </c>
      <c r="BT42" s="14">
        <v>40483</v>
      </c>
      <c r="BU42" s="14">
        <v>40513</v>
      </c>
      <c r="BV42" s="14">
        <v>40544</v>
      </c>
      <c r="BW42" s="14">
        <v>40575</v>
      </c>
      <c r="BX42" s="14">
        <v>40603</v>
      </c>
      <c r="BY42" s="14">
        <v>40634</v>
      </c>
      <c r="BZ42" s="14">
        <v>40664</v>
      </c>
      <c r="CA42" s="14">
        <v>40695</v>
      </c>
      <c r="CB42" s="14">
        <v>40725</v>
      </c>
      <c r="CC42" s="14">
        <v>40756</v>
      </c>
      <c r="CD42" s="14">
        <v>40787</v>
      </c>
      <c r="CE42" s="14">
        <v>40817</v>
      </c>
      <c r="CF42" s="14">
        <v>40849</v>
      </c>
      <c r="CG42" s="14">
        <v>40880</v>
      </c>
      <c r="CH42" s="15">
        <v>40909</v>
      </c>
      <c r="CI42" s="15">
        <v>40940</v>
      </c>
      <c r="CJ42" s="15">
        <v>40969</v>
      </c>
      <c r="CK42" s="15">
        <v>41000</v>
      </c>
      <c r="CL42" s="15">
        <v>41030</v>
      </c>
      <c r="CM42" s="15">
        <v>41061</v>
      </c>
      <c r="CN42" s="15">
        <v>41091</v>
      </c>
      <c r="CO42" s="15">
        <v>41122</v>
      </c>
      <c r="CP42" s="15">
        <v>41153</v>
      </c>
      <c r="CQ42" s="15">
        <v>41183</v>
      </c>
      <c r="CR42" s="15">
        <v>41214</v>
      </c>
      <c r="CS42" s="15">
        <v>41244</v>
      </c>
      <c r="CT42" s="15">
        <v>41287</v>
      </c>
      <c r="CU42" s="15">
        <v>41306</v>
      </c>
      <c r="CV42" s="15">
        <v>41334</v>
      </c>
      <c r="CW42" s="15">
        <v>41365</v>
      </c>
      <c r="CX42" s="15">
        <v>41395</v>
      </c>
      <c r="CY42" s="15">
        <v>41426</v>
      </c>
      <c r="CZ42" s="15">
        <v>41468</v>
      </c>
      <c r="DA42" s="15">
        <v>41487</v>
      </c>
      <c r="DB42" s="15">
        <v>41518</v>
      </c>
      <c r="DC42" s="15">
        <v>41548</v>
      </c>
      <c r="DD42" s="15">
        <v>41580</v>
      </c>
      <c r="DE42" s="15">
        <v>41609</v>
      </c>
      <c r="DF42" s="15">
        <v>41640</v>
      </c>
      <c r="DG42" s="15">
        <v>41671</v>
      </c>
      <c r="DH42" s="15">
        <v>41699</v>
      </c>
      <c r="DI42" s="15">
        <v>41730</v>
      </c>
      <c r="DJ42" s="15">
        <v>41760</v>
      </c>
      <c r="DK42" s="15">
        <v>41791</v>
      </c>
      <c r="DL42" s="15">
        <v>41821</v>
      </c>
      <c r="DM42" s="15">
        <v>41853</v>
      </c>
      <c r="DN42" s="15">
        <v>41885</v>
      </c>
      <c r="DO42" s="15">
        <v>41913</v>
      </c>
      <c r="DP42" s="15">
        <v>41945</v>
      </c>
      <c r="DQ42" s="15">
        <v>41976</v>
      </c>
      <c r="DR42" s="15">
        <v>42005</v>
      </c>
      <c r="DS42" s="15">
        <v>42037</v>
      </c>
      <c r="DT42" s="15">
        <v>42066</v>
      </c>
      <c r="DU42" s="15">
        <v>42095</v>
      </c>
      <c r="DV42" s="15">
        <v>42126</v>
      </c>
      <c r="DW42" s="15">
        <v>42158</v>
      </c>
      <c r="DX42" s="15">
        <v>42189</v>
      </c>
      <c r="DY42" s="15">
        <v>42221</v>
      </c>
      <c r="DZ42" s="15">
        <v>42253</v>
      </c>
      <c r="EA42" s="15">
        <v>42283</v>
      </c>
      <c r="EB42" s="15">
        <v>42315</v>
      </c>
      <c r="EC42" s="15">
        <v>42339</v>
      </c>
      <c r="ED42" s="16">
        <v>42370</v>
      </c>
      <c r="EE42" s="16">
        <v>42401</v>
      </c>
      <c r="EF42" s="16">
        <v>42430</v>
      </c>
      <c r="EG42" s="16">
        <v>42461</v>
      </c>
      <c r="EH42" s="16">
        <v>42491</v>
      </c>
      <c r="EI42" s="16">
        <v>42522</v>
      </c>
      <c r="EJ42" s="16">
        <v>42552</v>
      </c>
      <c r="EK42" s="16">
        <v>42583</v>
      </c>
    </row>
    <row r="43" spans="1:143" s="46" customFormat="1" ht="29.25" customHeight="1" x14ac:dyDescent="0.3">
      <c r="A43" s="97" t="s">
        <v>23</v>
      </c>
      <c r="B43" s="98">
        <v>426165</v>
      </c>
      <c r="C43" s="98">
        <v>432609</v>
      </c>
      <c r="D43" s="98">
        <v>455958</v>
      </c>
      <c r="E43" s="98">
        <v>474753</v>
      </c>
      <c r="F43" s="98">
        <v>517492</v>
      </c>
      <c r="G43" s="98">
        <v>525718</v>
      </c>
      <c r="H43" s="98">
        <v>535469</v>
      </c>
      <c r="I43" s="98">
        <v>534511</v>
      </c>
      <c r="J43" s="98">
        <v>535630</v>
      </c>
      <c r="K43" s="98">
        <v>538551</v>
      </c>
      <c r="L43" s="98">
        <v>521973</v>
      </c>
      <c r="M43" s="98">
        <v>519778</v>
      </c>
      <c r="N43" s="98">
        <v>517735</v>
      </c>
      <c r="O43" s="98">
        <v>515760</v>
      </c>
      <c r="P43" s="98">
        <v>524671</v>
      </c>
      <c r="Q43" s="98">
        <v>521644</v>
      </c>
      <c r="R43" s="98">
        <v>523273</v>
      </c>
      <c r="S43" s="98">
        <v>516708</v>
      </c>
      <c r="T43" s="98">
        <v>514145</v>
      </c>
      <c r="U43" s="98">
        <v>496245</v>
      </c>
      <c r="V43" s="98">
        <v>492557</v>
      </c>
      <c r="W43" s="98">
        <v>485811</v>
      </c>
      <c r="X43" s="98">
        <v>476290</v>
      </c>
      <c r="Y43" s="98">
        <v>470855</v>
      </c>
      <c r="Z43" s="98">
        <v>465262</v>
      </c>
      <c r="AA43" s="98">
        <v>459221</v>
      </c>
      <c r="AB43" s="98">
        <v>450147</v>
      </c>
      <c r="AC43" s="98">
        <v>447858</v>
      </c>
      <c r="AD43" s="98">
        <v>446719</v>
      </c>
      <c r="AE43" s="98">
        <v>432068</v>
      </c>
      <c r="AF43" s="98">
        <v>422315</v>
      </c>
      <c r="AG43" s="98">
        <v>421020</v>
      </c>
      <c r="AH43" s="98">
        <v>419228</v>
      </c>
      <c r="AI43" s="98">
        <v>411653</v>
      </c>
      <c r="AJ43" s="98">
        <v>406475</v>
      </c>
      <c r="AK43" s="98">
        <v>401831</v>
      </c>
      <c r="AL43" s="98">
        <v>398743</v>
      </c>
      <c r="AM43" s="98">
        <v>395395</v>
      </c>
      <c r="AN43" s="98">
        <v>391921</v>
      </c>
      <c r="AO43" s="98">
        <v>388506</v>
      </c>
      <c r="AP43" s="98">
        <v>389393</v>
      </c>
      <c r="AQ43" s="98">
        <v>387193</v>
      </c>
      <c r="AR43" s="98">
        <v>379663</v>
      </c>
      <c r="AS43" s="98">
        <v>376860</v>
      </c>
      <c r="AT43" s="98">
        <v>370764</v>
      </c>
      <c r="AU43" s="98">
        <v>363214</v>
      </c>
      <c r="AV43" s="98">
        <v>359465</v>
      </c>
      <c r="AW43" s="98">
        <v>351869</v>
      </c>
      <c r="AX43" s="98">
        <v>347694</v>
      </c>
      <c r="AY43" s="98">
        <v>344045</v>
      </c>
      <c r="AZ43" s="98">
        <v>340197</v>
      </c>
      <c r="BA43" s="98">
        <v>337816</v>
      </c>
      <c r="BB43" s="98">
        <v>333413</v>
      </c>
      <c r="BC43" s="98">
        <v>329653</v>
      </c>
      <c r="BD43" s="98">
        <v>337831</v>
      </c>
      <c r="BE43" s="98">
        <v>307181</v>
      </c>
      <c r="BF43" s="98">
        <v>304426</v>
      </c>
      <c r="BG43" s="98">
        <v>301875</v>
      </c>
      <c r="BH43" s="98">
        <v>299359</v>
      </c>
      <c r="BI43" s="98">
        <v>296409</v>
      </c>
      <c r="BJ43" s="98">
        <v>294573</v>
      </c>
      <c r="BK43" s="98">
        <v>292321</v>
      </c>
      <c r="BL43" s="98">
        <v>291260</v>
      </c>
      <c r="BM43" s="98">
        <v>288145</v>
      </c>
      <c r="BN43" s="98">
        <v>285167</v>
      </c>
      <c r="BO43" s="98">
        <v>282080</v>
      </c>
      <c r="BP43" s="98">
        <v>280410</v>
      </c>
      <c r="BQ43" s="98">
        <v>277838</v>
      </c>
      <c r="BR43" s="98">
        <v>275131</v>
      </c>
      <c r="BS43" s="98">
        <v>273142</v>
      </c>
      <c r="BT43" s="98">
        <v>270325</v>
      </c>
      <c r="BU43" s="98">
        <v>265624</v>
      </c>
      <c r="BV43" s="98">
        <v>264279</v>
      </c>
      <c r="BW43" s="98">
        <v>261327</v>
      </c>
      <c r="BX43" s="98">
        <v>258900</v>
      </c>
      <c r="BY43" s="98">
        <v>254527</v>
      </c>
      <c r="BZ43" s="98">
        <v>251681</v>
      </c>
      <c r="CA43" s="98">
        <v>242734</v>
      </c>
      <c r="CB43" s="98">
        <v>239805</v>
      </c>
      <c r="CC43" s="98">
        <v>235077</v>
      </c>
      <c r="CD43" s="98">
        <v>232943</v>
      </c>
      <c r="CE43" s="98">
        <v>229862</v>
      </c>
      <c r="CF43" s="98">
        <v>225366</v>
      </c>
      <c r="CG43" s="98">
        <v>220863</v>
      </c>
      <c r="CH43" s="98">
        <v>215955</v>
      </c>
      <c r="CI43" s="98">
        <v>212413</v>
      </c>
      <c r="CJ43" s="98">
        <v>207352</v>
      </c>
      <c r="CK43" s="98">
        <v>205177</v>
      </c>
      <c r="CL43" s="98">
        <v>200052</v>
      </c>
      <c r="CM43" s="98">
        <v>198856</v>
      </c>
      <c r="CN43" s="98">
        <v>196241</v>
      </c>
      <c r="CO43" s="98">
        <v>192461</v>
      </c>
      <c r="CP43" s="98">
        <v>187961</v>
      </c>
      <c r="CQ43" s="98">
        <v>185425</v>
      </c>
      <c r="CR43" s="98">
        <v>182836</v>
      </c>
      <c r="CS43" s="98">
        <v>178958</v>
      </c>
      <c r="CT43" s="98">
        <v>176601</v>
      </c>
      <c r="CU43" s="98">
        <v>174018</v>
      </c>
      <c r="CV43" s="98">
        <v>172318</v>
      </c>
      <c r="CW43" s="98">
        <v>166545</v>
      </c>
      <c r="CX43" s="98">
        <v>163061</v>
      </c>
      <c r="CY43" s="98">
        <v>160385</v>
      </c>
      <c r="CZ43" s="98">
        <v>157445</v>
      </c>
      <c r="DA43" s="98">
        <v>154234</v>
      </c>
      <c r="DB43" s="98">
        <v>151537.32142857142</v>
      </c>
      <c r="DC43" s="98">
        <v>148403</v>
      </c>
      <c r="DD43" s="98">
        <v>145223</v>
      </c>
      <c r="DE43" s="98">
        <v>142188</v>
      </c>
      <c r="DF43" s="98">
        <v>141498</v>
      </c>
      <c r="DG43" s="98">
        <v>139831</v>
      </c>
      <c r="DH43" s="98">
        <v>138473</v>
      </c>
      <c r="DI43" s="98">
        <v>136665</v>
      </c>
      <c r="DJ43" s="98">
        <v>135769</v>
      </c>
      <c r="DK43" s="98">
        <v>134923</v>
      </c>
      <c r="DL43" s="98">
        <v>134000</v>
      </c>
      <c r="DM43" s="98">
        <v>133042</v>
      </c>
      <c r="DN43" s="98">
        <v>131619</v>
      </c>
      <c r="DO43" s="98">
        <v>130630</v>
      </c>
      <c r="DP43" s="98">
        <v>125626</v>
      </c>
      <c r="DQ43" s="98">
        <v>124219</v>
      </c>
      <c r="DR43" s="98">
        <v>122996</v>
      </c>
      <c r="DS43" s="98">
        <v>122849</v>
      </c>
      <c r="DT43" s="98">
        <v>119779</v>
      </c>
      <c r="DU43" s="98">
        <v>115923</v>
      </c>
      <c r="DV43" s="98">
        <v>114608</v>
      </c>
      <c r="DW43" s="98">
        <v>113030</v>
      </c>
      <c r="DX43" s="98">
        <v>111555</v>
      </c>
      <c r="DY43" s="98">
        <v>110090</v>
      </c>
      <c r="DZ43" s="98">
        <v>109324</v>
      </c>
      <c r="EA43" s="98">
        <v>107821</v>
      </c>
      <c r="EB43" s="98">
        <v>104501</v>
      </c>
      <c r="EC43" s="98">
        <v>104501</v>
      </c>
      <c r="ED43" s="98">
        <v>102039</v>
      </c>
      <c r="EE43" s="98">
        <v>100751</v>
      </c>
      <c r="EF43" s="98">
        <v>99623</v>
      </c>
      <c r="EG43" s="98">
        <v>96916</v>
      </c>
      <c r="EH43" s="98">
        <v>95509</v>
      </c>
      <c r="EI43" s="98">
        <v>97002</v>
      </c>
      <c r="EJ43" s="98">
        <v>95869</v>
      </c>
      <c r="EK43" s="98">
        <v>91276</v>
      </c>
    </row>
    <row r="44" spans="1:143" s="46" customFormat="1" ht="29.25" customHeight="1" x14ac:dyDescent="0.3">
      <c r="A44" s="47" t="s">
        <v>21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27">
        <v>-4175</v>
      </c>
      <c r="AY44" s="27">
        <v>-3649</v>
      </c>
      <c r="AZ44" s="27">
        <v>-3848</v>
      </c>
      <c r="BA44" s="27">
        <v>-2381</v>
      </c>
      <c r="BB44" s="27">
        <v>-4403</v>
      </c>
      <c r="BC44" s="27">
        <v>-3760</v>
      </c>
      <c r="BD44" s="27">
        <v>8178</v>
      </c>
      <c r="BE44" s="27">
        <v>-30650</v>
      </c>
      <c r="BF44" s="27">
        <v>-2755</v>
      </c>
      <c r="BG44" s="27">
        <v>-2551</v>
      </c>
      <c r="BH44" s="27">
        <v>-2516</v>
      </c>
      <c r="BI44" s="27">
        <v>-2950</v>
      </c>
      <c r="BJ44" s="27">
        <v>-1836</v>
      </c>
      <c r="BK44" s="27">
        <v>-2252</v>
      </c>
      <c r="BL44" s="27">
        <v>-1061</v>
      </c>
      <c r="BM44" s="27">
        <v>-3115</v>
      </c>
      <c r="BN44" s="27">
        <v>-2978</v>
      </c>
      <c r="BO44" s="27">
        <v>-3087</v>
      </c>
      <c r="BP44" s="27">
        <v>-1670</v>
      </c>
      <c r="BQ44" s="27">
        <v>-2572</v>
      </c>
      <c r="BR44" s="27">
        <v>-2707</v>
      </c>
      <c r="BS44" s="27">
        <v>-1989</v>
      </c>
      <c r="BT44" s="27">
        <v>-2817</v>
      </c>
      <c r="BU44" s="27">
        <v>-4701</v>
      </c>
      <c r="BV44" s="27">
        <v>-1345</v>
      </c>
      <c r="BW44" s="27">
        <v>-2952</v>
      </c>
      <c r="BX44" s="27">
        <v>-2427</v>
      </c>
      <c r="BY44" s="27">
        <v>-4373</v>
      </c>
      <c r="BZ44" s="27">
        <v>-2846</v>
      </c>
      <c r="CA44" s="27">
        <v>-8947</v>
      </c>
      <c r="CB44" s="27">
        <v>-2929</v>
      </c>
      <c r="CC44" s="27">
        <v>-4728</v>
      </c>
      <c r="CD44" s="27">
        <v>-2134</v>
      </c>
      <c r="CE44" s="27">
        <v>-3081</v>
      </c>
      <c r="CF44" s="27">
        <v>-4496</v>
      </c>
      <c r="CG44" s="27">
        <v>-4503</v>
      </c>
      <c r="CH44" s="27">
        <v>-4908</v>
      </c>
      <c r="CI44" s="27">
        <v>-3542</v>
      </c>
      <c r="CJ44" s="27">
        <v>-5061</v>
      </c>
      <c r="CK44" s="27">
        <v>-2175</v>
      </c>
      <c r="CL44" s="27">
        <v>-5125</v>
      </c>
      <c r="CM44" s="27">
        <v>-1196</v>
      </c>
      <c r="CN44" s="27">
        <v>-2615</v>
      </c>
      <c r="CO44" s="27">
        <v>-3780</v>
      </c>
      <c r="CP44" s="27">
        <v>-4500</v>
      </c>
      <c r="CQ44" s="27">
        <v>-2536</v>
      </c>
      <c r="CR44" s="27">
        <v>-2589</v>
      </c>
      <c r="CS44" s="27">
        <v>-3878</v>
      </c>
      <c r="CT44" s="27">
        <v>-2357</v>
      </c>
      <c r="CU44" s="27">
        <v>-2583</v>
      </c>
      <c r="CV44" s="27">
        <v>-1700</v>
      </c>
      <c r="CW44" s="27">
        <v>-5773</v>
      </c>
      <c r="CX44" s="27">
        <v>-3484</v>
      </c>
      <c r="CY44" s="27">
        <f t="shared" ref="CY44:DF44" si="0">CY43-CX43</f>
        <v>-2676</v>
      </c>
      <c r="CZ44" s="27">
        <f t="shared" si="0"/>
        <v>-2940</v>
      </c>
      <c r="DA44" s="27">
        <f t="shared" si="0"/>
        <v>-3211</v>
      </c>
      <c r="DB44" s="27">
        <f t="shared" si="0"/>
        <v>-2696.6785714285797</v>
      </c>
      <c r="DC44" s="27">
        <f t="shared" si="0"/>
        <v>-3134.3214285714203</v>
      </c>
      <c r="DD44" s="27">
        <f t="shared" si="0"/>
        <v>-3180</v>
      </c>
      <c r="DE44" s="27">
        <f t="shared" si="0"/>
        <v>-3035</v>
      </c>
      <c r="DF44" s="27">
        <f t="shared" si="0"/>
        <v>-690</v>
      </c>
      <c r="DG44" s="27">
        <v>-3013</v>
      </c>
      <c r="DH44" s="27">
        <v>-3035</v>
      </c>
      <c r="DI44" s="27">
        <v>-2895</v>
      </c>
      <c r="DJ44" s="27">
        <v>-5648</v>
      </c>
      <c r="DK44" s="27">
        <f t="shared" ref="DK44:DQ44" si="1">DK43-DJ43</f>
        <v>-846</v>
      </c>
      <c r="DL44" s="27">
        <f t="shared" si="1"/>
        <v>-923</v>
      </c>
      <c r="DM44" s="27">
        <f t="shared" si="1"/>
        <v>-958</v>
      </c>
      <c r="DN44" s="27">
        <f t="shared" si="1"/>
        <v>-1423</v>
      </c>
      <c r="DO44" s="27">
        <f t="shared" si="1"/>
        <v>-989</v>
      </c>
      <c r="DP44" s="27">
        <f t="shared" si="1"/>
        <v>-5004</v>
      </c>
      <c r="DQ44" s="27">
        <f t="shared" si="1"/>
        <v>-1407</v>
      </c>
      <c r="DR44" s="27">
        <v>-1223</v>
      </c>
      <c r="DS44" s="27">
        <v>-147</v>
      </c>
      <c r="DT44" s="27">
        <f t="shared" ref="DT44:EA44" si="2">DT43-DS43</f>
        <v>-3070</v>
      </c>
      <c r="DU44" s="27">
        <f t="shared" si="2"/>
        <v>-3856</v>
      </c>
      <c r="DV44" s="27">
        <f t="shared" si="2"/>
        <v>-1315</v>
      </c>
      <c r="DW44" s="27">
        <f t="shared" si="2"/>
        <v>-1578</v>
      </c>
      <c r="DX44" s="27">
        <f t="shared" si="2"/>
        <v>-1475</v>
      </c>
      <c r="DY44" s="27">
        <f t="shared" si="2"/>
        <v>-1465</v>
      </c>
      <c r="DZ44" s="27">
        <f t="shared" si="2"/>
        <v>-766</v>
      </c>
      <c r="EA44" s="27">
        <f t="shared" si="2"/>
        <v>-1503</v>
      </c>
      <c r="EB44" s="27">
        <f>EB43-DZ43</f>
        <v>-4823</v>
      </c>
      <c r="EC44" s="27">
        <v>0</v>
      </c>
      <c r="ED44" s="27">
        <v>-2462</v>
      </c>
      <c r="EE44" s="27">
        <v>-1288</v>
      </c>
      <c r="EF44" s="27">
        <v>-1128</v>
      </c>
      <c r="EG44" s="27">
        <v>-2707</v>
      </c>
      <c r="EH44" s="27">
        <v>-1407</v>
      </c>
      <c r="EI44" s="27">
        <v>1493</v>
      </c>
      <c r="EJ44" s="27">
        <v>-1133</v>
      </c>
      <c r="EK44" s="27">
        <v>-4593</v>
      </c>
    </row>
    <row r="45" spans="1:143" s="46" customFormat="1" ht="29.25" customHeight="1" x14ac:dyDescent="0.3">
      <c r="A45" s="93" t="s">
        <v>99</v>
      </c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2">
        <v>13000</v>
      </c>
      <c r="BK45" s="102">
        <v>13000</v>
      </c>
      <c r="BL45" s="102">
        <v>13000</v>
      </c>
      <c r="BM45" s="102">
        <v>14660</v>
      </c>
      <c r="BN45" s="102">
        <v>18223</v>
      </c>
      <c r="BO45" s="102">
        <v>25432</v>
      </c>
      <c r="BP45" s="102">
        <v>29321</v>
      </c>
      <c r="BQ45" s="102">
        <v>34046</v>
      </c>
      <c r="BR45" s="102">
        <v>36850</v>
      </c>
      <c r="BS45" s="102">
        <v>39839</v>
      </c>
      <c r="BT45" s="102">
        <v>41693</v>
      </c>
      <c r="BU45" s="102">
        <v>43395</v>
      </c>
      <c r="BV45" s="102">
        <v>44047</v>
      </c>
      <c r="BW45" s="102">
        <v>47094</v>
      </c>
      <c r="BX45" s="102">
        <v>51859</v>
      </c>
      <c r="BY45" s="102">
        <v>57356</v>
      </c>
      <c r="BZ45" s="102">
        <v>65573</v>
      </c>
      <c r="CA45" s="102">
        <v>74742</v>
      </c>
      <c r="CB45" s="102">
        <v>79648</v>
      </c>
      <c r="CC45" s="102">
        <v>84364</v>
      </c>
      <c r="CD45" s="102">
        <v>90383</v>
      </c>
      <c r="CE45" s="102">
        <v>94599</v>
      </c>
      <c r="CF45" s="102">
        <v>98711</v>
      </c>
      <c r="CG45" s="102">
        <v>100156</v>
      </c>
      <c r="CH45" s="102">
        <v>100530</v>
      </c>
      <c r="CI45" s="102">
        <v>105178</v>
      </c>
      <c r="CJ45" s="102">
        <v>105598</v>
      </c>
      <c r="CK45" s="102">
        <v>107755</v>
      </c>
      <c r="CL45" s="102">
        <v>108756</v>
      </c>
      <c r="CM45" s="102">
        <v>109793</v>
      </c>
      <c r="CN45" s="102">
        <v>110611</v>
      </c>
      <c r="CO45" s="102">
        <v>111130</v>
      </c>
      <c r="CP45" s="102">
        <v>111170</v>
      </c>
      <c r="CQ45" s="102">
        <v>111708</v>
      </c>
      <c r="CR45" s="102">
        <v>112163</v>
      </c>
      <c r="CS45" s="102">
        <v>112972</v>
      </c>
      <c r="CT45" s="102">
        <v>112991</v>
      </c>
      <c r="CU45" s="102">
        <v>113057</v>
      </c>
      <c r="CV45" s="102">
        <v>113141</v>
      </c>
      <c r="CW45" s="102">
        <v>113256</v>
      </c>
      <c r="CX45" s="102">
        <v>113371</v>
      </c>
      <c r="CY45" s="102">
        <v>113467</v>
      </c>
      <c r="CZ45" s="102">
        <v>113661</v>
      </c>
      <c r="DA45" s="102">
        <v>113703</v>
      </c>
      <c r="DB45" s="102">
        <v>113783</v>
      </c>
      <c r="DC45" s="102">
        <v>113839</v>
      </c>
      <c r="DD45" s="102">
        <v>113919</v>
      </c>
      <c r="DE45" s="102">
        <v>114107</v>
      </c>
      <c r="DF45" s="102">
        <v>114318</v>
      </c>
      <c r="DG45" s="102">
        <v>114318</v>
      </c>
      <c r="DH45" s="102">
        <v>114318</v>
      </c>
      <c r="DI45" s="102">
        <v>114318</v>
      </c>
      <c r="DJ45" s="102">
        <v>114318</v>
      </c>
      <c r="DK45" s="102">
        <v>114318</v>
      </c>
      <c r="DL45" s="102">
        <v>114318</v>
      </c>
      <c r="DM45" s="102">
        <v>114318</v>
      </c>
      <c r="DN45" s="102">
        <v>114318</v>
      </c>
      <c r="DO45" s="102">
        <v>114318</v>
      </c>
      <c r="DP45" s="102">
        <v>114318</v>
      </c>
      <c r="DQ45" s="102">
        <v>114318</v>
      </c>
      <c r="DR45" s="102">
        <v>114318</v>
      </c>
      <c r="DS45" s="102">
        <v>114318</v>
      </c>
      <c r="DT45" s="102">
        <v>114318</v>
      </c>
      <c r="DU45" s="102">
        <v>114318</v>
      </c>
      <c r="DV45" s="102">
        <v>114318</v>
      </c>
      <c r="DW45" s="102">
        <v>114318</v>
      </c>
      <c r="DX45" s="102">
        <v>114318</v>
      </c>
      <c r="DY45" s="102">
        <v>114318</v>
      </c>
      <c r="DZ45" s="102">
        <v>114318</v>
      </c>
      <c r="EA45" s="102">
        <v>114318</v>
      </c>
      <c r="EB45" s="102">
        <v>114318</v>
      </c>
      <c r="EC45" s="102">
        <v>114318</v>
      </c>
      <c r="ED45" s="102">
        <v>114318</v>
      </c>
      <c r="EE45" s="102">
        <v>114318</v>
      </c>
      <c r="EF45" s="102">
        <v>114318</v>
      </c>
      <c r="EG45" s="102">
        <v>114318</v>
      </c>
      <c r="EH45" s="102">
        <v>114318</v>
      </c>
      <c r="EI45" s="102">
        <v>114318</v>
      </c>
      <c r="EJ45" s="102">
        <v>114318</v>
      </c>
      <c r="EK45" s="102">
        <v>114318</v>
      </c>
    </row>
    <row r="46" spans="1:143" s="42" customFormat="1" ht="24.75" customHeight="1" x14ac:dyDescent="0.3">
      <c r="A46" s="103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104"/>
      <c r="CJ46" s="104"/>
      <c r="CK46" s="104"/>
      <c r="CL46" s="104"/>
      <c r="CM46" s="104"/>
      <c r="CN46" s="104"/>
      <c r="CO46" s="104"/>
      <c r="CP46" s="104"/>
      <c r="CQ46" s="104"/>
      <c r="CR46" s="104"/>
      <c r="CS46" s="104"/>
      <c r="CT46" s="105"/>
      <c r="CU46" s="105"/>
      <c r="CV46" s="105"/>
      <c r="CW46" s="105"/>
      <c r="CX46" s="105"/>
      <c r="CY46" s="105"/>
      <c r="CZ46" s="105"/>
      <c r="DA46" s="105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5"/>
      <c r="DV46" s="105"/>
      <c r="DW46" s="105"/>
      <c r="DX46" s="105"/>
      <c r="DY46" s="105"/>
      <c r="DZ46" s="105"/>
      <c r="EA46" s="105"/>
      <c r="EB46" s="105"/>
      <c r="EC46" s="105"/>
      <c r="ED46" s="105"/>
      <c r="EE46" s="105"/>
      <c r="EF46" s="105"/>
      <c r="EG46" s="105"/>
      <c r="EH46" s="105"/>
      <c r="EI46" s="105"/>
      <c r="EJ46" s="105"/>
      <c r="EK46" s="105"/>
    </row>
    <row r="47" spans="1:143" s="44" customFormat="1" ht="29.25" customHeight="1" x14ac:dyDescent="0.3">
      <c r="A47" s="106" t="s">
        <v>24</v>
      </c>
      <c r="B47" s="107">
        <v>38355</v>
      </c>
      <c r="C47" s="107">
        <v>38385</v>
      </c>
      <c r="D47" s="107">
        <v>38413</v>
      </c>
      <c r="E47" s="107">
        <v>38444</v>
      </c>
      <c r="F47" s="107">
        <v>38474</v>
      </c>
      <c r="G47" s="107">
        <v>38505</v>
      </c>
      <c r="H47" s="107">
        <v>38535</v>
      </c>
      <c r="I47" s="107">
        <v>38566</v>
      </c>
      <c r="J47" s="107">
        <v>38597</v>
      </c>
      <c r="K47" s="107">
        <v>38627</v>
      </c>
      <c r="L47" s="107">
        <v>38658</v>
      </c>
      <c r="M47" s="107">
        <v>38688</v>
      </c>
      <c r="N47" s="107">
        <v>38719</v>
      </c>
      <c r="O47" s="107">
        <v>38750</v>
      </c>
      <c r="P47" s="107">
        <v>38778</v>
      </c>
      <c r="Q47" s="107">
        <v>38809</v>
      </c>
      <c r="R47" s="107">
        <v>38839</v>
      </c>
      <c r="S47" s="107">
        <v>38870</v>
      </c>
      <c r="T47" s="107">
        <v>38900</v>
      </c>
      <c r="U47" s="107">
        <v>38931</v>
      </c>
      <c r="V47" s="107">
        <v>38962</v>
      </c>
      <c r="W47" s="107">
        <v>38992</v>
      </c>
      <c r="X47" s="107">
        <v>39023</v>
      </c>
      <c r="Y47" s="107">
        <v>39053</v>
      </c>
      <c r="Z47" s="107">
        <v>39084</v>
      </c>
      <c r="AA47" s="107">
        <v>39115</v>
      </c>
      <c r="AB47" s="107">
        <v>39143</v>
      </c>
      <c r="AC47" s="107">
        <v>39174</v>
      </c>
      <c r="AD47" s="107">
        <v>39204</v>
      </c>
      <c r="AE47" s="107">
        <v>39235</v>
      </c>
      <c r="AF47" s="107">
        <v>39264</v>
      </c>
      <c r="AG47" s="107">
        <v>39324</v>
      </c>
      <c r="AH47" s="107">
        <v>39332</v>
      </c>
      <c r="AI47" s="107">
        <v>39362</v>
      </c>
      <c r="AJ47" s="107">
        <v>39393</v>
      </c>
      <c r="AK47" s="107">
        <v>39417</v>
      </c>
      <c r="AL47" s="107">
        <v>39448</v>
      </c>
      <c r="AM47" s="107">
        <v>39480</v>
      </c>
      <c r="AN47" s="107">
        <v>39509</v>
      </c>
      <c r="AO47" s="107">
        <v>39541</v>
      </c>
      <c r="AP47" s="107">
        <v>39569</v>
      </c>
      <c r="AQ47" s="107">
        <v>39600</v>
      </c>
      <c r="AR47" s="107">
        <v>39630</v>
      </c>
      <c r="AS47" s="107">
        <v>39661</v>
      </c>
      <c r="AT47" s="107">
        <v>39692</v>
      </c>
      <c r="AU47" s="107">
        <v>39722</v>
      </c>
      <c r="AV47" s="107">
        <v>39753</v>
      </c>
      <c r="AW47" s="107">
        <v>39783</v>
      </c>
      <c r="AX47" s="107">
        <v>39814</v>
      </c>
      <c r="AY47" s="107">
        <v>39845</v>
      </c>
      <c r="AZ47" s="107">
        <v>39873</v>
      </c>
      <c r="BA47" s="107">
        <v>39904</v>
      </c>
      <c r="BB47" s="107">
        <v>39934</v>
      </c>
      <c r="BC47" s="107">
        <v>39965</v>
      </c>
      <c r="BD47" s="107">
        <v>39995</v>
      </c>
      <c r="BE47" s="107">
        <v>40027</v>
      </c>
      <c r="BF47" s="107">
        <v>40057</v>
      </c>
      <c r="BG47" s="107">
        <v>40087</v>
      </c>
      <c r="BH47" s="107">
        <v>40118</v>
      </c>
      <c r="BI47" s="107">
        <v>40148</v>
      </c>
      <c r="BJ47" s="107">
        <v>40179</v>
      </c>
      <c r="BK47" s="107">
        <v>40210</v>
      </c>
      <c r="BL47" s="107">
        <v>40238</v>
      </c>
      <c r="BM47" s="107">
        <v>40269</v>
      </c>
      <c r="BN47" s="107">
        <v>40299</v>
      </c>
      <c r="BO47" s="107">
        <v>40330</v>
      </c>
      <c r="BP47" s="107">
        <v>40360</v>
      </c>
      <c r="BQ47" s="107">
        <v>40391</v>
      </c>
      <c r="BR47" s="107">
        <v>40422</v>
      </c>
      <c r="BS47" s="107">
        <v>40452</v>
      </c>
      <c r="BT47" s="107">
        <v>40483</v>
      </c>
      <c r="BU47" s="107">
        <v>40513</v>
      </c>
      <c r="BV47" s="107">
        <v>40544</v>
      </c>
      <c r="BW47" s="107">
        <v>40575</v>
      </c>
      <c r="BX47" s="107">
        <v>40603</v>
      </c>
      <c r="BY47" s="107">
        <v>40634</v>
      </c>
      <c r="BZ47" s="107">
        <v>40664</v>
      </c>
      <c r="CA47" s="107">
        <v>40695</v>
      </c>
      <c r="CB47" s="107">
        <v>40725</v>
      </c>
      <c r="CC47" s="107">
        <v>40756</v>
      </c>
      <c r="CD47" s="107">
        <v>40787</v>
      </c>
      <c r="CE47" s="107">
        <v>40817</v>
      </c>
      <c r="CF47" s="107">
        <v>40849</v>
      </c>
      <c r="CG47" s="107">
        <v>40880</v>
      </c>
      <c r="CH47" s="107">
        <v>40909</v>
      </c>
      <c r="CI47" s="107">
        <v>40940</v>
      </c>
      <c r="CJ47" s="107">
        <v>40969</v>
      </c>
      <c r="CK47" s="107">
        <v>41000</v>
      </c>
      <c r="CL47" s="107">
        <v>41030</v>
      </c>
      <c r="CM47" s="107">
        <v>41061</v>
      </c>
      <c r="CN47" s="107">
        <v>41091</v>
      </c>
      <c r="CO47" s="107">
        <v>41122</v>
      </c>
      <c r="CP47" s="107">
        <v>41153</v>
      </c>
      <c r="CQ47" s="107">
        <v>41183</v>
      </c>
      <c r="CR47" s="107">
        <v>41214</v>
      </c>
      <c r="CS47" s="107">
        <v>41244</v>
      </c>
      <c r="CT47" s="107">
        <v>41287</v>
      </c>
      <c r="CU47" s="107">
        <v>41306</v>
      </c>
      <c r="CV47" s="107">
        <v>41334</v>
      </c>
      <c r="CW47" s="107">
        <v>41365</v>
      </c>
      <c r="CX47" s="107">
        <v>41395</v>
      </c>
      <c r="CY47" s="107">
        <v>41426</v>
      </c>
      <c r="CZ47" s="107">
        <v>41468</v>
      </c>
      <c r="DA47" s="107">
        <v>41487</v>
      </c>
      <c r="DB47" s="107">
        <v>41518</v>
      </c>
      <c r="DC47" s="107">
        <v>41548</v>
      </c>
      <c r="DD47" s="107">
        <v>41579</v>
      </c>
      <c r="DE47" s="107">
        <v>41609</v>
      </c>
      <c r="DF47" s="107">
        <v>41640</v>
      </c>
      <c r="DG47" s="107">
        <v>41671</v>
      </c>
      <c r="DH47" s="107">
        <v>41699</v>
      </c>
      <c r="DI47" s="107">
        <v>41730</v>
      </c>
      <c r="DJ47" s="107">
        <v>41760</v>
      </c>
      <c r="DK47" s="107">
        <v>41791</v>
      </c>
      <c r="DL47" s="107">
        <v>41822</v>
      </c>
      <c r="DM47" s="107">
        <v>41854</v>
      </c>
      <c r="DN47" s="107">
        <v>41886</v>
      </c>
      <c r="DO47" s="107">
        <v>41913</v>
      </c>
      <c r="DP47" s="107">
        <v>41945</v>
      </c>
      <c r="DQ47" s="107">
        <v>41976</v>
      </c>
      <c r="DR47" s="107">
        <v>42005</v>
      </c>
      <c r="DS47" s="107">
        <v>42037</v>
      </c>
      <c r="DT47" s="107">
        <v>42066</v>
      </c>
      <c r="DU47" s="107">
        <v>42095</v>
      </c>
      <c r="DV47" s="107">
        <v>42126</v>
      </c>
      <c r="DW47" s="107">
        <v>42158</v>
      </c>
      <c r="DX47" s="107">
        <v>42189</v>
      </c>
      <c r="DY47" s="107">
        <v>42221</v>
      </c>
      <c r="DZ47" s="107">
        <v>42253</v>
      </c>
      <c r="EA47" s="107">
        <v>42283</v>
      </c>
      <c r="EB47" s="107">
        <v>42314</v>
      </c>
      <c r="EC47" s="107">
        <v>42339</v>
      </c>
      <c r="ED47" s="107">
        <v>42370</v>
      </c>
      <c r="EE47" s="107">
        <v>42401</v>
      </c>
      <c r="EF47" s="107">
        <v>42430</v>
      </c>
      <c r="EG47" s="107">
        <v>42461</v>
      </c>
      <c r="EH47" s="107">
        <v>42491</v>
      </c>
      <c r="EI47" s="107">
        <v>42522</v>
      </c>
      <c r="EJ47" s="107">
        <v>42552</v>
      </c>
      <c r="EK47" s="107">
        <v>42583</v>
      </c>
    </row>
    <row r="48" spans="1:143" s="112" customFormat="1" ht="29.25" customHeight="1" x14ac:dyDescent="0.3">
      <c r="A48" s="108" t="s">
        <v>25</v>
      </c>
      <c r="B48" s="109">
        <v>48294</v>
      </c>
      <c r="C48" s="109">
        <v>48294</v>
      </c>
      <c r="D48" s="109">
        <v>48294</v>
      </c>
      <c r="E48" s="109">
        <v>48294</v>
      </c>
      <c r="F48" s="109">
        <v>48294</v>
      </c>
      <c r="G48" s="109">
        <v>48294</v>
      </c>
      <c r="H48" s="109">
        <v>48294</v>
      </c>
      <c r="I48" s="109">
        <v>48294</v>
      </c>
      <c r="J48" s="109">
        <v>48294</v>
      </c>
      <c r="K48" s="109">
        <v>48294</v>
      </c>
      <c r="L48" s="109">
        <v>48294</v>
      </c>
      <c r="M48" s="109">
        <v>48294</v>
      </c>
      <c r="N48" s="109">
        <v>48311.061000000002</v>
      </c>
      <c r="O48" s="109">
        <v>48327.98</v>
      </c>
      <c r="P48" s="109">
        <v>48343.898000000001</v>
      </c>
      <c r="Q48" s="109">
        <v>48361.817000000003</v>
      </c>
      <c r="R48" s="109">
        <v>48480.56</v>
      </c>
      <c r="S48" s="109">
        <v>48498.455000000002</v>
      </c>
      <c r="T48" s="109">
        <v>48514</v>
      </c>
      <c r="U48" s="109">
        <v>48530</v>
      </c>
      <c r="V48" s="109">
        <v>48547</v>
      </c>
      <c r="W48" s="109">
        <v>48563</v>
      </c>
      <c r="X48" s="109">
        <v>48364</v>
      </c>
      <c r="Y48" s="109">
        <v>48378</v>
      </c>
      <c r="Z48" s="109">
        <v>48391</v>
      </c>
      <c r="AA48" s="109">
        <v>48405</v>
      </c>
      <c r="AB48" s="109">
        <v>48417.5</v>
      </c>
      <c r="AC48" s="109">
        <v>48430.59</v>
      </c>
      <c r="AD48" s="109">
        <v>48443.65</v>
      </c>
      <c r="AE48" s="109">
        <v>48457.34</v>
      </c>
      <c r="AF48" s="109">
        <v>48457.34</v>
      </c>
      <c r="AG48" s="109">
        <v>48457.34</v>
      </c>
      <c r="AH48" s="109">
        <v>48457.34</v>
      </c>
      <c r="AI48" s="109">
        <v>48457.34</v>
      </c>
      <c r="AJ48" s="109">
        <v>48457.34</v>
      </c>
      <c r="AK48" s="109">
        <v>48457.34</v>
      </c>
      <c r="AL48" s="110">
        <v>48443520</v>
      </c>
      <c r="AM48" s="110">
        <v>48481440.337036274</v>
      </c>
      <c r="AN48" s="110">
        <v>48493980.869603455</v>
      </c>
      <c r="AO48" s="110">
        <v>48506524.64598839</v>
      </c>
      <c r="AP48" s="110">
        <v>48519071.667030148</v>
      </c>
      <c r="AQ48" s="110">
        <v>48531621.933568016</v>
      </c>
      <c r="AR48" s="110">
        <v>48544175.446441494</v>
      </c>
      <c r="AS48" s="110">
        <v>48556732.206490308</v>
      </c>
      <c r="AT48" s="110">
        <v>48569292</v>
      </c>
      <c r="AU48" s="110">
        <v>48581855.47147388</v>
      </c>
      <c r="AV48" s="110">
        <v>48594421.978089169</v>
      </c>
      <c r="AW48" s="110">
        <v>48606991.735240802</v>
      </c>
      <c r="AX48" s="110">
        <v>48618000</v>
      </c>
      <c r="AY48" s="110">
        <v>48630104.851361401</v>
      </c>
      <c r="AZ48" s="110">
        <v>48641767.97150825</v>
      </c>
      <c r="BA48" s="110">
        <v>48653433.888860099</v>
      </c>
      <c r="BB48" s="110">
        <v>48654433.888860099</v>
      </c>
      <c r="BC48" s="110">
        <v>48676774.117862299</v>
      </c>
      <c r="BD48" s="110">
        <v>48688448.430854902</v>
      </c>
      <c r="BE48" s="110">
        <v>48700125.543736912</v>
      </c>
      <c r="BF48" s="110">
        <v>48711805.457179815</v>
      </c>
      <c r="BG48" s="110">
        <v>48723488.171855293</v>
      </c>
      <c r="BH48" s="110">
        <v>48735173.688435175</v>
      </c>
      <c r="BI48" s="110">
        <v>48746862.007591501</v>
      </c>
      <c r="BJ48" s="110">
        <v>48757501.756958872</v>
      </c>
      <c r="BK48" s="110">
        <v>48768141.506326243</v>
      </c>
      <c r="BL48" s="110">
        <v>48778781.255693614</v>
      </c>
      <c r="BM48" s="110">
        <v>48789421.005060986</v>
      </c>
      <c r="BN48" s="110">
        <v>48800060.754428357</v>
      </c>
      <c r="BO48" s="110">
        <v>48810700.503795728</v>
      </c>
      <c r="BP48" s="110">
        <v>48821340.253163099</v>
      </c>
      <c r="BQ48" s="110">
        <v>48831980.00253047</v>
      </c>
      <c r="BR48" s="110">
        <v>48842619.751897842</v>
      </c>
      <c r="BS48" s="110">
        <v>48853259.501265213</v>
      </c>
      <c r="BT48" s="110">
        <v>48863899.250632584</v>
      </c>
      <c r="BU48" s="110">
        <v>48874539</v>
      </c>
      <c r="BV48" s="110">
        <v>48884063.5</v>
      </c>
      <c r="BW48" s="110">
        <v>48893588</v>
      </c>
      <c r="BX48" s="110">
        <v>48903112.5</v>
      </c>
      <c r="BY48" s="110">
        <v>48912637</v>
      </c>
      <c r="BZ48" s="110">
        <v>48922161.5</v>
      </c>
      <c r="CA48" s="110">
        <v>48931686</v>
      </c>
      <c r="CB48" s="110">
        <v>48941210</v>
      </c>
      <c r="CC48" s="110">
        <v>48950735</v>
      </c>
      <c r="CD48" s="110">
        <v>48960259.5</v>
      </c>
      <c r="CE48" s="110">
        <v>48969784</v>
      </c>
      <c r="CF48" s="110">
        <v>48979309</v>
      </c>
      <c r="CG48" s="110">
        <v>49779440</v>
      </c>
      <c r="CH48" s="110">
        <v>49798190.083333336</v>
      </c>
      <c r="CI48" s="110">
        <v>49816940.166666672</v>
      </c>
      <c r="CJ48" s="110">
        <v>49835690.250000007</v>
      </c>
      <c r="CK48" s="110">
        <v>49854440.333333343</v>
      </c>
      <c r="CL48" s="110">
        <v>49873190.416666679</v>
      </c>
      <c r="CM48" s="110">
        <v>49891940.500000015</v>
      </c>
      <c r="CN48" s="110">
        <v>49910690.583333351</v>
      </c>
      <c r="CO48" s="110">
        <v>49929440.666666687</v>
      </c>
      <c r="CP48" s="110">
        <v>49948190.750000022</v>
      </c>
      <c r="CQ48" s="110">
        <v>49966940.833333358</v>
      </c>
      <c r="CR48" s="110">
        <v>49985690.916666694</v>
      </c>
      <c r="CS48" s="111">
        <v>50004441</v>
      </c>
      <c r="CT48" s="111">
        <v>50022376.666666664</v>
      </c>
      <c r="CU48" s="111">
        <v>50040312.333333328</v>
      </c>
      <c r="CV48" s="111">
        <v>50058247.999999993</v>
      </c>
      <c r="CW48" s="111">
        <v>50076183.666666657</v>
      </c>
      <c r="CX48" s="111">
        <v>50094119.333333321</v>
      </c>
      <c r="CY48" s="111">
        <v>50112054.999999985</v>
      </c>
      <c r="CZ48" s="111">
        <v>50129990.666666649</v>
      </c>
      <c r="DA48" s="111">
        <v>50147926.333333313</v>
      </c>
      <c r="DB48" s="111">
        <v>50165861.999999978</v>
      </c>
      <c r="DC48" s="111">
        <v>50183797.666666642</v>
      </c>
      <c r="DD48" s="111">
        <v>50201733.333333306</v>
      </c>
      <c r="DE48" s="111">
        <v>50219668.99999997</v>
      </c>
      <c r="DF48" s="111">
        <v>50236692.833333306</v>
      </c>
      <c r="DG48" s="111">
        <v>50253716.666666642</v>
      </c>
      <c r="DH48" s="111">
        <v>50270740.499999978</v>
      </c>
      <c r="DI48" s="111">
        <v>50287764.333333313</v>
      </c>
      <c r="DJ48" s="111">
        <v>50304788.166666649</v>
      </c>
      <c r="DK48" s="111">
        <v>50321811.999999985</v>
      </c>
      <c r="DL48" s="111">
        <v>50338835.833333321</v>
      </c>
      <c r="DM48" s="111">
        <v>50355859.666666657</v>
      </c>
      <c r="DN48" s="111">
        <v>50372883.499999993</v>
      </c>
      <c r="DO48" s="111">
        <v>50389907.333333328</v>
      </c>
      <c r="DP48" s="111">
        <v>50406931.166666664</v>
      </c>
      <c r="DQ48" s="111">
        <v>50423955</v>
      </c>
      <c r="DR48" s="111">
        <v>50440045.833333336</v>
      </c>
      <c r="DS48" s="111">
        <v>50456136.666666672</v>
      </c>
      <c r="DT48" s="111">
        <v>50472227.500000007</v>
      </c>
      <c r="DU48" s="111">
        <v>50488318.333333343</v>
      </c>
      <c r="DV48" s="111">
        <v>50504409.166666679</v>
      </c>
      <c r="DW48" s="111">
        <v>50520500.000000015</v>
      </c>
      <c r="DX48" s="111">
        <v>50536590.833333351</v>
      </c>
      <c r="DY48" s="111">
        <v>50552681.666666687</v>
      </c>
      <c r="DZ48" s="111">
        <v>50568772.500000022</v>
      </c>
      <c r="EA48" s="111">
        <v>50584863.333333358</v>
      </c>
      <c r="EB48" s="111">
        <v>50600954.166666694</v>
      </c>
      <c r="EC48" s="111">
        <v>50617045</v>
      </c>
      <c r="ED48" s="111">
        <v>50633136</v>
      </c>
      <c r="EE48" s="111">
        <v>50649227</v>
      </c>
      <c r="EF48" s="111">
        <v>50665317.5</v>
      </c>
      <c r="EG48" s="111">
        <v>50681408.299999997</v>
      </c>
      <c r="EH48" s="111">
        <v>50697499.200000003</v>
      </c>
      <c r="EI48" s="111">
        <v>50713590.000000045</v>
      </c>
      <c r="EJ48" s="111">
        <v>50729680.800000101</v>
      </c>
      <c r="EK48" s="111">
        <v>50745771.600000203</v>
      </c>
    </row>
    <row r="49" spans="1:141" s="112" customFormat="1" ht="29.25" customHeight="1" x14ac:dyDescent="0.3">
      <c r="A49" s="113" t="s">
        <v>26</v>
      </c>
      <c r="B49" s="114">
        <v>15789</v>
      </c>
      <c r="C49" s="114">
        <v>15789</v>
      </c>
      <c r="D49" s="114">
        <v>15789</v>
      </c>
      <c r="E49" s="114">
        <v>15789</v>
      </c>
      <c r="F49" s="114">
        <v>15789</v>
      </c>
      <c r="G49" s="114">
        <v>15789</v>
      </c>
      <c r="H49" s="114">
        <v>15789</v>
      </c>
      <c r="I49" s="114">
        <v>15789</v>
      </c>
      <c r="J49" s="114">
        <v>15789</v>
      </c>
      <c r="K49" s="114">
        <v>15789</v>
      </c>
      <c r="L49" s="114">
        <v>15789</v>
      </c>
      <c r="M49" s="114">
        <v>15789</v>
      </c>
      <c r="N49" s="114">
        <v>15989</v>
      </c>
      <c r="O49" s="114">
        <v>15989</v>
      </c>
      <c r="P49" s="114">
        <v>15989</v>
      </c>
      <c r="Q49" s="114">
        <v>15989</v>
      </c>
      <c r="R49" s="114">
        <v>15989</v>
      </c>
      <c r="S49" s="114">
        <v>15989</v>
      </c>
      <c r="T49" s="114">
        <v>15989</v>
      </c>
      <c r="U49" s="114">
        <v>15989</v>
      </c>
      <c r="V49" s="114">
        <v>15989</v>
      </c>
      <c r="W49" s="114">
        <v>15989</v>
      </c>
      <c r="X49" s="114">
        <v>15989</v>
      </c>
      <c r="Y49" s="114">
        <v>15989</v>
      </c>
      <c r="Z49" s="114">
        <v>16194</v>
      </c>
      <c r="AA49" s="114">
        <v>16194</v>
      </c>
      <c r="AB49" s="114">
        <v>16194</v>
      </c>
      <c r="AC49" s="114">
        <v>16194</v>
      </c>
      <c r="AD49" s="114">
        <v>16194</v>
      </c>
      <c r="AE49" s="114">
        <v>16194</v>
      </c>
      <c r="AF49" s="114">
        <v>16194</v>
      </c>
      <c r="AG49" s="114">
        <v>16194</v>
      </c>
      <c r="AH49" s="114">
        <v>16194</v>
      </c>
      <c r="AI49" s="114">
        <v>16194</v>
      </c>
      <c r="AJ49" s="114">
        <v>16194</v>
      </c>
      <c r="AK49" s="114">
        <v>16194</v>
      </c>
      <c r="AL49" s="115">
        <v>16617087.953308588</v>
      </c>
      <c r="AM49" s="115">
        <v>16630095.380839678</v>
      </c>
      <c r="AN49" s="115">
        <v>16634397.032178188</v>
      </c>
      <c r="AO49" s="115">
        <v>16638699.796210511</v>
      </c>
      <c r="AP49" s="115">
        <v>16643003.673224462</v>
      </c>
      <c r="AQ49" s="115">
        <v>16647308.663507935</v>
      </c>
      <c r="AR49" s="115">
        <v>16651614.767348895</v>
      </c>
      <c r="AS49" s="115">
        <v>16655921.985035382</v>
      </c>
      <c r="AT49" s="115">
        <v>16660230.243259102</v>
      </c>
      <c r="AU49" s="115">
        <v>16664539.763097469</v>
      </c>
      <c r="AV49" s="115">
        <v>16668850.324049525</v>
      </c>
      <c r="AW49" s="115">
        <v>16673162</v>
      </c>
      <c r="AX49" s="115">
        <v>16871282.665783115</v>
      </c>
      <c r="AY49" s="115">
        <v>16875483.257517565</v>
      </c>
      <c r="AZ49" s="115">
        <v>16879530.560918827</v>
      </c>
      <c r="BA49" s="115">
        <v>16883578.834998358</v>
      </c>
      <c r="BB49" s="115">
        <v>16883925.852207329</v>
      </c>
      <c r="BC49" s="115">
        <v>16891678.29612346</v>
      </c>
      <c r="BD49" s="115">
        <v>16895729.483634815</v>
      </c>
      <c r="BE49" s="115">
        <v>16899781.642755978</v>
      </c>
      <c r="BF49" s="115">
        <v>16903834.773719963</v>
      </c>
      <c r="BG49" s="115">
        <v>16907888.876759861</v>
      </c>
      <c r="BH49" s="115">
        <v>16911943.9521088</v>
      </c>
      <c r="BI49" s="115">
        <v>16916000</v>
      </c>
      <c r="BJ49" s="115">
        <v>16935666.666666668</v>
      </c>
      <c r="BK49" s="115">
        <v>16953694.444444444</v>
      </c>
      <c r="BL49" s="115">
        <v>16971722.22222222</v>
      </c>
      <c r="BM49" s="115">
        <v>16989749.999999996</v>
      </c>
      <c r="BN49" s="115">
        <v>17007777.777777772</v>
      </c>
      <c r="BO49" s="115">
        <v>17025805.555555549</v>
      </c>
      <c r="BP49" s="115">
        <v>17043833.333333325</v>
      </c>
      <c r="BQ49" s="115">
        <v>17061861.111111101</v>
      </c>
      <c r="BR49" s="115">
        <v>17079888.888888877</v>
      </c>
      <c r="BS49" s="115">
        <v>17097916.666666653</v>
      </c>
      <c r="BT49" s="115">
        <v>17115944.444444429</v>
      </c>
      <c r="BU49" s="115">
        <v>17152000</v>
      </c>
      <c r="BV49" s="115">
        <v>17171226.166666668</v>
      </c>
      <c r="BW49" s="115">
        <v>17190175.333333336</v>
      </c>
      <c r="BX49" s="115">
        <v>17209124.500000004</v>
      </c>
      <c r="BY49" s="115">
        <v>17228073.666666672</v>
      </c>
      <c r="BZ49" s="115">
        <v>17247022.83333334</v>
      </c>
      <c r="CA49" s="115">
        <v>17265972.000000007</v>
      </c>
      <c r="CB49" s="115">
        <v>17284921</v>
      </c>
      <c r="CC49" s="115">
        <v>17303870.333333343</v>
      </c>
      <c r="CD49" s="115">
        <v>17322819.500000011</v>
      </c>
      <c r="CE49" s="115">
        <v>17341768.666666679</v>
      </c>
      <c r="CF49" s="115">
        <v>17360718</v>
      </c>
      <c r="CG49" s="115">
        <v>17379667</v>
      </c>
      <c r="CH49" s="115">
        <v>17397706.333333332</v>
      </c>
      <c r="CI49" s="115">
        <v>17415745.666666664</v>
      </c>
      <c r="CJ49" s="115">
        <v>17433784.999999996</v>
      </c>
      <c r="CK49" s="115">
        <v>17451824.333333328</v>
      </c>
      <c r="CL49" s="115">
        <v>17469863.66666666</v>
      </c>
      <c r="CM49" s="115">
        <v>17487902.999999993</v>
      </c>
      <c r="CN49" s="115">
        <v>17505942.333333325</v>
      </c>
      <c r="CO49" s="115">
        <v>17523981.666666657</v>
      </c>
      <c r="CP49" s="115">
        <v>17542020.999999989</v>
      </c>
      <c r="CQ49" s="115">
        <v>17560060.333333321</v>
      </c>
      <c r="CR49" s="115">
        <v>17578099.666666653</v>
      </c>
      <c r="CS49" s="116">
        <v>17596139</v>
      </c>
      <c r="CT49" s="116">
        <v>17646988.083333332</v>
      </c>
      <c r="CU49" s="116">
        <v>17697837.166666664</v>
      </c>
      <c r="CV49" s="116">
        <v>17748686.249999996</v>
      </c>
      <c r="CW49" s="116">
        <v>17799535.333333328</v>
      </c>
      <c r="CX49" s="116">
        <v>17850384.41666666</v>
      </c>
      <c r="CY49" s="116">
        <v>17901233.499999993</v>
      </c>
      <c r="CZ49" s="116">
        <v>17952082.583333325</v>
      </c>
      <c r="DA49" s="116">
        <v>18002931.666666657</v>
      </c>
      <c r="DB49" s="116">
        <v>18053780.749999989</v>
      </c>
      <c r="DC49" s="116">
        <v>18104629.833333321</v>
      </c>
      <c r="DD49" s="116">
        <v>18155478.916666653</v>
      </c>
      <c r="DE49" s="116">
        <v>18206327.999999985</v>
      </c>
      <c r="DF49" s="116">
        <v>18227269.666666653</v>
      </c>
      <c r="DG49" s="116">
        <v>18248211.333333321</v>
      </c>
      <c r="DH49" s="116">
        <v>18269152.999999989</v>
      </c>
      <c r="DI49" s="116">
        <v>18290094.666666657</v>
      </c>
      <c r="DJ49" s="116">
        <v>18311036.333333325</v>
      </c>
      <c r="DK49" s="116">
        <v>18331977.999999993</v>
      </c>
      <c r="DL49" s="116">
        <v>18352919.66666666</v>
      </c>
      <c r="DM49" s="116">
        <v>18373861.333333328</v>
      </c>
      <c r="DN49" s="116">
        <v>18394802.999999996</v>
      </c>
      <c r="DO49" s="116">
        <v>18415744.666666664</v>
      </c>
      <c r="DP49" s="116">
        <v>18436686.333333332</v>
      </c>
      <c r="DQ49" s="116">
        <v>18457628</v>
      </c>
      <c r="DR49" s="116">
        <v>18478242.666666668</v>
      </c>
      <c r="DS49" s="116">
        <v>18498857.333333336</v>
      </c>
      <c r="DT49" s="116">
        <v>18519472.000000004</v>
      </c>
      <c r="DU49" s="116">
        <v>18540086.666666672</v>
      </c>
      <c r="DV49" s="116">
        <v>18560701.33333334</v>
      </c>
      <c r="DW49" s="116">
        <v>18581316.000000007</v>
      </c>
      <c r="DX49" s="116">
        <v>18601930.666666675</v>
      </c>
      <c r="DY49" s="116">
        <v>18622545.333333343</v>
      </c>
      <c r="DZ49" s="116">
        <v>18643160.000000011</v>
      </c>
      <c r="EA49" s="116">
        <v>18663774.666666679</v>
      </c>
      <c r="EB49" s="116">
        <v>18684389.333333347</v>
      </c>
      <c r="EC49" s="116">
        <v>18705004</v>
      </c>
      <c r="ED49" s="116">
        <v>18725619</v>
      </c>
      <c r="EE49" s="116">
        <v>18746233</v>
      </c>
      <c r="EF49" s="116">
        <v>18766848</v>
      </c>
      <c r="EG49" s="116">
        <v>18787462.699999999</v>
      </c>
      <c r="EH49" s="116">
        <v>18808077.300000001</v>
      </c>
      <c r="EI49" s="116">
        <v>18828692.000000022</v>
      </c>
      <c r="EJ49" s="116">
        <v>18849306.699999999</v>
      </c>
      <c r="EK49" s="116">
        <v>18869921.399999999</v>
      </c>
    </row>
    <row r="50" spans="1:141" s="112" customFormat="1" ht="29.25" customHeight="1" x14ac:dyDescent="0.3">
      <c r="A50" s="108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  <c r="BG50" s="117"/>
      <c r="BH50" s="117"/>
      <c r="BI50" s="117"/>
      <c r="BJ50" s="117"/>
      <c r="BK50" s="117"/>
      <c r="BL50" s="117"/>
      <c r="BM50" s="117"/>
      <c r="BN50" s="117"/>
      <c r="BO50" s="117"/>
      <c r="BP50" s="118"/>
      <c r="BQ50" s="118"/>
      <c r="BR50" s="118"/>
      <c r="BS50" s="118"/>
      <c r="BT50" s="118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</row>
    <row r="51" spans="1:141" s="112" customFormat="1" ht="30.75" customHeight="1" x14ac:dyDescent="0.3">
      <c r="A51" s="120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G51" s="119"/>
      <c r="CH51" s="119"/>
      <c r="CI51" s="119"/>
      <c r="CJ51" s="119"/>
      <c r="CK51" s="119"/>
      <c r="CL51" s="119"/>
    </row>
    <row r="52" spans="1:141" s="126" customFormat="1" ht="18.75" customHeight="1" x14ac:dyDescent="0.3">
      <c r="A52" s="204" t="s">
        <v>102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4"/>
      <c r="AM52" s="124"/>
      <c r="AN52" s="124"/>
      <c r="AO52" s="125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</row>
    <row r="53" spans="1:141" s="112" customFormat="1" ht="18.75" customHeight="1" x14ac:dyDescent="0.3">
      <c r="A53" s="208" t="s">
        <v>103</v>
      </c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9"/>
      <c r="AM53" s="129"/>
      <c r="AN53" s="129"/>
      <c r="AO53" s="129"/>
    </row>
    <row r="54" spans="1:141" s="112" customFormat="1" ht="18.75" customHeight="1" x14ac:dyDescent="0.3">
      <c r="A54" s="208" t="s">
        <v>104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9"/>
      <c r="AM54" s="129"/>
      <c r="AN54" s="129"/>
      <c r="AO54" s="129"/>
    </row>
    <row r="55" spans="1:141" s="112" customFormat="1" ht="18.75" customHeight="1" x14ac:dyDescent="0.3">
      <c r="A55" s="208" t="s">
        <v>105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9"/>
      <c r="AM55" s="129"/>
      <c r="AN55" s="129"/>
      <c r="AO55" s="129"/>
    </row>
    <row r="56" spans="1:141" s="112" customFormat="1" ht="18.75" customHeight="1" x14ac:dyDescent="0.3">
      <c r="A56" s="208" t="s">
        <v>27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9"/>
      <c r="AM56" s="129"/>
      <c r="AN56" s="129"/>
      <c r="AO56" s="129"/>
    </row>
    <row r="57" spans="1:141" ht="18.75" customHeight="1" x14ac:dyDescent="0.3">
      <c r="A57" s="204" t="s">
        <v>106</v>
      </c>
    </row>
    <row r="58" spans="1:141" ht="18.75" customHeight="1" x14ac:dyDescent="0.3">
      <c r="A58" s="209" t="s">
        <v>107</v>
      </c>
      <c r="BT58" s="6" t="s">
        <v>28</v>
      </c>
    </row>
    <row r="59" spans="1:141" ht="18.75" customHeight="1" x14ac:dyDescent="0.3">
      <c r="A59" s="209" t="s">
        <v>108</v>
      </c>
    </row>
    <row r="60" spans="1:141" ht="18.75" customHeight="1" x14ac:dyDescent="0.3">
      <c r="A60" s="209" t="s">
        <v>29</v>
      </c>
    </row>
    <row r="61" spans="1:141" ht="18.75" customHeight="1" x14ac:dyDescent="0.3">
      <c r="A61" s="209" t="s">
        <v>30</v>
      </c>
    </row>
    <row r="62" spans="1:141" ht="18.75" customHeight="1" x14ac:dyDescent="0.3">
      <c r="A62" s="210" t="s">
        <v>109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spans="1:141" ht="18.75" customHeight="1" x14ac:dyDescent="0.3">
      <c r="A63" s="211" t="s">
        <v>110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141" ht="18.75" customHeight="1" x14ac:dyDescent="0.3">
      <c r="A64" s="211" t="s">
        <v>31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1:65" ht="18.75" customHeight="1" x14ac:dyDescent="0.3">
      <c r="A65" s="211" t="s">
        <v>111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spans="1:65" ht="18.75" customHeight="1" x14ac:dyDescent="0.3">
      <c r="A66" s="211" t="s">
        <v>112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spans="1:65" ht="18.75" customHeight="1" x14ac:dyDescent="0.3">
      <c r="A67" s="211" t="s">
        <v>32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</sheetData>
  <phoneticPr fontId="2" type="noConversion"/>
  <pageMargins left="0.7" right="0.7" top="0.75" bottom="0.75" header="0.3" footer="0.3"/>
  <pageSetup paperSize="9" scale="2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showGridLines="0" view="pageBreakPreview" zoomScale="60" zoomScaleNormal="60" workbookViewId="0">
      <pane xSplit="25" topLeftCell="Z1" activePane="topRight" state="frozen"/>
      <selection pane="topRight"/>
    </sheetView>
  </sheetViews>
  <sheetFormatPr defaultRowHeight="18.75" customHeight="1" x14ac:dyDescent="0.3"/>
  <cols>
    <col min="1" max="1" width="41.375" style="203" customWidth="1"/>
    <col min="2" max="10" width="14.5" style="203" hidden="1" customWidth="1"/>
    <col min="11" max="13" width="14.625" style="203" hidden="1" customWidth="1"/>
    <col min="14" max="25" width="13.375" style="203" hidden="1" customWidth="1"/>
    <col min="26" max="33" width="13.375" style="203" bestFit="1" customWidth="1"/>
    <col min="34" max="35" width="14.625" style="203" customWidth="1"/>
    <col min="36" max="36" width="15.625" style="203" bestFit="1" customWidth="1"/>
    <col min="37" max="16384" width="9" style="203"/>
  </cols>
  <sheetData>
    <row r="1" spans="1:35" s="206" customFormat="1" ht="46.5" customHeight="1" x14ac:dyDescent="0.3">
      <c r="A1" s="131" t="s">
        <v>33</v>
      </c>
      <c r="B1" s="132"/>
      <c r="C1" s="132"/>
      <c r="D1" s="132"/>
      <c r="E1" s="132"/>
      <c r="F1" s="132"/>
      <c r="G1" s="132"/>
      <c r="H1" s="132"/>
      <c r="I1" s="132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</row>
    <row r="2" spans="1:35" s="173" customFormat="1" ht="27.75" customHeight="1" x14ac:dyDescent="0.3">
      <c r="B2" s="207"/>
      <c r="C2" s="139"/>
      <c r="D2" s="139"/>
      <c r="E2" s="139"/>
      <c r="F2" s="139"/>
    </row>
    <row r="3" spans="1:35" s="173" customFormat="1" ht="31.5" customHeight="1" x14ac:dyDescent="0.3">
      <c r="A3" s="137" t="s">
        <v>34</v>
      </c>
      <c r="B3" s="138">
        <v>2008</v>
      </c>
      <c r="C3" s="139"/>
      <c r="D3" s="139"/>
      <c r="E3" s="139"/>
      <c r="F3" s="8">
        <v>2009</v>
      </c>
      <c r="G3" s="134"/>
      <c r="H3" s="134"/>
      <c r="I3" s="134"/>
      <c r="J3" s="8">
        <v>2010</v>
      </c>
      <c r="K3" s="134"/>
      <c r="L3" s="134"/>
      <c r="M3" s="134"/>
      <c r="N3" s="8">
        <v>2011</v>
      </c>
      <c r="O3" s="134"/>
      <c r="P3" s="134"/>
      <c r="Q3" s="134"/>
      <c r="R3" s="8">
        <v>2012</v>
      </c>
      <c r="S3" s="134"/>
      <c r="T3" s="134"/>
      <c r="U3" s="134"/>
      <c r="V3" s="8">
        <v>2013</v>
      </c>
      <c r="W3" s="134"/>
      <c r="X3" s="134"/>
      <c r="Y3" s="134"/>
      <c r="Z3" s="8">
        <v>2014</v>
      </c>
      <c r="AA3" s="134"/>
      <c r="AB3" s="134"/>
      <c r="AC3" s="134"/>
      <c r="AD3" s="8">
        <v>2015</v>
      </c>
      <c r="AE3" s="10"/>
      <c r="AF3" s="10"/>
      <c r="AG3" s="10"/>
      <c r="AH3" s="8">
        <v>2016</v>
      </c>
      <c r="AI3"/>
    </row>
    <row r="4" spans="1:35" s="198" customFormat="1" ht="31.5" customHeight="1" x14ac:dyDescent="0.3">
      <c r="A4" s="140" t="s">
        <v>45</v>
      </c>
      <c r="B4" s="141" t="s">
        <v>46</v>
      </c>
      <c r="C4" s="141" t="s">
        <v>47</v>
      </c>
      <c r="D4" s="141" t="s">
        <v>48</v>
      </c>
      <c r="E4" s="141" t="s">
        <v>49</v>
      </c>
      <c r="F4" s="142" t="s">
        <v>50</v>
      </c>
      <c r="G4" s="142" t="s">
        <v>51</v>
      </c>
      <c r="H4" s="14" t="s">
        <v>52</v>
      </c>
      <c r="I4" s="14" t="s">
        <v>53</v>
      </c>
      <c r="J4" s="14" t="s">
        <v>54</v>
      </c>
      <c r="K4" s="14" t="s">
        <v>55</v>
      </c>
      <c r="L4" s="14" t="s">
        <v>56</v>
      </c>
      <c r="M4" s="14" t="s">
        <v>57</v>
      </c>
      <c r="N4" s="14" t="s">
        <v>58</v>
      </c>
      <c r="O4" s="14" t="s">
        <v>59</v>
      </c>
      <c r="P4" s="14" t="s">
        <v>60</v>
      </c>
      <c r="Q4" s="14" t="s">
        <v>61</v>
      </c>
      <c r="R4" s="15" t="s">
        <v>62</v>
      </c>
      <c r="S4" s="15" t="s">
        <v>63</v>
      </c>
      <c r="T4" s="15" t="s">
        <v>64</v>
      </c>
      <c r="U4" s="15" t="s">
        <v>65</v>
      </c>
      <c r="V4" s="15" t="s">
        <v>66</v>
      </c>
      <c r="W4" s="15" t="s">
        <v>67</v>
      </c>
      <c r="X4" s="15" t="s">
        <v>68</v>
      </c>
      <c r="Y4" s="15" t="s">
        <v>69</v>
      </c>
      <c r="Z4" s="15" t="s">
        <v>70</v>
      </c>
      <c r="AA4" s="15" t="s">
        <v>71</v>
      </c>
      <c r="AB4" s="15" t="s">
        <v>72</v>
      </c>
      <c r="AC4" s="15" t="s">
        <v>73</v>
      </c>
      <c r="AD4" s="15" t="s">
        <v>113</v>
      </c>
      <c r="AE4" s="15" t="s">
        <v>114</v>
      </c>
      <c r="AF4" s="15" t="s">
        <v>115</v>
      </c>
      <c r="AG4" s="15" t="s">
        <v>116</v>
      </c>
      <c r="AH4" s="143" t="s">
        <v>95</v>
      </c>
      <c r="AI4" s="143" t="s">
        <v>101</v>
      </c>
    </row>
    <row r="5" spans="1:35" s="199" customFormat="1" ht="31.5" customHeight="1" x14ac:dyDescent="0.3">
      <c r="A5" s="144" t="s">
        <v>74</v>
      </c>
      <c r="B5" s="145">
        <v>14085.444</v>
      </c>
      <c r="C5" s="145">
        <v>14367.165000000001</v>
      </c>
      <c r="D5" s="145">
        <v>14430.594000000001</v>
      </c>
      <c r="E5" s="145">
        <v>14525.655000000001</v>
      </c>
      <c r="F5" s="145">
        <v>14731.359999999999</v>
      </c>
      <c r="G5" s="145">
        <v>14931.277</v>
      </c>
      <c r="H5" s="145">
        <v>15159.258</v>
      </c>
      <c r="I5" s="145">
        <v>15303.172</v>
      </c>
      <c r="J5" s="145">
        <v>15679.282999999999</v>
      </c>
      <c r="K5" s="145">
        <v>15927.956</v>
      </c>
      <c r="L5" s="145">
        <v>16179.165999999999</v>
      </c>
      <c r="M5" s="145">
        <v>16417.474999999999</v>
      </c>
      <c r="N5" s="145">
        <v>16725.524000000001</v>
      </c>
      <c r="O5" s="145">
        <v>16776.420999999998</v>
      </c>
      <c r="P5" s="145">
        <v>17042.148999999998</v>
      </c>
      <c r="Q5" s="145">
        <v>17307.292000000001</v>
      </c>
      <c r="R5" s="145">
        <v>17434.752</v>
      </c>
      <c r="S5" s="145">
        <v>17389.462</v>
      </c>
      <c r="T5" s="145">
        <v>17416.396000000001</v>
      </c>
      <c r="U5" s="145">
        <v>17435.949000000001</v>
      </c>
      <c r="V5" s="145">
        <v>17370.972000000002</v>
      </c>
      <c r="W5" s="145">
        <v>17354.087</v>
      </c>
      <c r="X5" s="145">
        <v>17204.882000000001</v>
      </c>
      <c r="Y5" s="145">
        <v>17299.899000000001</v>
      </c>
      <c r="Z5" s="145">
        <v>17291.375</v>
      </c>
      <c r="AA5" s="146">
        <v>17561.798999999999</v>
      </c>
      <c r="AB5" s="146">
        <v>17952.121999999999</v>
      </c>
      <c r="AC5" s="146">
        <v>18052.745999999999</v>
      </c>
      <c r="AD5" s="146">
        <v>18178.167000000001</v>
      </c>
      <c r="AE5" s="146">
        <v>18368.379000000001</v>
      </c>
      <c r="AF5" s="146">
        <v>18514.206999999999</v>
      </c>
      <c r="AG5" s="146">
        <v>18721</v>
      </c>
      <c r="AH5" s="146">
        <v>18843.378000000001</v>
      </c>
      <c r="AI5" s="146">
        <v>18997.347000000002</v>
      </c>
    </row>
    <row r="6" spans="1:35" s="199" customFormat="1" ht="31.5" hidden="1" customHeight="1" x14ac:dyDescent="0.3">
      <c r="A6" s="147" t="s">
        <v>75</v>
      </c>
      <c r="B6" s="148">
        <v>9100.3729999999996</v>
      </c>
      <c r="C6" s="148">
        <v>7849.2610000000004</v>
      </c>
      <c r="D6" s="148">
        <v>6850.723</v>
      </c>
      <c r="E6" s="148">
        <v>6099.152</v>
      </c>
      <c r="F6" s="148">
        <v>5315.1149999999998</v>
      </c>
      <c r="G6" s="148">
        <v>4295.0290000000005</v>
      </c>
      <c r="H6" s="148">
        <v>3492.0399999999991</v>
      </c>
      <c r="I6" s="148">
        <v>2908.503999999999</v>
      </c>
      <c r="J6" s="148">
        <v>2410.625</v>
      </c>
      <c r="K6" s="148">
        <v>2011.9159999999993</v>
      </c>
      <c r="L6" s="148">
        <v>1641.261</v>
      </c>
      <c r="M6" s="148">
        <v>1392.548</v>
      </c>
      <c r="N6" s="148">
        <v>1104.634</v>
      </c>
      <c r="O6" s="148">
        <v>532.71900000000005</v>
      </c>
      <c r="P6" s="148">
        <v>292.666</v>
      </c>
      <c r="Q6" s="148">
        <v>99.834999999999994</v>
      </c>
      <c r="R6" s="148">
        <v>23.209</v>
      </c>
      <c r="S6" s="148">
        <v>19.202999999999999</v>
      </c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</row>
    <row r="7" spans="1:35" s="199" customFormat="1" ht="31.5" customHeight="1" x14ac:dyDescent="0.3">
      <c r="A7" s="147" t="s">
        <v>76</v>
      </c>
      <c r="B7" s="148">
        <v>4839.7809999999999</v>
      </c>
      <c r="C7" s="148">
        <v>6316.0010000000002</v>
      </c>
      <c r="D7" s="148">
        <v>7407.8230000000003</v>
      </c>
      <c r="E7" s="148">
        <v>8266.0810000000001</v>
      </c>
      <c r="F7" s="148">
        <v>9232.23</v>
      </c>
      <c r="G7" s="148">
        <v>10417.794</v>
      </c>
      <c r="H7" s="148">
        <v>11412.093000000001</v>
      </c>
      <c r="I7" s="148">
        <v>12107.691000000001</v>
      </c>
      <c r="J7" s="148">
        <v>12957.347</v>
      </c>
      <c r="K7" s="148">
        <v>13582.119000000001</v>
      </c>
      <c r="L7" s="148">
        <v>14190.157999999999</v>
      </c>
      <c r="M7" s="148">
        <v>14647.978999999999</v>
      </c>
      <c r="N7" s="148">
        <v>15194.27</v>
      </c>
      <c r="O7" s="148">
        <v>15763.477000000001</v>
      </c>
      <c r="P7" s="148">
        <v>16098.525</v>
      </c>
      <c r="Q7" s="148">
        <v>16463.323</v>
      </c>
      <c r="R7" s="148">
        <v>16224.641</v>
      </c>
      <c r="S7" s="148">
        <v>15298.934999999999</v>
      </c>
      <c r="T7" s="148">
        <v>13991.964</v>
      </c>
      <c r="U7" s="148">
        <v>12601.165000000001</v>
      </c>
      <c r="V7" s="148">
        <v>11374.109</v>
      </c>
      <c r="W7" s="148">
        <v>10382.145999999999</v>
      </c>
      <c r="X7" s="148">
        <v>9500.6210000000028</v>
      </c>
      <c r="Y7" s="148">
        <v>8580.2489999999998</v>
      </c>
      <c r="Z7" s="148">
        <v>7838.576</v>
      </c>
      <c r="AA7" s="148">
        <v>7366.3069999999998</v>
      </c>
      <c r="AB7" s="148">
        <v>6937.2529999999997</v>
      </c>
      <c r="AC7" s="148">
        <v>6519.7790000000005</v>
      </c>
      <c r="AD7" s="148">
        <v>6073.0060000000003</v>
      </c>
      <c r="AE7" s="148">
        <v>5754.1660000000002</v>
      </c>
      <c r="AF7" s="148">
        <v>5465.8639999999996</v>
      </c>
      <c r="AG7" s="148">
        <v>5206</v>
      </c>
      <c r="AH7" s="148">
        <v>4971.1109999999999</v>
      </c>
      <c r="AI7" s="148">
        <v>4762.3620000000001</v>
      </c>
    </row>
    <row r="8" spans="1:35" s="199" customFormat="1" ht="31.5" customHeight="1" x14ac:dyDescent="0.3">
      <c r="A8" s="147" t="s">
        <v>77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>
        <v>350.92099999999999</v>
      </c>
      <c r="S8" s="148">
        <v>1169.7819999999999</v>
      </c>
      <c r="T8" s="148">
        <v>2488.125</v>
      </c>
      <c r="U8" s="148">
        <v>3900.4740000000002</v>
      </c>
      <c r="V8" s="148">
        <v>5068.4139999999998</v>
      </c>
      <c r="W8" s="148">
        <v>6057.0420000000004</v>
      </c>
      <c r="X8" s="148">
        <v>6824.37</v>
      </c>
      <c r="Y8" s="148">
        <v>7874.0649999999996</v>
      </c>
      <c r="Z8" s="148">
        <v>8632.7160000000003</v>
      </c>
      <c r="AA8" s="148">
        <v>9405.6820000000007</v>
      </c>
      <c r="AB8" s="148">
        <v>10244.365</v>
      </c>
      <c r="AC8" s="148">
        <v>10780.305</v>
      </c>
      <c r="AD8" s="148">
        <v>11363.87</v>
      </c>
      <c r="AE8" s="148">
        <v>11882.784</v>
      </c>
      <c r="AF8" s="148">
        <v>12334.708000000001</v>
      </c>
      <c r="AG8" s="148">
        <v>12832</v>
      </c>
      <c r="AH8" s="148">
        <v>13208.611000000001</v>
      </c>
      <c r="AI8" s="148">
        <v>13615.369000000001</v>
      </c>
    </row>
    <row r="9" spans="1:35" s="199" customFormat="1" ht="31.5" customHeight="1" x14ac:dyDescent="0.3">
      <c r="A9" s="149" t="s">
        <v>78</v>
      </c>
      <c r="B9" s="150">
        <v>145.29</v>
      </c>
      <c r="C9" s="150">
        <v>201.90299999999999</v>
      </c>
      <c r="D9" s="150">
        <v>172.048</v>
      </c>
      <c r="E9" s="150">
        <v>160.422</v>
      </c>
      <c r="F9" s="150">
        <v>184.01499999999999</v>
      </c>
      <c r="G9" s="150">
        <v>218.45400000000001</v>
      </c>
      <c r="H9" s="150">
        <v>255.125</v>
      </c>
      <c r="I9" s="150">
        <v>286.97699999999998</v>
      </c>
      <c r="J9" s="150">
        <v>311.31099999999998</v>
      </c>
      <c r="K9" s="150">
        <v>333.92099999999999</v>
      </c>
      <c r="L9" s="150">
        <v>347.74700000000001</v>
      </c>
      <c r="M9" s="150">
        <v>376.94799999999998</v>
      </c>
      <c r="N9" s="150">
        <v>426.62</v>
      </c>
      <c r="O9" s="150">
        <v>480.22500000000002</v>
      </c>
      <c r="P9" s="150">
        <v>650.95799999999997</v>
      </c>
      <c r="Q9" s="150">
        <v>744.13400000000001</v>
      </c>
      <c r="R9" s="150">
        <v>835.98099999999999</v>
      </c>
      <c r="S9" s="150">
        <v>901.54200000000003</v>
      </c>
      <c r="T9" s="150">
        <v>936.30700000000002</v>
      </c>
      <c r="U9" s="150">
        <v>934.31</v>
      </c>
      <c r="V9" s="150">
        <v>928.44899999999996</v>
      </c>
      <c r="W9" s="150">
        <v>914.899</v>
      </c>
      <c r="X9" s="150">
        <v>879.89099999999996</v>
      </c>
      <c r="Y9" s="150">
        <v>845.58500000000004</v>
      </c>
      <c r="Z9" s="150">
        <v>820.08299999999997</v>
      </c>
      <c r="AA9" s="150">
        <v>789.81</v>
      </c>
      <c r="AB9" s="150">
        <v>770.50400000000002</v>
      </c>
      <c r="AC9" s="150">
        <v>752.66200000000003</v>
      </c>
      <c r="AD9" s="150">
        <v>741</v>
      </c>
      <c r="AE9" s="150">
        <v>731</v>
      </c>
      <c r="AF9" s="150">
        <v>713.63499999999999</v>
      </c>
      <c r="AG9" s="150">
        <v>683</v>
      </c>
      <c r="AH9" s="150">
        <v>663.60599999999999</v>
      </c>
      <c r="AI9" s="150">
        <v>619.61599999999999</v>
      </c>
    </row>
    <row r="10" spans="1:35" s="199" customFormat="1" ht="15" customHeight="1" x14ac:dyDescent="0.3">
      <c r="A10" s="151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</row>
    <row r="11" spans="1:35" s="199" customFormat="1" ht="31.5" customHeight="1" x14ac:dyDescent="0.3">
      <c r="A11" s="134"/>
      <c r="B11" s="138">
        <v>2008</v>
      </c>
      <c r="C11" s="139"/>
      <c r="D11" s="139"/>
      <c r="E11" s="139"/>
      <c r="F11" s="8">
        <v>2009</v>
      </c>
      <c r="G11" s="134"/>
      <c r="H11" s="134"/>
      <c r="I11" s="134"/>
      <c r="J11" s="8">
        <v>2010</v>
      </c>
      <c r="K11" s="134"/>
      <c r="L11" s="134"/>
      <c r="M11" s="134"/>
      <c r="N11" s="8">
        <v>2011</v>
      </c>
      <c r="O11" s="134"/>
      <c r="P11" s="134"/>
      <c r="Q11" s="134"/>
      <c r="R11" s="8">
        <v>2012</v>
      </c>
      <c r="S11" s="152"/>
      <c r="T11" s="152"/>
      <c r="U11" s="152"/>
      <c r="V11" s="8">
        <v>2013</v>
      </c>
      <c r="W11" s="152"/>
      <c r="X11" s="152"/>
      <c r="Y11" s="152"/>
      <c r="Z11" s="8">
        <v>2014</v>
      </c>
      <c r="AA11" s="152"/>
      <c r="AB11" s="152"/>
      <c r="AC11" s="152"/>
      <c r="AD11" s="8">
        <v>2015</v>
      </c>
      <c r="AE11" s="10"/>
      <c r="AF11" s="10"/>
      <c r="AG11" s="10"/>
      <c r="AH11" s="8">
        <v>2016</v>
      </c>
      <c r="AI11"/>
    </row>
    <row r="12" spans="1:35" s="199" customFormat="1" ht="31.5" customHeight="1" x14ac:dyDescent="0.3">
      <c r="A12" s="140" t="s">
        <v>79</v>
      </c>
      <c r="B12" s="141" t="s">
        <v>46</v>
      </c>
      <c r="C12" s="141" t="s">
        <v>47</v>
      </c>
      <c r="D12" s="141" t="s">
        <v>48</v>
      </c>
      <c r="E12" s="141" t="s">
        <v>49</v>
      </c>
      <c r="F12" s="142" t="s">
        <v>50</v>
      </c>
      <c r="G12" s="142" t="s">
        <v>51</v>
      </c>
      <c r="H12" s="14" t="s">
        <v>52</v>
      </c>
      <c r="I12" s="14" t="s">
        <v>53</v>
      </c>
      <c r="J12" s="14" t="s">
        <v>54</v>
      </c>
      <c r="K12" s="14" t="s">
        <v>55</v>
      </c>
      <c r="L12" s="14" t="s">
        <v>56</v>
      </c>
      <c r="M12" s="14" t="s">
        <v>57</v>
      </c>
      <c r="N12" s="14" t="s">
        <v>58</v>
      </c>
      <c r="O12" s="14" t="s">
        <v>59</v>
      </c>
      <c r="P12" s="14" t="s">
        <v>60</v>
      </c>
      <c r="Q12" s="14" t="s">
        <v>61</v>
      </c>
      <c r="R12" s="15" t="s">
        <v>62</v>
      </c>
      <c r="S12" s="15" t="s">
        <v>63</v>
      </c>
      <c r="T12" s="15" t="s">
        <v>64</v>
      </c>
      <c r="U12" s="15" t="s">
        <v>65</v>
      </c>
      <c r="V12" s="15" t="s">
        <v>66</v>
      </c>
      <c r="W12" s="15" t="s">
        <v>67</v>
      </c>
      <c r="X12" s="15" t="s">
        <v>68</v>
      </c>
      <c r="Y12" s="15" t="s">
        <v>69</v>
      </c>
      <c r="Z12" s="15" t="s">
        <v>70</v>
      </c>
      <c r="AA12" s="15" t="s">
        <v>71</v>
      </c>
      <c r="AB12" s="15" t="s">
        <v>72</v>
      </c>
      <c r="AC12" s="15" t="s">
        <v>73</v>
      </c>
      <c r="AD12" s="15" t="s">
        <v>113</v>
      </c>
      <c r="AE12" s="15" t="s">
        <v>114</v>
      </c>
      <c r="AF12" s="15" t="s">
        <v>115</v>
      </c>
      <c r="AG12" s="15" t="s">
        <v>116</v>
      </c>
      <c r="AH12" s="143" t="s">
        <v>95</v>
      </c>
      <c r="AI12" s="143" t="s">
        <v>101</v>
      </c>
    </row>
    <row r="13" spans="1:35" s="199" customFormat="1" ht="31.5" customHeight="1" x14ac:dyDescent="0.3">
      <c r="A13" s="153" t="s">
        <v>80</v>
      </c>
      <c r="B13" s="154">
        <v>13940.154</v>
      </c>
      <c r="C13" s="154">
        <v>14165.262000000001</v>
      </c>
      <c r="D13" s="154">
        <v>14258.546</v>
      </c>
      <c r="E13" s="154">
        <v>14365.233</v>
      </c>
      <c r="F13" s="154">
        <v>14547.344999999999</v>
      </c>
      <c r="G13" s="154">
        <v>14712.823</v>
      </c>
      <c r="H13" s="154">
        <v>14904.133</v>
      </c>
      <c r="I13" s="154">
        <v>15016.195</v>
      </c>
      <c r="J13" s="154">
        <v>15367.972</v>
      </c>
      <c r="K13" s="154">
        <v>15594.035</v>
      </c>
      <c r="L13" s="154">
        <v>15831.419</v>
      </c>
      <c r="M13" s="154">
        <v>16040.527</v>
      </c>
      <c r="N13" s="154">
        <v>16298.904</v>
      </c>
      <c r="O13" s="154">
        <v>16296.196</v>
      </c>
      <c r="P13" s="154">
        <v>16391.190999999999</v>
      </c>
      <c r="Q13" s="154">
        <v>16563.157999999999</v>
      </c>
      <c r="R13" s="154">
        <v>16598.771000000001</v>
      </c>
      <c r="S13" s="154">
        <v>16487.919999999998</v>
      </c>
      <c r="T13" s="154">
        <v>16480.089</v>
      </c>
      <c r="U13" s="154">
        <v>16501.638999999999</v>
      </c>
      <c r="V13" s="154">
        <v>16442.523000000001</v>
      </c>
      <c r="W13" s="154">
        <v>16439.187999999998</v>
      </c>
      <c r="X13" s="154">
        <v>16324.991</v>
      </c>
      <c r="Y13" s="154">
        <v>16454.313999999998</v>
      </c>
      <c r="Z13" s="154">
        <v>16471.292000000001</v>
      </c>
      <c r="AA13" s="154">
        <v>16771.989000000001</v>
      </c>
      <c r="AB13" s="154">
        <v>17181.617999999999</v>
      </c>
      <c r="AC13" s="154">
        <v>17300.083999999999</v>
      </c>
      <c r="AD13" s="154">
        <v>17437</v>
      </c>
      <c r="AE13" s="154">
        <v>17636.95</v>
      </c>
      <c r="AF13" s="154">
        <v>17800.572</v>
      </c>
      <c r="AG13" s="154">
        <v>18038</v>
      </c>
      <c r="AH13" s="154">
        <v>18179.772000000001</v>
      </c>
      <c r="AI13" s="154">
        <v>18377.731</v>
      </c>
    </row>
    <row r="14" spans="1:35" s="173" customFormat="1" ht="31.5" customHeight="1" x14ac:dyDescent="0.3">
      <c r="A14" s="155" t="s">
        <v>35</v>
      </c>
      <c r="B14" s="156">
        <v>2343</v>
      </c>
      <c r="C14" s="156">
        <v>2350</v>
      </c>
      <c r="D14" s="156">
        <v>1788</v>
      </c>
      <c r="E14" s="156">
        <v>1463</v>
      </c>
      <c r="F14" s="156">
        <v>1623</v>
      </c>
      <c r="G14" s="156">
        <v>2174</v>
      </c>
      <c r="H14" s="156">
        <v>1816</v>
      </c>
      <c r="I14" s="156">
        <v>1551</v>
      </c>
      <c r="J14" s="156">
        <v>1855</v>
      </c>
      <c r="K14" s="156">
        <v>1752</v>
      </c>
      <c r="L14" s="156">
        <v>2037</v>
      </c>
      <c r="M14" s="156">
        <v>1636</v>
      </c>
      <c r="N14" s="156">
        <v>1684</v>
      </c>
      <c r="O14" s="156">
        <v>1861</v>
      </c>
      <c r="P14" s="156">
        <v>1621</v>
      </c>
      <c r="Q14" s="156">
        <v>1808</v>
      </c>
      <c r="R14" s="156">
        <v>1422.7650000000001</v>
      </c>
      <c r="S14" s="156">
        <v>1270.857</v>
      </c>
      <c r="T14" s="156">
        <v>1501.575</v>
      </c>
      <c r="U14" s="156">
        <v>1280.1020000000001</v>
      </c>
      <c r="V14" s="156">
        <v>1272.5709999999999</v>
      </c>
      <c r="W14" s="156">
        <v>1223.7760000000001</v>
      </c>
      <c r="X14" s="156">
        <v>1080.4349999999999</v>
      </c>
      <c r="Y14" s="156">
        <v>1403.588</v>
      </c>
      <c r="Z14" s="156">
        <v>1476.758</v>
      </c>
      <c r="AA14" s="156">
        <v>1459.374</v>
      </c>
      <c r="AB14" s="156">
        <v>1792.8130000000001</v>
      </c>
      <c r="AC14" s="156">
        <v>1254.809</v>
      </c>
      <c r="AD14" s="156">
        <v>1393</v>
      </c>
      <c r="AE14" s="156">
        <v>1179</v>
      </c>
      <c r="AF14" s="156">
        <v>1115</v>
      </c>
      <c r="AG14" s="156">
        <v>1215</v>
      </c>
      <c r="AH14" s="156">
        <v>1144.5730000000001</v>
      </c>
      <c r="AI14" s="156">
        <v>1133.586</v>
      </c>
    </row>
    <row r="15" spans="1:35" s="173" customFormat="1" ht="31.5" customHeight="1" x14ac:dyDescent="0.3">
      <c r="A15" s="155" t="s">
        <v>36</v>
      </c>
      <c r="B15" s="156">
        <v>2124</v>
      </c>
      <c r="C15" s="156">
        <v>2125</v>
      </c>
      <c r="D15" s="156">
        <v>1695</v>
      </c>
      <c r="E15" s="156">
        <v>1356</v>
      </c>
      <c r="F15" s="156">
        <v>1440</v>
      </c>
      <c r="G15" s="156">
        <v>2008</v>
      </c>
      <c r="H15" s="156">
        <v>1625</v>
      </c>
      <c r="I15" s="156">
        <v>1439</v>
      </c>
      <c r="J15" s="156">
        <v>1503</v>
      </c>
      <c r="K15" s="156">
        <v>1526</v>
      </c>
      <c r="L15" s="156">
        <v>1800</v>
      </c>
      <c r="M15" s="156">
        <v>1427</v>
      </c>
      <c r="N15" s="156">
        <v>1426</v>
      </c>
      <c r="O15" s="156">
        <v>1864</v>
      </c>
      <c r="P15" s="156">
        <v>1526</v>
      </c>
      <c r="Q15" s="156">
        <v>1636</v>
      </c>
      <c r="R15" s="156">
        <v>1387.152</v>
      </c>
      <c r="S15" s="156">
        <v>1381.7080000000001</v>
      </c>
      <c r="T15" s="156">
        <v>1509.4059999999999</v>
      </c>
      <c r="U15" s="156">
        <v>1258.5519999999999</v>
      </c>
      <c r="V15" s="156">
        <v>1331.6869999999999</v>
      </c>
      <c r="W15" s="156">
        <v>1227.1110000000001</v>
      </c>
      <c r="X15" s="157">
        <v>1194.6320000000001</v>
      </c>
      <c r="Y15" s="157">
        <v>1274.2650000000001</v>
      </c>
      <c r="Z15" s="157">
        <v>1457.693</v>
      </c>
      <c r="AA15" s="157">
        <v>1158.704</v>
      </c>
      <c r="AB15" s="157">
        <v>1382.8969999999999</v>
      </c>
      <c r="AC15" s="157">
        <v>1111.249</v>
      </c>
      <c r="AD15" s="157">
        <v>1219</v>
      </c>
      <c r="AE15" s="157">
        <v>940</v>
      </c>
      <c r="AF15" s="157">
        <v>938</v>
      </c>
      <c r="AG15" s="157">
        <v>958</v>
      </c>
      <c r="AH15" s="157">
        <v>1003</v>
      </c>
      <c r="AI15" s="157">
        <v>936</v>
      </c>
    </row>
    <row r="16" spans="1:35" s="173" customFormat="1" ht="31.5" hidden="1" customHeight="1" x14ac:dyDescent="0.3">
      <c r="A16" s="155" t="s">
        <v>37</v>
      </c>
      <c r="B16" s="158">
        <v>291</v>
      </c>
      <c r="C16" s="158">
        <v>288</v>
      </c>
      <c r="D16" s="158">
        <v>352</v>
      </c>
      <c r="E16" s="158">
        <v>243</v>
      </c>
      <c r="F16" s="156">
        <v>214</v>
      </c>
      <c r="G16" s="156">
        <v>229</v>
      </c>
      <c r="H16" s="156">
        <v>306</v>
      </c>
      <c r="I16" s="156">
        <v>217</v>
      </c>
      <c r="J16" s="156">
        <v>195</v>
      </c>
      <c r="K16" s="156">
        <v>141</v>
      </c>
      <c r="L16" s="156">
        <v>136</v>
      </c>
      <c r="M16" s="156">
        <v>64</v>
      </c>
      <c r="N16" s="156">
        <v>69</v>
      </c>
      <c r="O16" s="156">
        <v>210</v>
      </c>
      <c r="P16" s="156">
        <v>105</v>
      </c>
      <c r="Q16" s="156">
        <v>117</v>
      </c>
      <c r="R16" s="156">
        <v>45.597000000000001</v>
      </c>
      <c r="S16" s="159">
        <v>1.6910000000000001</v>
      </c>
      <c r="T16" s="156">
        <v>0.94199999999999995</v>
      </c>
      <c r="U16" s="156">
        <v>0.65800000000000003</v>
      </c>
      <c r="V16" s="156"/>
      <c r="W16" s="159">
        <v>0</v>
      </c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</row>
    <row r="17" spans="1:35" s="173" customFormat="1" ht="31.5" customHeight="1" x14ac:dyDescent="0.3">
      <c r="A17" s="160" t="s">
        <v>38</v>
      </c>
      <c r="B17" s="161">
        <v>219</v>
      </c>
      <c r="C17" s="161">
        <v>225</v>
      </c>
      <c r="D17" s="161">
        <v>93</v>
      </c>
      <c r="E17" s="161">
        <v>107</v>
      </c>
      <c r="F17" s="161">
        <v>182</v>
      </c>
      <c r="G17" s="161">
        <v>165</v>
      </c>
      <c r="H17" s="161">
        <v>191</v>
      </c>
      <c r="I17" s="161">
        <v>112</v>
      </c>
      <c r="J17" s="161">
        <v>352</v>
      </c>
      <c r="K17" s="161">
        <v>226</v>
      </c>
      <c r="L17" s="161">
        <v>237</v>
      </c>
      <c r="M17" s="161">
        <v>209</v>
      </c>
      <c r="N17" s="161">
        <v>258</v>
      </c>
      <c r="O17" s="161">
        <v>-2.7080000000005384</v>
      </c>
      <c r="P17" s="161">
        <v>94.994999999998981</v>
      </c>
      <c r="Q17" s="161">
        <v>171.96700000000055</v>
      </c>
      <c r="R17" s="161">
        <v>35.613</v>
      </c>
      <c r="S17" s="161">
        <v>-110.851</v>
      </c>
      <c r="T17" s="161">
        <v>-7.830999999998312</v>
      </c>
      <c r="U17" s="161">
        <v>21.550000000000182</v>
      </c>
      <c r="V17" s="161">
        <v>-59.115999999998166</v>
      </c>
      <c r="W17" s="161">
        <v>-3.335</v>
      </c>
      <c r="X17" s="161">
        <v>-114.197</v>
      </c>
      <c r="Y17" s="161">
        <f t="shared" ref="Y17:AF17" si="0">Y13-X13</f>
        <v>129.3229999999985</v>
      </c>
      <c r="Z17" s="161">
        <f t="shared" si="0"/>
        <v>16.978000000002794</v>
      </c>
      <c r="AA17" s="161">
        <f t="shared" si="0"/>
        <v>300.69700000000012</v>
      </c>
      <c r="AB17" s="161">
        <f t="shared" si="0"/>
        <v>409.62899999999718</v>
      </c>
      <c r="AC17" s="161">
        <f t="shared" si="0"/>
        <v>118.46600000000035</v>
      </c>
      <c r="AD17" s="161">
        <f t="shared" si="0"/>
        <v>136.91600000000108</v>
      </c>
      <c r="AE17" s="161">
        <f t="shared" si="0"/>
        <v>199.95000000000073</v>
      </c>
      <c r="AF17" s="161">
        <f t="shared" si="0"/>
        <v>163.62199999999939</v>
      </c>
      <c r="AG17" s="161">
        <f t="shared" ref="AG17" si="1">AG13-AF13</f>
        <v>237.42799999999988</v>
      </c>
      <c r="AH17" s="161">
        <f t="shared" ref="AH17" si="2">AH13-AG13</f>
        <v>141.77200000000084</v>
      </c>
      <c r="AI17" s="161">
        <f t="shared" ref="AI17" si="3">AI13-AH13</f>
        <v>197.95899999999892</v>
      </c>
    </row>
    <row r="18" spans="1:35" s="173" customFormat="1" ht="23.25" customHeight="1" x14ac:dyDescent="0.3">
      <c r="A18" s="162" t="s">
        <v>39</v>
      </c>
      <c r="B18" s="163"/>
      <c r="C18" s="152"/>
      <c r="D18" s="152"/>
      <c r="E18" s="152"/>
      <c r="F18" s="152"/>
      <c r="G18" s="164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</row>
    <row r="19" spans="1:35" s="173" customFormat="1" ht="23.25" customHeight="1" x14ac:dyDescent="0.3">
      <c r="A19" s="162" t="s">
        <v>117</v>
      </c>
      <c r="B19" s="163"/>
      <c r="C19" s="152"/>
      <c r="D19" s="152"/>
      <c r="E19" s="152"/>
      <c r="F19" s="152"/>
      <c r="G19" s="164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</row>
    <row r="20" spans="1:35" s="199" customFormat="1" ht="8.25" customHeight="1" x14ac:dyDescent="0.3">
      <c r="A20" s="165"/>
      <c r="B20" s="166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</row>
    <row r="21" spans="1:35" s="198" customFormat="1" ht="22.5" customHeight="1" x14ac:dyDescent="0.3">
      <c r="A21" s="168" t="s">
        <v>81</v>
      </c>
      <c r="B21" s="164">
        <v>4.3999999999999997E-2</v>
      </c>
      <c r="C21" s="164">
        <v>4.3999999999999997E-2</v>
      </c>
      <c r="D21" s="164">
        <v>3.2000000000000001E-2</v>
      </c>
      <c r="E21" s="164">
        <v>2.5999999999999999E-2</v>
      </c>
      <c r="F21" s="164">
        <v>2.8000000000000001E-2</v>
      </c>
      <c r="G21" s="164">
        <v>4.1000000000000002E-2</v>
      </c>
      <c r="H21" s="164">
        <v>0.03</v>
      </c>
      <c r="I21" s="164">
        <v>2.7E-2</v>
      </c>
      <c r="J21" s="164">
        <v>2.9000000000000001E-2</v>
      </c>
      <c r="K21" s="164">
        <v>0.03</v>
      </c>
      <c r="L21" s="164">
        <v>3.5000000000000003E-2</v>
      </c>
      <c r="M21" s="164">
        <v>2.9000000000000001E-2</v>
      </c>
      <c r="N21" s="164">
        <v>2.8000000000000001E-2</v>
      </c>
      <c r="O21" s="164">
        <v>3.4000000000000002E-2</v>
      </c>
      <c r="P21" s="164">
        <v>2.9000000000000001E-2</v>
      </c>
      <c r="Q21" s="164">
        <v>3.1E-2</v>
      </c>
      <c r="R21" s="164">
        <v>2.6663248735867368E-2</v>
      </c>
      <c r="S21" s="164">
        <v>2.757876650063151E-2</v>
      </c>
      <c r="T21" s="164">
        <v>3.0521776851747524E-2</v>
      </c>
      <c r="U21" s="164">
        <v>2.5000000000000001E-2</v>
      </c>
      <c r="V21" s="164">
        <v>2.7E-2</v>
      </c>
      <c r="W21" s="164">
        <v>2.4896691476263128E-2</v>
      </c>
      <c r="X21" s="164">
        <v>2.4312015742839848E-2</v>
      </c>
      <c r="Y21" s="164">
        <v>2.6296503944819381E-2</v>
      </c>
      <c r="Z21" s="164">
        <v>2.9466095281787591E-2</v>
      </c>
      <c r="AA21" s="164">
        <v>2.3E-2</v>
      </c>
      <c r="AB21" s="164">
        <v>2.7E-2</v>
      </c>
      <c r="AC21" s="164">
        <v>2.1445092682905939E-2</v>
      </c>
      <c r="AD21" s="164">
        <v>2.3E-2</v>
      </c>
      <c r="AE21" s="164">
        <v>1.7999999999999999E-2</v>
      </c>
      <c r="AF21" s="164">
        <v>1.7999999999999999E-2</v>
      </c>
      <c r="AG21" s="164">
        <v>1.7999999999999999E-2</v>
      </c>
      <c r="AH21" s="164">
        <v>1.7999999999999999E-2</v>
      </c>
      <c r="AI21" s="164">
        <v>1.7000000000000001E-2</v>
      </c>
    </row>
    <row r="22" spans="1:35" s="173" customFormat="1" ht="8.25" customHeight="1" x14ac:dyDescent="0.3">
      <c r="A22" s="169"/>
      <c r="B22" s="170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</row>
    <row r="23" spans="1:35" s="173" customFormat="1" ht="24" customHeight="1" x14ac:dyDescent="0.3">
      <c r="A23" s="172"/>
      <c r="B23" s="135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</row>
    <row r="24" spans="1:35" s="173" customFormat="1" ht="31.5" customHeight="1" x14ac:dyDescent="0.3">
      <c r="A24" s="137" t="s">
        <v>82</v>
      </c>
      <c r="C24" s="174"/>
      <c r="E24" s="174"/>
      <c r="F24" s="8">
        <v>2009</v>
      </c>
      <c r="G24" s="134"/>
      <c r="H24" s="134"/>
      <c r="I24" s="134"/>
      <c r="J24" s="8">
        <v>2010</v>
      </c>
      <c r="K24" s="134"/>
      <c r="L24" s="134"/>
      <c r="M24" s="134"/>
      <c r="N24" s="8">
        <v>2011</v>
      </c>
      <c r="O24" s="134"/>
      <c r="P24" s="134"/>
      <c r="Q24" s="134"/>
      <c r="R24" s="8">
        <v>2012</v>
      </c>
      <c r="S24" s="134"/>
      <c r="T24" s="134"/>
      <c r="U24" s="134"/>
      <c r="V24" s="8">
        <v>2013</v>
      </c>
      <c r="W24" s="134"/>
      <c r="X24" s="134"/>
      <c r="Y24" s="134"/>
      <c r="Z24" s="8">
        <v>2014</v>
      </c>
      <c r="AA24" s="134"/>
      <c r="AB24" s="134"/>
      <c r="AC24" s="134"/>
      <c r="AD24" s="8">
        <v>2015</v>
      </c>
      <c r="AE24" s="10"/>
      <c r="AF24" s="10"/>
      <c r="AG24" s="10"/>
      <c r="AH24" s="8">
        <v>2016</v>
      </c>
      <c r="AI24"/>
    </row>
    <row r="25" spans="1:35" s="198" customFormat="1" ht="31.5" customHeight="1" x14ac:dyDescent="0.3">
      <c r="A25" s="175" t="s">
        <v>83</v>
      </c>
      <c r="B25" s="141" t="s">
        <v>46</v>
      </c>
      <c r="C25" s="141" t="s">
        <v>47</v>
      </c>
      <c r="D25" s="141" t="s">
        <v>48</v>
      </c>
      <c r="E25" s="141" t="s">
        <v>49</v>
      </c>
      <c r="F25" s="142" t="s">
        <v>50</v>
      </c>
      <c r="G25" s="142" t="s">
        <v>51</v>
      </c>
      <c r="H25" s="14" t="s">
        <v>52</v>
      </c>
      <c r="I25" s="14" t="s">
        <v>53</v>
      </c>
      <c r="J25" s="14" t="s">
        <v>54</v>
      </c>
      <c r="K25" s="14" t="s">
        <v>55</v>
      </c>
      <c r="L25" s="14" t="s">
        <v>56</v>
      </c>
      <c r="M25" s="14" t="s">
        <v>57</v>
      </c>
      <c r="N25" s="14" t="s">
        <v>58</v>
      </c>
      <c r="O25" s="14" t="s">
        <v>59</v>
      </c>
      <c r="P25" s="14" t="s">
        <v>60</v>
      </c>
      <c r="Q25" s="14" t="s">
        <v>61</v>
      </c>
      <c r="R25" s="15" t="s">
        <v>62</v>
      </c>
      <c r="S25" s="15" t="s">
        <v>63</v>
      </c>
      <c r="T25" s="15" t="s">
        <v>64</v>
      </c>
      <c r="U25" s="15" t="s">
        <v>65</v>
      </c>
      <c r="V25" s="15" t="s">
        <v>66</v>
      </c>
      <c r="W25" s="15" t="s">
        <v>67</v>
      </c>
      <c r="X25" s="15" t="s">
        <v>68</v>
      </c>
      <c r="Y25" s="15" t="s">
        <v>69</v>
      </c>
      <c r="Z25" s="15" t="s">
        <v>70</v>
      </c>
      <c r="AA25" s="15" t="s">
        <v>71</v>
      </c>
      <c r="AB25" s="15" t="s">
        <v>72</v>
      </c>
      <c r="AC25" s="15" t="s">
        <v>73</v>
      </c>
      <c r="AD25" s="15" t="s">
        <v>113</v>
      </c>
      <c r="AE25" s="15" t="s">
        <v>114</v>
      </c>
      <c r="AF25" s="15" t="s">
        <v>115</v>
      </c>
      <c r="AG25" s="15" t="s">
        <v>116</v>
      </c>
      <c r="AH25" s="143" t="s">
        <v>95</v>
      </c>
      <c r="AI25" s="143" t="s">
        <v>101</v>
      </c>
    </row>
    <row r="26" spans="1:35" s="173" customFormat="1" ht="31.5" hidden="1" customHeight="1" x14ac:dyDescent="0.3">
      <c r="A26" s="176" t="s">
        <v>84</v>
      </c>
      <c r="B26" s="177">
        <v>24144</v>
      </c>
      <c r="C26" s="177">
        <v>24804</v>
      </c>
      <c r="D26" s="177">
        <v>24482</v>
      </c>
      <c r="E26" s="177">
        <v>24609</v>
      </c>
      <c r="F26" s="177">
        <v>23612</v>
      </c>
      <c r="G26" s="177">
        <v>23967</v>
      </c>
      <c r="H26" s="177">
        <v>23983</v>
      </c>
      <c r="I26" s="177">
        <v>24272</v>
      </c>
      <c r="J26" s="177">
        <v>23828</v>
      </c>
      <c r="K26" s="177">
        <v>24100</v>
      </c>
      <c r="L26" s="177">
        <v>23527</v>
      </c>
      <c r="M26" s="177">
        <v>22456</v>
      </c>
      <c r="N26" s="177">
        <v>20424</v>
      </c>
      <c r="O26" s="177">
        <v>19688.828355795322</v>
      </c>
      <c r="P26" s="177">
        <v>18155</v>
      </c>
      <c r="Q26" s="177">
        <v>16574</v>
      </c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</row>
    <row r="27" spans="1:35" s="173" customFormat="1" ht="31.5" hidden="1" customHeight="1" x14ac:dyDescent="0.3">
      <c r="A27" s="178" t="s">
        <v>40</v>
      </c>
      <c r="B27" s="179">
        <v>13122</v>
      </c>
      <c r="C27" s="179">
        <v>12955</v>
      </c>
      <c r="D27" s="179">
        <v>12852</v>
      </c>
      <c r="E27" s="179">
        <v>12753</v>
      </c>
      <c r="F27" s="179">
        <v>12600</v>
      </c>
      <c r="G27" s="179">
        <v>12551</v>
      </c>
      <c r="H27" s="179">
        <v>12573</v>
      </c>
      <c r="I27" s="179">
        <v>13066</v>
      </c>
      <c r="J27" s="179">
        <v>13398</v>
      </c>
      <c r="K27" s="179">
        <v>13717</v>
      </c>
      <c r="L27" s="179">
        <v>13881</v>
      </c>
      <c r="M27" s="179">
        <v>13480</v>
      </c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</row>
    <row r="28" spans="1:35" s="173" customFormat="1" ht="31.5" hidden="1" customHeight="1" x14ac:dyDescent="0.3">
      <c r="A28" s="178" t="s">
        <v>41</v>
      </c>
      <c r="B28" s="179">
        <v>9531</v>
      </c>
      <c r="C28" s="179">
        <v>10354</v>
      </c>
      <c r="D28" s="179">
        <v>10128</v>
      </c>
      <c r="E28" s="179">
        <v>10321</v>
      </c>
      <c r="F28" s="179">
        <v>9481</v>
      </c>
      <c r="G28" s="179">
        <v>10040</v>
      </c>
      <c r="H28" s="179">
        <v>9970</v>
      </c>
      <c r="I28" s="179">
        <v>9874</v>
      </c>
      <c r="J28" s="179">
        <v>9228</v>
      </c>
      <c r="K28" s="179">
        <v>8931</v>
      </c>
      <c r="L28" s="179">
        <v>8184</v>
      </c>
      <c r="M28" s="179">
        <v>7633</v>
      </c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</row>
    <row r="29" spans="1:35" s="200" customFormat="1" ht="31.5" hidden="1" customHeight="1" x14ac:dyDescent="0.3">
      <c r="A29" s="178" t="s">
        <v>85</v>
      </c>
      <c r="B29" s="179">
        <v>1491</v>
      </c>
      <c r="C29" s="179">
        <v>1495</v>
      </c>
      <c r="D29" s="179">
        <v>1501</v>
      </c>
      <c r="E29" s="179">
        <v>1535</v>
      </c>
      <c r="F29" s="179">
        <v>1531</v>
      </c>
      <c r="G29" s="179">
        <v>1375</v>
      </c>
      <c r="H29" s="179">
        <v>1440</v>
      </c>
      <c r="I29" s="179">
        <v>1332</v>
      </c>
      <c r="J29" s="179">
        <v>1202</v>
      </c>
      <c r="K29" s="179">
        <v>1452</v>
      </c>
      <c r="L29" s="179">
        <v>1462</v>
      </c>
      <c r="M29" s="179">
        <v>1343</v>
      </c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</row>
    <row r="30" spans="1:35" s="173" customFormat="1" ht="31.5" hidden="1" customHeight="1" x14ac:dyDescent="0.3">
      <c r="A30" s="180" t="s">
        <v>86</v>
      </c>
      <c r="B30" s="179">
        <v>1491</v>
      </c>
      <c r="C30" s="181">
        <v>0</v>
      </c>
      <c r="D30" s="181">
        <v>0</v>
      </c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>
        <v>0</v>
      </c>
      <c r="K30" s="181">
        <v>0</v>
      </c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1:35" s="173" customFormat="1" ht="31.5" hidden="1" customHeight="1" x14ac:dyDescent="0.3">
      <c r="A31" s="176" t="s">
        <v>87</v>
      </c>
      <c r="B31" s="177">
        <v>6103</v>
      </c>
      <c r="C31" s="177">
        <v>6356</v>
      </c>
      <c r="D31" s="177">
        <v>6454</v>
      </c>
      <c r="E31" s="177">
        <v>6384</v>
      </c>
      <c r="F31" s="177">
        <v>6431</v>
      </c>
      <c r="G31" s="177">
        <v>6650</v>
      </c>
      <c r="H31" s="177">
        <v>6915</v>
      </c>
      <c r="I31" s="177">
        <v>7218</v>
      </c>
      <c r="J31" s="177">
        <v>7399</v>
      </c>
      <c r="K31" s="177">
        <v>7785</v>
      </c>
      <c r="L31" s="177">
        <v>8031</v>
      </c>
      <c r="M31" s="177">
        <v>8824</v>
      </c>
      <c r="N31" s="177">
        <v>9823</v>
      </c>
      <c r="O31" s="177">
        <v>10489.424934442295</v>
      </c>
      <c r="P31" s="177">
        <v>11454</v>
      </c>
      <c r="Q31" s="177">
        <v>12252</v>
      </c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</row>
    <row r="32" spans="1:35" s="173" customFormat="1" ht="31.5" hidden="1" customHeight="1" x14ac:dyDescent="0.3">
      <c r="A32" s="178" t="s">
        <v>42</v>
      </c>
      <c r="B32" s="179">
        <v>0</v>
      </c>
      <c r="C32" s="179">
        <v>0</v>
      </c>
      <c r="D32" s="179">
        <v>0</v>
      </c>
      <c r="E32" s="179">
        <v>0</v>
      </c>
      <c r="F32" s="179">
        <v>0</v>
      </c>
      <c r="G32" s="179">
        <v>0</v>
      </c>
      <c r="H32" s="179">
        <v>0</v>
      </c>
      <c r="I32" s="179">
        <v>0</v>
      </c>
      <c r="J32" s="179">
        <v>0</v>
      </c>
      <c r="K32" s="179">
        <v>0</v>
      </c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</row>
    <row r="33" spans="1:35" s="173" customFormat="1" ht="31.5" hidden="1" customHeight="1" x14ac:dyDescent="0.3">
      <c r="A33" s="180" t="s">
        <v>43</v>
      </c>
      <c r="B33" s="182">
        <v>0</v>
      </c>
      <c r="C33" s="182">
        <v>0</v>
      </c>
      <c r="D33" s="182">
        <v>0</v>
      </c>
      <c r="E33" s="182">
        <v>0</v>
      </c>
      <c r="F33" s="182">
        <v>0</v>
      </c>
      <c r="G33" s="182">
        <v>0</v>
      </c>
      <c r="H33" s="182">
        <v>0</v>
      </c>
      <c r="I33" s="182">
        <v>0</v>
      </c>
      <c r="J33" s="182">
        <v>0</v>
      </c>
      <c r="K33" s="182">
        <v>0</v>
      </c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</row>
    <row r="34" spans="1:35" s="173" customFormat="1" ht="8.25" hidden="1" customHeight="1" x14ac:dyDescent="0.3">
      <c r="A34" s="183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</row>
    <row r="35" spans="1:35" s="173" customFormat="1" ht="22.5" hidden="1" customHeight="1" x14ac:dyDescent="0.3">
      <c r="A35" s="185" t="s">
        <v>88</v>
      </c>
      <c r="B35" s="186">
        <v>4569</v>
      </c>
      <c r="C35" s="186">
        <v>4794</v>
      </c>
      <c r="D35" s="186">
        <v>4701</v>
      </c>
      <c r="E35" s="186">
        <v>5256</v>
      </c>
      <c r="F35" s="186">
        <v>4627</v>
      </c>
      <c r="G35" s="186">
        <v>4737</v>
      </c>
      <c r="H35" s="186">
        <v>5077</v>
      </c>
      <c r="I35" s="186">
        <v>4859</v>
      </c>
      <c r="J35" s="186">
        <v>4734</v>
      </c>
      <c r="K35" s="186">
        <v>4921</v>
      </c>
      <c r="L35" s="186">
        <v>4957</v>
      </c>
      <c r="M35" s="186">
        <v>3743</v>
      </c>
      <c r="N35" s="186">
        <v>4014</v>
      </c>
      <c r="O35" s="186">
        <v>4117.6622793302331</v>
      </c>
      <c r="P35" s="186">
        <v>3961</v>
      </c>
      <c r="Q35" s="186">
        <v>3943</v>
      </c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</row>
    <row r="36" spans="1:35" s="173" customFormat="1" ht="22.5" hidden="1" customHeight="1" x14ac:dyDescent="0.3">
      <c r="A36" s="187" t="s">
        <v>89</v>
      </c>
      <c r="B36" s="188">
        <v>1034</v>
      </c>
      <c r="C36" s="188">
        <v>976</v>
      </c>
      <c r="D36" s="188">
        <v>685</v>
      </c>
      <c r="E36" s="188">
        <v>592</v>
      </c>
      <c r="F36" s="188">
        <v>631</v>
      </c>
      <c r="G36" s="188">
        <v>792</v>
      </c>
      <c r="H36" s="188">
        <v>659</v>
      </c>
      <c r="I36" s="188">
        <v>536</v>
      </c>
      <c r="J36" s="188">
        <v>698</v>
      </c>
      <c r="K36" s="188">
        <v>695</v>
      </c>
      <c r="L36" s="188">
        <v>805.23578791533646</v>
      </c>
      <c r="M36" s="188">
        <v>649</v>
      </c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</row>
    <row r="37" spans="1:35" s="173" customFormat="1" ht="31.5" customHeight="1" x14ac:dyDescent="0.3">
      <c r="A37" s="151" t="s">
        <v>90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</row>
    <row r="38" spans="1:35" s="201" customFormat="1" ht="31.5" customHeight="1" x14ac:dyDescent="0.3">
      <c r="A38" s="190" t="s">
        <v>91</v>
      </c>
      <c r="B38" s="177">
        <v>30247</v>
      </c>
      <c r="C38" s="177">
        <v>31160</v>
      </c>
      <c r="D38" s="177">
        <v>30936</v>
      </c>
      <c r="E38" s="177">
        <v>30993</v>
      </c>
      <c r="F38" s="177">
        <v>30042</v>
      </c>
      <c r="G38" s="177">
        <v>30617</v>
      </c>
      <c r="H38" s="177">
        <v>30898</v>
      </c>
      <c r="I38" s="177">
        <v>31490</v>
      </c>
      <c r="J38" s="177">
        <v>31227</v>
      </c>
      <c r="K38" s="177">
        <v>31885</v>
      </c>
      <c r="L38" s="177">
        <v>31559</v>
      </c>
      <c r="M38" s="177">
        <v>31281</v>
      </c>
      <c r="N38" s="177">
        <v>30247</v>
      </c>
      <c r="O38" s="177">
        <v>30178.253290237615</v>
      </c>
      <c r="P38" s="177">
        <v>29609</v>
      </c>
      <c r="Q38" s="177">
        <v>28826</v>
      </c>
      <c r="R38" s="177">
        <v>28721.8538639615</v>
      </c>
      <c r="S38" s="177">
        <v>29447.168376640533</v>
      </c>
      <c r="T38" s="177">
        <v>29969.879530835675</v>
      </c>
      <c r="U38" s="177">
        <v>30697</v>
      </c>
      <c r="V38" s="177">
        <v>31116</v>
      </c>
      <c r="W38" s="177">
        <v>31615.485824636093</v>
      </c>
      <c r="X38" s="191">
        <v>31332.085656704545</v>
      </c>
      <c r="Y38" s="191">
        <v>32160.352715576944</v>
      </c>
      <c r="Z38" s="191">
        <v>33621.579504909037</v>
      </c>
      <c r="AA38" s="192">
        <v>34504.23493915375</v>
      </c>
      <c r="AB38" s="192">
        <v>35759.946634758468</v>
      </c>
      <c r="AC38" s="192">
        <v>36284.956880718593</v>
      </c>
      <c r="AD38" s="192">
        <v>35451.106773773703</v>
      </c>
      <c r="AE38" s="192">
        <v>36059.869566042275</v>
      </c>
      <c r="AF38" s="192">
        <v>36193.419498459523</v>
      </c>
      <c r="AG38" s="192">
        <v>36491</v>
      </c>
      <c r="AH38" s="192">
        <v>36128</v>
      </c>
      <c r="AI38" s="192">
        <v>36527</v>
      </c>
    </row>
    <row r="39" spans="1:35" s="201" customFormat="1" ht="31.5" customHeight="1" x14ac:dyDescent="0.3">
      <c r="A39" s="190" t="s">
        <v>92</v>
      </c>
      <c r="B39" s="177">
        <v>34815</v>
      </c>
      <c r="C39" s="177">
        <v>35954</v>
      </c>
      <c r="D39" s="177">
        <v>35637</v>
      </c>
      <c r="E39" s="177">
        <v>36249</v>
      </c>
      <c r="F39" s="177">
        <v>34669</v>
      </c>
      <c r="G39" s="177">
        <v>35353</v>
      </c>
      <c r="H39" s="177">
        <v>35975</v>
      </c>
      <c r="I39" s="177">
        <v>36349</v>
      </c>
      <c r="J39" s="177">
        <v>35961</v>
      </c>
      <c r="K39" s="177">
        <v>36806</v>
      </c>
      <c r="L39" s="177">
        <v>36515</v>
      </c>
      <c r="M39" s="177">
        <v>35024</v>
      </c>
      <c r="N39" s="177">
        <v>34261</v>
      </c>
      <c r="O39" s="177">
        <v>34295.915569567849</v>
      </c>
      <c r="P39" s="177">
        <v>33570</v>
      </c>
      <c r="Q39" s="177">
        <v>32768</v>
      </c>
      <c r="R39" s="177">
        <v>32590.611708079919</v>
      </c>
      <c r="S39" s="177">
        <v>32978.472394436438</v>
      </c>
      <c r="T39" s="177">
        <v>33540.649703014336</v>
      </c>
      <c r="U39" s="177">
        <v>32555</v>
      </c>
      <c r="V39" s="177">
        <v>34037</v>
      </c>
      <c r="W39" s="177">
        <v>34675.978646690426</v>
      </c>
      <c r="X39" s="191">
        <v>34574.446143792797</v>
      </c>
      <c r="Y39" s="191">
        <v>35610.65562422073</v>
      </c>
      <c r="Z39" s="191">
        <v>37221.628595224625</v>
      </c>
      <c r="AA39" s="192">
        <v>38194.012346138166</v>
      </c>
      <c r="AB39" s="192">
        <v>39760.152148726105</v>
      </c>
      <c r="AC39" s="192">
        <v>37715.124070874394</v>
      </c>
      <c r="AD39" s="192">
        <v>38761.926993342844</v>
      </c>
      <c r="AE39" s="192">
        <v>38840.378289479551</v>
      </c>
      <c r="AF39" s="192">
        <v>39238.591100564961</v>
      </c>
      <c r="AG39" s="192">
        <v>39642</v>
      </c>
      <c r="AH39" s="192">
        <v>39241</v>
      </c>
      <c r="AI39" s="192">
        <v>39684</v>
      </c>
    </row>
    <row r="40" spans="1:35" s="201" customFormat="1" ht="31.5" hidden="1" customHeight="1" x14ac:dyDescent="0.3">
      <c r="A40" s="190" t="s">
        <v>93</v>
      </c>
      <c r="B40" s="177">
        <v>35849</v>
      </c>
      <c r="C40" s="177">
        <v>36930</v>
      </c>
      <c r="D40" s="177">
        <v>36322</v>
      </c>
      <c r="E40" s="177">
        <v>36841</v>
      </c>
      <c r="F40" s="177">
        <v>35300</v>
      </c>
      <c r="G40" s="177">
        <v>36145</v>
      </c>
      <c r="H40" s="177">
        <v>36634</v>
      </c>
      <c r="I40" s="177">
        <v>36885</v>
      </c>
      <c r="J40" s="177">
        <v>36659</v>
      </c>
      <c r="K40" s="177">
        <v>37501</v>
      </c>
      <c r="L40" s="177">
        <v>37320.235787915335</v>
      </c>
      <c r="M40" s="177">
        <v>35673</v>
      </c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</row>
    <row r="41" spans="1:35" s="173" customFormat="1" ht="9" customHeight="1" x14ac:dyDescent="0.3">
      <c r="A41" s="193"/>
      <c r="B41" s="194"/>
      <c r="C41" s="194"/>
      <c r="D41" s="194"/>
      <c r="E41" s="194"/>
      <c r="F41" s="194"/>
      <c r="G41" s="195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</row>
    <row r="42" spans="1:35" s="173" customFormat="1" ht="18" customHeight="1" x14ac:dyDescent="0.3">
      <c r="A42" s="196" t="s">
        <v>44</v>
      </c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</row>
    <row r="43" spans="1:35" s="202" customFormat="1" ht="18.75" customHeight="1" x14ac:dyDescent="0.3">
      <c r="A43" s="196" t="s">
        <v>94</v>
      </c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</row>
    <row r="44" spans="1:35" ht="18.75" customHeight="1" x14ac:dyDescent="0.3">
      <c r="A44" s="195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</row>
  </sheetData>
  <phoneticPr fontId="2" type="noConversion"/>
  <pageMargins left="0.7" right="0.7" top="0.75" bottom="0.75" header="0.3" footer="0.3"/>
  <pageSetup paperSize="9" scale="4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2016-09-21T06:29:45Z</dcterms:modified>
</cp:coreProperties>
</file>