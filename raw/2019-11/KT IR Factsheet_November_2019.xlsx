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자금IR\03. IR Factsheet, Conference Call 일정 공유\00. Monthly Factsheet\FY 2019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'Fixed(M)'!$A$1:$FX$39</definedName>
    <definedName name="_xlnm.Print_Area" localSheetId="1">'Wireless(Q)'!$A$1:$AV$41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<sst xmlns="http://schemas.openxmlformats.org/spreadsheetml/2006/main" count="220" uniqueCount="114">
  <si>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</si>
  <si>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</si>
  <si>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</si>
  <si>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</si>
  <si>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</si>
  <si>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</si>
  <si>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</si>
  <si>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</si>
  <si>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</si>
  <si>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</si>
  <si>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</si>
  <si>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</si>
  <si>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</si>
  <si>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</si>
  <si>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</si>
  <si>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</si>
  <si>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</si>
  <si>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</si>
  <si>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</si>
  <si>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</si>
  <si>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</si>
  <si>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</si>
  <si>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</si>
  <si>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</si>
  <si>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</si>
  <si>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</si>
  <si>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</si>
  <si>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</si>
  <si>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</si>
  <si>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</si>
  <si>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</si>
  <si>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</si>
  <si>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</si>
  <si>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</si>
  <si>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</si>
  <si>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</si>
  <si>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</si>
  <si>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</si>
  <si>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</si>
  <si>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</si>
  <si>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</si>
  <si>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</si>
  <si>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</si>
  <si>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</si>
  <si>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</si>
  <si>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</si>
  <si>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</si>
  <si>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</si>
  <si>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</si>
  <si>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</si>
  <si>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</si>
  <si>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</si>
  <si>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</si>
  <si>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</si>
  <si>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</si>
  <si>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</si>
  <si>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</si>
  <si>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</si>
  <si>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</si>
  <si>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</si>
  <si>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</si>
  <si>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</si>
  <si>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</si>
  <si>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</si>
  <si>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</si>
  <si>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</si>
  <si>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</si>
  <si>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</si>
  <si>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</si>
  <si>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</si>
  <si>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</si>
  <si>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</si>
  <si>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</si>
  <si>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</si>
  <si>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</si>
  <si>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</si>
  <si>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</si>
  <si>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</si>
  <si>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</si>
  <si>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</si>
  <si>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</si>
  <si>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</si>
  <si>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</si>
  <si>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</si>
  <si>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</si>
  <si>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</si>
  <si>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</si>
  <si>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</si>
  <si>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</si>
  <si>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</si>
  <si>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</si>
  <si>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</si>
  <si>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</si>
  <si>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</si>
  <si>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</si>
  <si>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</si>
  <si>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</si>
  <si>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</si>
  <si>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</si>
  <si>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</si>
  <si>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1Q 19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</si>
  <si>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</si>
  <si>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</si>
  <si>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Mobile ARPU : Application of IFRS 15 since 1Q18
</t>
    </r>
    <phoneticPr fontId="5" type="noConversion"/>
  </si>
  <si>
    <t>2Q 19</t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</si>
  <si>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</si>
  <si>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</si>
  <si>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</si>
  <si>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</si>
  <si>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</si>
  <si>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</si>
  <si>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</si>
  <si>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t>KT Monthly Factsheet (November 2019)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</si>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</sst>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62" fillId="0" borderId="0" applyNumberFormat="0" applyFill="0" applyBorder="0" applyAlignment="0" applyProtection="0"/>
    <xf numFmtId="214" fontId="63" fillId="0" borderId="0"/>
    <xf numFmtId="0" fontId="63" fillId="0" borderId="0"/>
    <xf numFmtId="0" fontId="63" fillId="0" borderId="0"/>
    <xf numFmtId="0" fontId="42" fillId="0" borderId="0"/>
    <xf numFmtId="0" fontId="64" fillId="0" borderId="0" applyFont="0" applyFill="0" applyBorder="0" applyAlignment="0" applyProtection="0"/>
    <xf numFmtId="0" fontId="65" fillId="0" borderId="0"/>
    <xf numFmtId="0" fontId="65" fillId="0" borderId="0"/>
    <xf numFmtId="0" fontId="64" fillId="0" borderId="0" applyFont="0" applyFill="0" applyBorder="0" applyAlignment="0" applyProtection="0"/>
    <xf numFmtId="0" fontId="42" fillId="0" borderId="0"/>
    <xf numFmtId="0" fontId="42" fillId="0" borderId="0"/>
    <xf numFmtId="205" fontId="42" fillId="0" borderId="0" applyFont="0" applyFill="0" applyBorder="0" applyAlignment="0" applyProtection="0"/>
    <xf numFmtId="206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/>
    <xf numFmtId="201" fontId="42" fillId="0" borderId="0" applyFont="0" applyFill="0" applyBorder="0" applyAlignment="0" applyProtection="0"/>
    <xf numFmtId="199" fontId="42" fillId="0" borderId="0" applyFont="0" applyFill="0" applyBorder="0" applyAlignment="0" applyProtection="0"/>
    <xf numFmtId="202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3" fontId="42" fillId="0" borderId="0" applyFont="0" applyFill="0" applyBorder="0" applyAlignment="0" applyProtection="0"/>
    <xf numFmtId="39" fontId="42" fillId="0" borderId="0" applyFont="0" applyFill="0" applyBorder="0" applyAlignment="0" applyProtection="0"/>
    <xf numFmtId="0" fontId="42" fillId="0" borderId="0"/>
    <xf numFmtId="204" fontId="42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42" fillId="44" borderId="0" applyNumberFormat="0" applyFont="0" applyAlignment="0" applyProtection="0"/>
    <xf numFmtId="200" fontId="42" fillId="0" borderId="0" applyFont="0" applyFill="0" applyBorder="0" applyAlignment="0" applyProtection="0"/>
    <xf numFmtId="209" fontId="42" fillId="0" borderId="0" applyFont="0" applyFill="0" applyBorder="0" applyAlignment="0" applyProtection="0"/>
    <xf numFmtId="207" fontId="42" fillId="0" borderId="0" applyFont="0" applyFill="0" applyBorder="0" applyProtection="0">
      <alignment horizontal="right"/>
    </xf>
    <xf numFmtId="210" fontId="42" fillId="0" borderId="0" applyFont="0" applyFill="0" applyBorder="0" applyAlignment="0" applyProtection="0"/>
    <xf numFmtId="211" fontId="42" fillId="0" borderId="0" applyFont="0" applyFill="0" applyBorder="0" applyAlignment="0" applyProtection="0"/>
    <xf numFmtId="212" fontId="42" fillId="0" borderId="0" applyFont="0" applyFill="0" applyBorder="0" applyAlignment="0" applyProtection="0"/>
    <xf numFmtId="0" fontId="42" fillId="0" borderId="0"/>
    <xf numFmtId="0" fontId="67" fillId="0" borderId="0" applyNumberFormat="0" applyFill="0" applyBorder="0" applyProtection="0">
      <alignment vertical="top"/>
    </xf>
    <xf numFmtId="0" fontId="67" fillId="0" borderId="0" applyNumberFormat="0" applyFill="0" applyBorder="0" applyProtection="0">
      <alignment vertical="top"/>
    </xf>
    <xf numFmtId="0" fontId="67" fillId="0" borderId="0" applyNumberFormat="0" applyFill="0" applyBorder="0" applyProtection="0">
      <alignment vertical="top"/>
    </xf>
    <xf numFmtId="0" fontId="68" fillId="0" borderId="14" applyNumberFormat="0" applyFill="0" applyAlignment="0" applyProtection="0"/>
    <xf numFmtId="0" fontId="68" fillId="0" borderId="14" applyNumberFormat="0" applyFill="0" applyAlignment="0" applyProtection="0"/>
    <xf numFmtId="0" fontId="68" fillId="0" borderId="14" applyNumberFormat="0" applyFill="0" applyAlignment="0" applyProtection="0"/>
    <xf numFmtId="0" fontId="69" fillId="0" borderId="15" applyNumberFormat="0" applyFill="0" applyProtection="0">
      <alignment horizontal="center"/>
    </xf>
    <xf numFmtId="0" fontId="69" fillId="0" borderId="15" applyNumberFormat="0" applyFill="0" applyProtection="0">
      <alignment horizontal="center"/>
    </xf>
    <xf numFmtId="0" fontId="69" fillId="0" borderId="15" applyNumberFormat="0" applyFill="0" applyProtection="0">
      <alignment horizontal="center"/>
    </xf>
    <xf numFmtId="0" fontId="69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left"/>
    </xf>
    <xf numFmtId="0" fontId="70" fillId="0" borderId="0" applyNumberFormat="0" applyFill="0" applyBorder="0" applyProtection="0">
      <alignment horizontal="centerContinuous"/>
    </xf>
    <xf numFmtId="0" fontId="70" fillId="0" borderId="0" applyNumberFormat="0" applyFill="0" applyBorder="0" applyProtection="0">
      <alignment horizontal="centerContinuous"/>
    </xf>
    <xf numFmtId="0" fontId="70" fillId="0" borderId="0" applyNumberFormat="0" applyFill="0" applyBorder="0" applyProtection="0">
      <alignment horizontal="centerContinuous"/>
    </xf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5" fillId="0" borderId="0"/>
    <xf numFmtId="0" fontId="63" fillId="0" borderId="0"/>
    <xf numFmtId="0" fontId="35" fillId="0" borderId="0"/>
    <xf numFmtId="0" fontId="44" fillId="59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/>
    <xf numFmtId="40" fontId="64" fillId="0" borderId="0" applyFont="0" applyFill="0" applyBorder="0" applyAlignment="0" applyProtection="0"/>
    <xf numFmtId="38" fontId="64" fillId="0" borderId="0" applyFont="0" applyFill="0" applyBorder="0" applyAlignment="0" applyProtection="0"/>
    <xf numFmtId="0" fontId="43" fillId="64" borderId="17" applyNumberFormat="0" applyFon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65" borderId="18" applyNumberFormat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42" fillId="0" borderId="0"/>
    <xf numFmtId="0" fontId="52" fillId="0" borderId="19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42" fillId="0" borderId="0"/>
    <xf numFmtId="0" fontId="60" fillId="63" borderId="24" applyNumberFormat="0" applyAlignment="0" applyProtection="0">
      <alignment vertical="center"/>
    </xf>
    <xf numFmtId="0" fontId="65" fillId="0" borderId="0" applyFont="0" applyFill="0" applyBorder="0" applyAlignment="0" applyProtection="0"/>
    <xf numFmtId="0" fontId="3" fillId="0" borderId="0"/>
    <xf numFmtId="0" fontId="3" fillId="0" borderId="0"/>
    <xf numFmtId="0" fontId="92" fillId="0" borderId="0" applyNumberFormat="0" applyFill="0" applyBorder="0" applyAlignment="0" applyProtection="0">
      <alignment vertical="top"/>
      <protection locked="0"/>
    </xf>
    <xf numFmtId="188" fontId="72" fillId="0" borderId="0" applyFont="0" applyFill="0" applyBorder="0" applyAlignment="0" applyProtection="0"/>
    <xf numFmtId="190" fontId="72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74" fillId="0" borderId="0"/>
    <xf numFmtId="0" fontId="75" fillId="66" borderId="25" applyNumberFormat="0" applyAlignment="0" applyProtection="0"/>
    <xf numFmtId="189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23" fillId="0" borderId="0"/>
    <xf numFmtId="0" fontId="42" fillId="0" borderId="0"/>
    <xf numFmtId="38" fontId="76" fillId="67" borderId="26">
      <alignment horizontal="right"/>
    </xf>
    <xf numFmtId="0" fontId="77" fillId="0" borderId="0"/>
    <xf numFmtId="215" fontId="78" fillId="0" borderId="0"/>
    <xf numFmtId="216" fontId="42" fillId="0" borderId="0"/>
    <xf numFmtId="38" fontId="79" fillId="68" borderId="26">
      <protection locked="0"/>
    </xf>
    <xf numFmtId="2" fontId="76" fillId="69" borderId="0">
      <alignment horizontal="left"/>
      <protection hidden="1"/>
    </xf>
    <xf numFmtId="217" fontId="42" fillId="0" borderId="0"/>
    <xf numFmtId="218" fontId="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38" fontId="80" fillId="70" borderId="0" applyNumberFormat="0" applyBorder="0" applyAlignment="0" applyProtection="0"/>
    <xf numFmtId="0" fontId="81" fillId="0" borderId="0">
      <alignment horizontal="left"/>
    </xf>
    <xf numFmtId="0" fontId="61" fillId="0" borderId="27" applyNumberFormat="0" applyAlignment="0" applyProtection="0">
      <alignment horizontal="left" vertical="center"/>
    </xf>
    <xf numFmtId="0" fontId="61" fillId="0" borderId="2">
      <alignment horizontal="left" vertical="center"/>
    </xf>
    <xf numFmtId="192" fontId="82" fillId="0" borderId="0" applyBorder="0" applyAlignment="0"/>
    <xf numFmtId="182" fontId="78" fillId="0" borderId="0" applyAlignment="0">
      <protection locked="0"/>
    </xf>
    <xf numFmtId="194" fontId="83" fillId="0" borderId="0"/>
    <xf numFmtId="196" fontId="83" fillId="0" borderId="0"/>
    <xf numFmtId="195" fontId="83" fillId="0" borderId="0"/>
    <xf numFmtId="10" fontId="80" fillId="70" borderId="28" applyNumberFormat="0" applyBorder="0" applyAlignment="0" applyProtection="0"/>
    <xf numFmtId="0" fontId="84" fillId="0" borderId="29"/>
    <xf numFmtId="213" fontId="63" fillId="0" borderId="0"/>
    <xf numFmtId="191" fontId="63" fillId="0" borderId="0"/>
    <xf numFmtId="194" fontId="85" fillId="0" borderId="0"/>
    <xf numFmtId="196" fontId="85" fillId="0" borderId="0"/>
    <xf numFmtId="195" fontId="85" fillId="0" borderId="0"/>
    <xf numFmtId="197" fontId="85" fillId="0" borderId="0">
      <alignment horizontal="right"/>
    </xf>
    <xf numFmtId="0" fontId="63" fillId="0" borderId="3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0" fontId="42" fillId="0" borderId="0" applyFont="0" applyFill="0" applyBorder="0" applyAlignment="0" applyProtection="0"/>
    <xf numFmtId="182" fontId="42" fillId="0" borderId="0" applyFont="0" applyFill="0" applyBorder="0" applyAlignment="0" applyProtection="0"/>
    <xf numFmtId="0" fontId="86" fillId="11" borderId="0">
      <alignment horizontal="right"/>
    </xf>
    <xf numFmtId="0" fontId="84" fillId="0" borderId="0"/>
    <xf numFmtId="0" fontId="87" fillId="0" borderId="31" applyBorder="0">
      <alignment horizontal="center"/>
    </xf>
    <xf numFmtId="193" fontId="88" fillId="71" borderId="0"/>
    <xf numFmtId="0" fontId="80" fillId="72" borderId="26">
      <alignment horizontal="right"/>
    </xf>
    <xf numFmtId="0" fontId="89" fillId="72" borderId="26"/>
    <xf numFmtId="0" fontId="90" fillId="0" borderId="0"/>
    <xf numFmtId="191" fontId="63" fillId="0" borderId="0"/>
    <xf numFmtId="198" fontId="91" fillId="72" borderId="28" applyFont="0" applyFill="0" applyBorder="0" applyAlignment="0" applyProtection="0">
      <alignment horizontal="center"/>
      <protection locked="0"/>
    </xf>
    <xf numFmtId="0" fontId="3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5" fillId="0" borderId="0"/>
    <xf numFmtId="2" fontId="96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6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9" fillId="0" borderId="3" applyAlignment="0"/>
    <xf numFmtId="41" fontId="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" fontId="100" fillId="0" borderId="0" applyFont="0" applyFill="0" applyBorder="0" applyAlignment="0" applyProtection="0"/>
    <xf numFmtId="3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0" fontId="95" fillId="0" borderId="0">
      <alignment vertical="center"/>
    </xf>
    <xf numFmtId="0" fontId="3" fillId="0" borderId="0">
      <alignment vertical="center"/>
    </xf>
    <xf numFmtId="0" fontId="96" fillId="0" borderId="40" applyNumberFormat="0" applyFont="0" applyFill="0" applyAlignment="0" applyProtection="0"/>
    <xf numFmtId="219" fontId="100" fillId="0" borderId="0" applyFont="0" applyFill="0" applyBorder="0" applyAlignment="0" applyProtection="0"/>
    <xf numFmtId="219" fontId="100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5" fillId="66" borderId="25" applyNumberFormat="0" applyAlignment="0" applyProtection="0"/>
    <xf numFmtId="0" fontId="69" fillId="0" borderId="15" applyNumberFormat="0" applyFill="0" applyProtection="0">
      <alignment horizontal="center"/>
    </xf>
    <xf numFmtId="0" fontId="69" fillId="0" borderId="15" applyNumberFormat="0" applyFill="0" applyProtection="0">
      <alignment horizontal="center"/>
    </xf>
    <xf numFmtId="0" fontId="69" fillId="0" borderId="15" applyNumberFormat="0" applyFill="0" applyProtection="0">
      <alignment horizontal="center"/>
    </xf>
    <xf numFmtId="37" fontId="99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5" fillId="66" borderId="25" applyNumberFormat="0" applyAlignment="0" applyProtection="0"/>
    <xf numFmtId="0" fontId="84" fillId="0" borderId="29"/>
    <xf numFmtId="0" fontId="87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4" fillId="0" borderId="29"/>
    <xf numFmtId="41" fontId="103" fillId="0" borderId="0" applyFont="0" applyFill="0" applyBorder="0" applyAlignment="0" applyProtection="0">
      <alignment vertical="center"/>
    </xf>
    <xf numFmtId="0" fontId="103" fillId="0" borderId="0">
      <alignment vertical="center"/>
    </xf>
    <xf numFmtId="9" fontId="10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9" fillId="0" borderId="42" applyAlignment="0"/>
    <xf numFmtId="41" fontId="3" fillId="0" borderId="0" applyFont="0" applyFill="0" applyBorder="0" applyAlignment="0" applyProtection="0">
      <alignment vertical="center"/>
    </xf>
    <xf numFmtId="0" fontId="42" fillId="0" borderId="0"/>
    <xf numFmtId="0" fontId="102" fillId="0" borderId="0"/>
    <xf numFmtId="0" fontId="3" fillId="0" borderId="0"/>
    <xf numFmtId="0" fontId="3" fillId="0" borderId="0"/>
    <xf numFmtId="0" fontId="42" fillId="0" borderId="0"/>
    <xf numFmtId="41" fontId="3" fillId="0" borderId="0" applyFont="0" applyFill="0" applyBorder="0" applyAlignment="0" applyProtection="0">
      <alignment vertical="center"/>
    </xf>
    <xf numFmtId="0" fontId="42" fillId="0" borderId="0"/>
    <xf numFmtId="0" fontId="42" fillId="0" borderId="0"/>
    <xf numFmtId="0" fontId="3" fillId="0" borderId="0"/>
    <xf numFmtId="0" fontId="42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2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5" fillId="0" borderId="0"/>
    <xf numFmtId="41" fontId="3" fillId="0" borderId="0" applyFont="0" applyFill="0" applyBorder="0" applyAlignment="0" applyProtection="0">
      <alignment vertical="center"/>
    </xf>
    <xf numFmtId="0" fontId="42" fillId="0" borderId="0"/>
    <xf numFmtId="0" fontId="10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9" fillId="0" borderId="0"/>
    <xf numFmtId="0" fontId="106" fillId="0" borderId="0" applyNumberFormat="0" applyFill="0" applyBorder="0" applyAlignment="0" applyProtection="0"/>
    <xf numFmtId="0" fontId="42" fillId="0" borderId="0" applyFont="0" applyFill="0" applyBorder="0" applyAlignment="0" applyProtection="0"/>
    <xf numFmtId="40" fontId="74" fillId="0" borderId="0" applyFont="0" applyFill="0" applyBorder="0" applyAlignment="0" applyProtection="0"/>
    <xf numFmtId="38" fontId="74" fillId="0" borderId="0" applyFont="0" applyFill="0" applyBorder="0" applyAlignment="0" applyProtection="0"/>
    <xf numFmtId="0" fontId="94" fillId="0" borderId="0"/>
    <xf numFmtId="0" fontId="65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42" fillId="0" borderId="0"/>
    <xf numFmtId="0" fontId="65" fillId="0" borderId="0"/>
    <xf numFmtId="0" fontId="94" fillId="0" borderId="0"/>
    <xf numFmtId="0" fontId="94" fillId="0" borderId="0"/>
    <xf numFmtId="0" fontId="42" fillId="0" borderId="0"/>
    <xf numFmtId="38" fontId="104" fillId="0" borderId="26">
      <alignment horizontal="right" vertical="center"/>
      <protection locked="0"/>
    </xf>
    <xf numFmtId="0" fontId="3" fillId="0" borderId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224" fontId="65" fillId="0" borderId="0"/>
    <xf numFmtId="0" fontId="9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" fontId="96" fillId="0" borderId="0" applyFont="0" applyFill="0" applyBorder="0" applyAlignment="0" applyProtection="0"/>
    <xf numFmtId="3" fontId="96" fillId="0" borderId="0" applyFont="0" applyFill="0" applyBorder="0" applyAlignment="0" applyProtection="0"/>
    <xf numFmtId="10" fontId="96" fillId="0" borderId="0" applyFont="0" applyFill="0" applyBorder="0" applyAlignment="0" applyProtection="0"/>
    <xf numFmtId="0" fontId="3" fillId="0" borderId="0"/>
    <xf numFmtId="0" fontId="4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6" fillId="0" borderId="0" applyFont="0" applyFill="0" applyBorder="0" applyAlignment="0" applyProtection="0"/>
    <xf numFmtId="225" fontId="109" fillId="0" borderId="0" applyFont="0" applyFill="0" applyBorder="0" applyAlignment="0" applyProtection="0"/>
    <xf numFmtId="226" fontId="109" fillId="0" borderId="0" applyFont="0" applyFill="0" applyBorder="0" applyAlignment="0" applyProtection="0"/>
    <xf numFmtId="0" fontId="109" fillId="0" borderId="0"/>
    <xf numFmtId="38" fontId="94" fillId="0" borderId="0" applyFont="0" applyFill="0" applyBorder="0" applyAlignment="0" applyProtection="0"/>
    <xf numFmtId="227" fontId="94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1" fillId="0" borderId="0">
      <protection locked="0"/>
    </xf>
    <xf numFmtId="0" fontId="111" fillId="0" borderId="0">
      <protection locked="0"/>
    </xf>
    <xf numFmtId="0" fontId="112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1" fillId="0" borderId="0">
      <protection locked="0"/>
    </xf>
    <xf numFmtId="0" fontId="112" fillId="0" borderId="0">
      <protection locked="0"/>
    </xf>
    <xf numFmtId="2" fontId="23" fillId="0" borderId="0" applyFill="0" applyBorder="0" applyAlignment="0" applyProtection="0"/>
    <xf numFmtId="38" fontId="80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13" fillId="0" borderId="0" applyNumberFormat="0" applyFill="0" applyBorder="0" applyAlignment="0" applyProtection="0">
      <alignment vertical="top"/>
      <protection locked="0"/>
    </xf>
    <xf numFmtId="10" fontId="80" fillId="72" borderId="28" applyNumberFormat="0" applyBorder="0" applyAlignment="0" applyProtection="0"/>
    <xf numFmtId="191" fontId="114" fillId="0" borderId="0"/>
    <xf numFmtId="0" fontId="42" fillId="0" borderId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5" fillId="0" borderId="0">
      <alignment vertical="center"/>
    </xf>
    <xf numFmtId="41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41" fontId="115" fillId="0" borderId="0" applyFont="0" applyFill="0" applyBorder="0" applyAlignment="0" applyProtection="0"/>
    <xf numFmtId="0" fontId="42" fillId="0" borderId="0"/>
    <xf numFmtId="9" fontId="115" fillId="0" borderId="0" applyFont="0" applyFill="0" applyBorder="0" applyAlignment="0" applyProtection="0"/>
    <xf numFmtId="38" fontId="80" fillId="9" borderId="0" applyNumberFormat="0" applyBorder="0" applyAlignment="0" applyProtection="0"/>
    <xf numFmtId="10" fontId="80" fillId="72" borderId="28" applyNumberFormat="0" applyBorder="0" applyAlignment="0" applyProtection="0"/>
    <xf numFmtId="0" fontId="3" fillId="0" borderId="0"/>
    <xf numFmtId="0" fontId="42" fillId="0" borderId="0"/>
    <xf numFmtId="38" fontId="80" fillId="9" borderId="0" applyNumberFormat="0" applyBorder="0" applyAlignment="0" applyProtection="0"/>
    <xf numFmtId="10" fontId="80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9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61" fillId="0" borderId="43">
      <alignment horizontal="left"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9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1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/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/>
    <xf numFmtId="0" fontId="3" fillId="0" borderId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3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1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1" fillId="0" borderId="43">
      <alignment horizontal="left"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0" borderId="0">
      <alignment vertical="center"/>
    </xf>
    <xf numFmtId="0" fontId="117" fillId="0" borderId="5" applyNumberFormat="0" applyFill="0" applyAlignment="0" applyProtection="0">
      <alignment vertical="center"/>
    </xf>
    <xf numFmtId="0" fontId="118" fillId="0" borderId="6" applyNumberFormat="0" applyFill="0" applyAlignment="0" applyProtection="0">
      <alignment vertical="center"/>
    </xf>
    <xf numFmtId="0" fontId="119" fillId="0" borderId="7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13" borderId="0" applyNumberFormat="0" applyBorder="0" applyAlignment="0" applyProtection="0">
      <alignment vertical="center"/>
    </xf>
    <xf numFmtId="0" fontId="121" fillId="14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3" fillId="16" borderId="8" applyNumberFormat="0" applyAlignment="0" applyProtection="0">
      <alignment vertical="center"/>
    </xf>
    <xf numFmtId="0" fontId="124" fillId="17" borderId="9" applyNumberFormat="0" applyAlignment="0" applyProtection="0">
      <alignment vertical="center"/>
    </xf>
    <xf numFmtId="0" fontId="125" fillId="17" borderId="8" applyNumberFormat="0" applyAlignment="0" applyProtection="0">
      <alignment vertical="center"/>
    </xf>
    <xf numFmtId="0" fontId="126" fillId="0" borderId="10" applyNumberFormat="0" applyFill="0" applyAlignment="0" applyProtection="0">
      <alignment vertical="center"/>
    </xf>
    <xf numFmtId="0" fontId="127" fillId="18" borderId="11" applyNumberForma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03" fillId="19" borderId="12" applyNumberFormat="0" applyFont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13" applyNumberFormat="0" applyFill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2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03" fillId="25" borderId="0" applyNumberFormat="0" applyBorder="0" applyAlignment="0" applyProtection="0">
      <alignment vertical="center"/>
    </xf>
    <xf numFmtId="0" fontId="103" fillId="26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3" fillId="30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3" fillId="34" borderId="0" applyNumberFormat="0" applyBorder="0" applyAlignment="0" applyProtection="0">
      <alignment vertical="center"/>
    </xf>
    <xf numFmtId="0" fontId="131" fillId="35" borderId="0" applyNumberFormat="0" applyBorder="0" applyAlignment="0" applyProtection="0">
      <alignment vertical="center"/>
    </xf>
    <xf numFmtId="0" fontId="131" fillId="36" borderId="0" applyNumberFormat="0" applyBorder="0" applyAlignment="0" applyProtection="0">
      <alignment vertical="center"/>
    </xf>
    <xf numFmtId="0" fontId="103" fillId="37" borderId="0" applyNumberFormat="0" applyBorder="0" applyAlignment="0" applyProtection="0">
      <alignment vertical="center"/>
    </xf>
    <xf numFmtId="0" fontId="103" fillId="38" borderId="0" applyNumberFormat="0" applyBorder="0" applyAlignment="0" applyProtection="0">
      <alignment vertical="center"/>
    </xf>
    <xf numFmtId="0" fontId="131" fillId="39" borderId="0" applyNumberFormat="0" applyBorder="0" applyAlignment="0" applyProtection="0">
      <alignment vertical="center"/>
    </xf>
    <xf numFmtId="0" fontId="131" fillId="40" borderId="0" applyNumberFormat="0" applyBorder="0" applyAlignment="0" applyProtection="0">
      <alignment vertical="center"/>
    </xf>
    <xf numFmtId="0" fontId="103" fillId="41" borderId="0" applyNumberFormat="0" applyBorder="0" applyAlignment="0" applyProtection="0">
      <alignment vertical="center"/>
    </xf>
    <xf numFmtId="0" fontId="103" fillId="42" borderId="0" applyNumberFormat="0" applyBorder="0" applyAlignment="0" applyProtection="0">
      <alignment vertical="center"/>
    </xf>
    <xf numFmtId="0" fontId="131" fillId="43" borderId="0" applyNumberFormat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0" fontId="61" fillId="0" borderId="43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37" fontId="99" fillId="0" borderId="3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61" fillId="0" borderId="43">
      <alignment horizontal="left"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61" fillId="0" borderId="43">
      <alignment horizontal="left"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3" fillId="0" borderId="0"/>
    <xf numFmtId="0" fontId="61" fillId="0" borderId="2">
      <alignment horizontal="left" vertical="center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43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9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37" fontId="99" fillId="0" borderId="42" applyAlignment="0"/>
    <xf numFmtId="0" fontId="61" fillId="0" borderId="43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43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42" fillId="73" borderId="24" applyNumberFormat="0" applyProtection="0">
      <alignment horizontal="left" vertical="center" indent="1"/>
    </xf>
    <xf numFmtId="0" fontId="61" fillId="0" borderId="2">
      <alignment horizontal="left" vertical="center"/>
    </xf>
    <xf numFmtId="0" fontId="35" fillId="0" borderId="0">
      <alignment vertical="center"/>
    </xf>
    <xf numFmtId="0" fontId="1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0" fontId="99" fillId="0" borderId="32">
      <alignment horizontal="centerContinuous" vertical="center"/>
    </xf>
    <xf numFmtId="3" fontId="65" fillId="0" borderId="0">
      <alignment vertical="center"/>
    </xf>
    <xf numFmtId="186" fontId="65" fillId="0" borderId="0">
      <alignment vertical="center"/>
    </xf>
    <xf numFmtId="4" fontId="65" fillId="0" borderId="0">
      <alignment vertical="center"/>
    </xf>
    <xf numFmtId="230" fontId="65" fillId="0" borderId="0">
      <alignment vertical="center"/>
    </xf>
    <xf numFmtId="0" fontId="99" fillId="0" borderId="32">
      <alignment horizontal="centerContinuous" vertical="center"/>
    </xf>
    <xf numFmtId="0" fontId="99" fillId="0" borderId="32">
      <alignment horizontal="centerContinuous" vertical="center"/>
    </xf>
    <xf numFmtId="0" fontId="104" fillId="0" borderId="0"/>
    <xf numFmtId="0" fontId="132" fillId="0" borderId="0" applyNumberFormat="0" applyFill="0" applyBorder="0" applyAlignment="0" applyProtection="0"/>
    <xf numFmtId="205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5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5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5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6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65" fillId="0" borderId="0"/>
    <xf numFmtId="0" fontId="94" fillId="0" borderId="0"/>
    <xf numFmtId="0" fontId="42" fillId="0" borderId="0" applyNumberFormat="0" applyFill="0" applyBorder="0" applyAlignment="0" applyProtection="0"/>
    <xf numFmtId="0" fontId="65" fillId="0" borderId="0"/>
    <xf numFmtId="0" fontId="65" fillId="0" borderId="0"/>
    <xf numFmtId="0" fontId="65" fillId="0" borderId="0"/>
    <xf numFmtId="0" fontId="42" fillId="0" borderId="0"/>
    <xf numFmtId="0" fontId="94" fillId="0" borderId="0"/>
    <xf numFmtId="0" fontId="94" fillId="0" borderId="0"/>
    <xf numFmtId="0" fontId="42" fillId="0" borderId="0"/>
    <xf numFmtId="0" fontId="65" fillId="0" borderId="0"/>
    <xf numFmtId="0" fontId="94" fillId="0" borderId="0"/>
    <xf numFmtId="0" fontId="42" fillId="0" borderId="0"/>
    <xf numFmtId="0" fontId="65" fillId="0" borderId="0"/>
    <xf numFmtId="0" fontId="42" fillId="0" borderId="0"/>
    <xf numFmtId="0" fontId="9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5" fillId="0" borderId="0"/>
    <xf numFmtId="0" fontId="133" fillId="0" borderId="0" applyNumberFormat="0" applyFill="0" applyBorder="0" applyAlignment="0" applyProtection="0"/>
    <xf numFmtId="0" fontId="94" fillId="0" borderId="0"/>
    <xf numFmtId="0" fontId="134" fillId="0" borderId="0"/>
    <xf numFmtId="0" fontId="133" fillId="0" borderId="0" applyNumberFormat="0" applyFill="0" applyBorder="0" applyAlignment="0" applyProtection="0"/>
    <xf numFmtId="0" fontId="94" fillId="0" borderId="0"/>
    <xf numFmtId="0" fontId="65" fillId="0" borderId="0"/>
    <xf numFmtId="0" fontId="94" fillId="0" borderId="0"/>
    <xf numFmtId="0" fontId="65" fillId="0" borderId="0"/>
    <xf numFmtId="0" fontId="42" fillId="0" borderId="0"/>
    <xf numFmtId="0" fontId="45" fillId="0" borderId="0"/>
    <xf numFmtId="0" fontId="42" fillId="0" borderId="0"/>
    <xf numFmtId="0" fontId="135" fillId="0" borderId="0"/>
    <xf numFmtId="0" fontId="3" fillId="0" borderId="0"/>
    <xf numFmtId="0" fontId="42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3" fillId="0" borderId="0">
      <alignment vertical="center"/>
    </xf>
    <xf numFmtId="0" fontId="42" fillId="0" borderId="0"/>
    <xf numFmtId="0" fontId="65" fillId="0" borderId="0"/>
    <xf numFmtId="0" fontId="94" fillId="0" borderId="0"/>
    <xf numFmtId="0" fontId="42" fillId="0" borderId="0" applyFont="0" applyFill="0" applyBorder="0" applyAlignment="0" applyProtection="0"/>
    <xf numFmtId="0" fontId="94" fillId="0" borderId="0"/>
    <xf numFmtId="0" fontId="45" fillId="0" borderId="0"/>
    <xf numFmtId="0" fontId="3" fillId="0" borderId="0">
      <alignment vertical="center"/>
    </xf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42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94" fillId="0" borderId="0"/>
    <xf numFmtId="0" fontId="45" fillId="0" borderId="0"/>
    <xf numFmtId="0" fontId="94" fillId="0" borderId="0"/>
    <xf numFmtId="0" fontId="42" fillId="0" borderId="0"/>
    <xf numFmtId="0" fontId="9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94" fillId="0" borderId="0"/>
    <xf numFmtId="0" fontId="65" fillId="0" borderId="0"/>
    <xf numFmtId="0" fontId="94" fillId="0" borderId="0"/>
    <xf numFmtId="0" fontId="42" fillId="0" borderId="0"/>
    <xf numFmtId="0" fontId="94" fillId="0" borderId="0"/>
    <xf numFmtId="0" fontId="94" fillId="0" borderId="0"/>
    <xf numFmtId="0" fontId="94" fillId="0" borderId="0"/>
    <xf numFmtId="0" fontId="4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94" fillId="0" borderId="0"/>
    <xf numFmtId="0" fontId="42" fillId="0" borderId="0"/>
    <xf numFmtId="0" fontId="42" fillId="0" borderId="0"/>
    <xf numFmtId="0" fontId="42" fillId="0" borderId="0" applyNumberFormat="0" applyFill="0" applyBorder="0" applyAlignment="0" applyProtection="0"/>
    <xf numFmtId="0" fontId="45" fillId="0" borderId="0"/>
    <xf numFmtId="0" fontId="4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4" fillId="0" borderId="0"/>
    <xf numFmtId="0" fontId="42" fillId="0" borderId="0"/>
    <xf numFmtId="0" fontId="94" fillId="0" borderId="0"/>
    <xf numFmtId="0" fontId="94" fillId="0" borderId="0"/>
    <xf numFmtId="0" fontId="42" fillId="0" borderId="0"/>
    <xf numFmtId="0" fontId="65" fillId="0" borderId="0"/>
    <xf numFmtId="0" fontId="65" fillId="0" borderId="0"/>
    <xf numFmtId="0" fontId="42" fillId="0" borderId="0"/>
    <xf numFmtId="0" fontId="42" fillId="0" borderId="0"/>
    <xf numFmtId="0" fontId="65" fillId="0" borderId="0"/>
    <xf numFmtId="0" fontId="135" fillId="0" borderId="0"/>
    <xf numFmtId="0" fontId="65" fillId="0" borderId="0"/>
    <xf numFmtId="0" fontId="65" fillId="0" borderId="0"/>
    <xf numFmtId="0" fontId="42" fillId="0" borderId="0"/>
    <xf numFmtId="0" fontId="3" fillId="0" borderId="0"/>
    <xf numFmtId="0" fontId="42" fillId="0" borderId="0"/>
    <xf numFmtId="0" fontId="65" fillId="0" borderId="0"/>
    <xf numFmtId="0" fontId="65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1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2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3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4" fontId="42" fillId="0" borderId="0" applyFont="0" applyFill="0" applyBorder="0" applyAlignment="0" applyProtection="0"/>
    <xf numFmtId="0" fontId="94" fillId="0" borderId="0"/>
    <xf numFmtId="0" fontId="42" fillId="0" borderId="0" applyNumberForma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09" fontId="42" fillId="0" borderId="0" applyFont="0" applyFill="0" applyBorder="0" applyAlignment="0" applyProtection="0"/>
    <xf numFmtId="207" fontId="42" fillId="0" borderId="0" applyFont="0" applyFill="0" applyBorder="0" applyProtection="0">
      <alignment horizontal="right"/>
    </xf>
    <xf numFmtId="0" fontId="42" fillId="0" borderId="0" applyFont="0" applyFill="0" applyBorder="0" applyProtection="0">
      <alignment horizontal="right"/>
    </xf>
    <xf numFmtId="0" fontId="42" fillId="0" borderId="0" applyFont="0" applyFill="0" applyBorder="0" applyProtection="0">
      <alignment horizontal="right"/>
    </xf>
    <xf numFmtId="207" fontId="42" fillId="0" borderId="0" applyFont="0" applyFill="0" applyBorder="0" applyProtection="0">
      <alignment horizontal="right"/>
    </xf>
    <xf numFmtId="0" fontId="42" fillId="0" borderId="0" applyFont="0" applyFill="0" applyBorder="0" applyProtection="0">
      <alignment horizontal="right"/>
    </xf>
    <xf numFmtId="0" fontId="42" fillId="0" borderId="0" applyFont="0" applyFill="0" applyBorder="0" applyProtection="0">
      <alignment horizontal="right"/>
    </xf>
    <xf numFmtId="207" fontId="42" fillId="0" borderId="0" applyFont="0" applyFill="0" applyBorder="0" applyProtection="0">
      <alignment horizontal="right"/>
    </xf>
    <xf numFmtId="207" fontId="42" fillId="0" borderId="0" applyFont="0" applyFill="0" applyBorder="0" applyProtection="0">
      <alignment horizontal="right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1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11" fontId="42" fillId="0" borderId="0" applyFont="0" applyFill="0" applyBorder="0" applyAlignment="0" applyProtection="0"/>
    <xf numFmtId="212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12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212" fontId="42" fillId="0" borderId="0" applyFont="0" applyFill="0" applyBorder="0" applyAlignment="0" applyProtection="0"/>
    <xf numFmtId="212" fontId="4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94" fillId="0" borderId="0"/>
    <xf numFmtId="0" fontId="94" fillId="0" borderId="0"/>
    <xf numFmtId="0" fontId="94" fillId="0" borderId="0"/>
    <xf numFmtId="0" fontId="42" fillId="0" borderId="0"/>
    <xf numFmtId="9" fontId="42" fillId="68" borderId="0"/>
    <xf numFmtId="41" fontId="136" fillId="0" borderId="44" applyBorder="0">
      <alignment horizontal="center" vertical="center"/>
    </xf>
    <xf numFmtId="9" fontId="99" fillId="0" borderId="0">
      <alignment vertical="center"/>
    </xf>
    <xf numFmtId="0" fontId="135" fillId="0" borderId="0"/>
    <xf numFmtId="0" fontId="99" fillId="0" borderId="0">
      <alignment vertical="center"/>
    </xf>
    <xf numFmtId="10" fontId="99" fillId="0" borderId="0">
      <alignment vertical="center"/>
    </xf>
    <xf numFmtId="0" fontId="99" fillId="0" borderId="0">
      <alignment vertical="center"/>
    </xf>
    <xf numFmtId="188" fontId="3" fillId="0" borderId="0">
      <alignment vertical="center"/>
    </xf>
    <xf numFmtId="0" fontId="42" fillId="0" borderId="0" applyNumberFormat="0" applyFill="0" applyBorder="0" applyAlignment="0" applyProtection="0"/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44" fillId="58" borderId="0" applyNumberFormat="0" applyBorder="0" applyAlignment="0" applyProtection="0">
      <alignment vertical="center"/>
    </xf>
    <xf numFmtId="0" fontId="65" fillId="0" borderId="0"/>
    <xf numFmtId="0" fontId="45" fillId="0" borderId="0"/>
    <xf numFmtId="0" fontId="3" fillId="0" borderId="0"/>
    <xf numFmtId="0" fontId="3" fillId="0" borderId="0"/>
    <xf numFmtId="0" fontId="45" fillId="0" borderId="0"/>
    <xf numFmtId="0" fontId="4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0"/>
    <xf numFmtId="0" fontId="45" fillId="0" borderId="0"/>
    <xf numFmtId="0" fontId="45" fillId="0" borderId="0"/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61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57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4" fillId="6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0" fontId="47" fillId="63" borderId="16" applyNumberFormat="0" applyAlignment="0" applyProtection="0">
      <alignment vertical="center"/>
    </xf>
    <xf numFmtId="231" fontId="42" fillId="0" borderId="28">
      <alignment horizontal="right" vertical="center" shrinkToFit="1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65" fillId="74" borderId="0">
      <alignment horizontal="left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0" fontId="43" fillId="64" borderId="17" applyNumberFormat="0" applyFont="0" applyAlignment="0" applyProtection="0">
      <alignment vertical="center"/>
    </xf>
    <xf numFmtId="9" fontId="137" fillId="70" borderId="0" applyFill="0" applyBorder="0" applyProtection="0">
      <alignment horizontal="right"/>
    </xf>
    <xf numFmtId="10" fontId="137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13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5" fillId="0" borderId="0" applyFont="0" applyFill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9" fillId="0" borderId="28"/>
    <xf numFmtId="0" fontId="140" fillId="0" borderId="0">
      <alignment horizontal="center"/>
    </xf>
    <xf numFmtId="0" fontId="132" fillId="0" borderId="41">
      <alignment horizont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0" fontId="51" fillId="65" borderId="18" applyNumberFormat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183" fontId="43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13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0" fontId="94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41" fillId="0" borderId="35"/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99" fillId="0" borderId="45">
      <alignment vertical="justify" wrapText="1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4" fillId="50" borderId="16" applyNumberFormat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23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65" fillId="0" borderId="0"/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0" fontId="60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5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3" fillId="0" borderId="0"/>
    <xf numFmtId="0" fontId="43" fillId="0" borderId="0">
      <alignment vertical="center"/>
    </xf>
    <xf numFmtId="0" fontId="43" fillId="0" borderId="0">
      <alignment vertical="center"/>
    </xf>
    <xf numFmtId="0" fontId="3" fillId="0" borderId="0"/>
    <xf numFmtId="0" fontId="3" fillId="0" borderId="0"/>
    <xf numFmtId="0" fontId="3" fillId="0" borderId="0"/>
    <xf numFmtId="0" fontId="43" fillId="0" borderId="0">
      <alignment vertical="center"/>
    </xf>
    <xf numFmtId="0" fontId="3" fillId="0" borderId="0">
      <alignment vertical="center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5" fillId="0" borderId="0" applyFont="0" applyFill="0" applyBorder="0" applyAlignment="0" applyProtection="0"/>
    <xf numFmtId="233" fontId="42" fillId="0" borderId="0" applyFont="0" applyFill="0" applyBorder="0" applyAlignment="0" applyProtection="0"/>
    <xf numFmtId="234" fontId="94" fillId="0" borderId="0" applyFont="0" applyFill="0" applyBorder="0" applyAlignment="0" applyProtection="0"/>
    <xf numFmtId="188" fontId="142" fillId="0" borderId="0" applyFont="0" applyFill="0" applyBorder="0" applyAlignment="0" applyProtection="0"/>
    <xf numFmtId="188" fontId="143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2" fillId="0" borderId="0" applyFont="0" applyFill="0" applyBorder="0" applyAlignment="0" applyProtection="0"/>
    <xf numFmtId="190" fontId="143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2" fillId="0" borderId="0" applyFont="0" applyFill="0" applyBorder="0" applyAlignment="0" applyProtection="0"/>
    <xf numFmtId="189" fontId="143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4" fillId="0" borderId="0" applyFill="0" applyBorder="0" applyAlignment="0"/>
    <xf numFmtId="237" fontId="94" fillId="0" borderId="0" applyFill="0" applyBorder="0" applyAlignment="0"/>
    <xf numFmtId="238" fontId="42" fillId="0" borderId="0" applyFill="0" applyBorder="0" applyAlignment="0"/>
    <xf numFmtId="239" fontId="42" fillId="0" borderId="0" applyFill="0" applyBorder="0" applyAlignment="0"/>
    <xf numFmtId="240" fontId="94" fillId="0" borderId="0" applyFill="0" applyBorder="0" applyAlignment="0"/>
    <xf numFmtId="241" fontId="94" fillId="0" borderId="0" applyFill="0" applyBorder="0" applyAlignment="0"/>
    <xf numFmtId="199" fontId="94" fillId="0" borderId="0" applyFill="0" applyBorder="0" applyAlignment="0"/>
    <xf numFmtId="38" fontId="74" fillId="0" borderId="0" applyFont="0" applyFill="0" applyBorder="0" applyAlignment="0" applyProtection="0"/>
    <xf numFmtId="240" fontId="94" fillId="0" borderId="0" applyFont="0" applyFill="0" applyBorder="0" applyAlignment="0" applyProtection="0"/>
    <xf numFmtId="215" fontId="78" fillId="0" borderId="0"/>
    <xf numFmtId="215" fontId="78" fillId="0" borderId="0"/>
    <xf numFmtId="215" fontId="78" fillId="0" borderId="0"/>
    <xf numFmtId="215" fontId="78" fillId="0" borderId="0"/>
    <xf numFmtId="215" fontId="78" fillId="0" borderId="0"/>
    <xf numFmtId="215" fontId="78" fillId="0" borderId="0"/>
    <xf numFmtId="215" fontId="78" fillId="0" borderId="0"/>
    <xf numFmtId="215" fontId="78" fillId="0" borderId="0"/>
    <xf numFmtId="215" fontId="78" fillId="0" borderId="0"/>
    <xf numFmtId="242" fontId="65" fillId="0" borderId="0" applyFont="0" applyFill="0" applyBorder="0" applyAlignment="0" applyProtection="0"/>
    <xf numFmtId="199" fontId="94" fillId="0" borderId="0" applyFont="0" applyFill="0" applyBorder="0" applyAlignment="0" applyProtection="0"/>
    <xf numFmtId="0" fontId="42" fillId="0" borderId="0" applyFont="0" applyFill="0" applyBorder="0" applyAlignment="0" applyProtection="0"/>
    <xf numFmtId="216" fontId="42" fillId="0" borderId="0"/>
    <xf numFmtId="216" fontId="42" fillId="0" borderId="0"/>
    <xf numFmtId="216" fontId="42" fillId="0" borderId="0"/>
    <xf numFmtId="216" fontId="42" fillId="0" borderId="0"/>
    <xf numFmtId="216" fontId="42" fillId="0" borderId="0"/>
    <xf numFmtId="216" fontId="42" fillId="0" borderId="0"/>
    <xf numFmtId="216" fontId="42" fillId="0" borderId="0"/>
    <xf numFmtId="216" fontId="42" fillId="0" borderId="0"/>
    <xf numFmtId="14" fontId="87" fillId="0" borderId="0" applyFill="0" applyBorder="0" applyAlignment="0"/>
    <xf numFmtId="217" fontId="42" fillId="0" borderId="0"/>
    <xf numFmtId="217" fontId="42" fillId="0" borderId="0"/>
    <xf numFmtId="217" fontId="42" fillId="0" borderId="0"/>
    <xf numFmtId="217" fontId="42" fillId="0" borderId="0"/>
    <xf numFmtId="217" fontId="42" fillId="0" borderId="0"/>
    <xf numFmtId="217" fontId="42" fillId="0" borderId="0"/>
    <xf numFmtId="217" fontId="42" fillId="0" borderId="0"/>
    <xf numFmtId="217" fontId="42" fillId="0" borderId="0"/>
    <xf numFmtId="0" fontId="63" fillId="0" borderId="0">
      <alignment wrapText="1"/>
    </xf>
    <xf numFmtId="240" fontId="94" fillId="0" borderId="0" applyFill="0" applyBorder="0" applyAlignment="0"/>
    <xf numFmtId="199" fontId="94" fillId="0" borderId="0" applyFill="0" applyBorder="0" applyAlignment="0"/>
    <xf numFmtId="240" fontId="94" fillId="0" borderId="0" applyFill="0" applyBorder="0" applyAlignment="0"/>
    <xf numFmtId="241" fontId="94" fillId="0" borderId="0" applyFill="0" applyBorder="0" applyAlignment="0"/>
    <xf numFmtId="199" fontId="94" fillId="0" borderId="0" applyFill="0" applyBorder="0" applyAlignment="0"/>
    <xf numFmtId="14" fontId="144" fillId="75" borderId="29">
      <alignment horizontal="center" vertical="center" wrapText="1"/>
    </xf>
    <xf numFmtId="0" fontId="94" fillId="0" borderId="0"/>
    <xf numFmtId="240" fontId="94" fillId="0" borderId="0" applyFill="0" applyBorder="0" applyAlignment="0"/>
    <xf numFmtId="199" fontId="94" fillId="0" borderId="0" applyFill="0" applyBorder="0" applyAlignment="0"/>
    <xf numFmtId="240" fontId="94" fillId="0" borderId="0" applyFill="0" applyBorder="0" applyAlignment="0"/>
    <xf numFmtId="241" fontId="94" fillId="0" borderId="0" applyFill="0" applyBorder="0" applyAlignment="0"/>
    <xf numFmtId="199" fontId="94" fillId="0" borderId="0" applyFill="0" applyBorder="0" applyAlignment="0"/>
    <xf numFmtId="41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5" fillId="0" borderId="0" applyFont="0" applyFill="0" applyBorder="0" applyAlignment="0" applyProtection="0">
      <alignment horizontal="centerContinuous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4" fontId="94" fillId="0" borderId="0" applyFont="0" applyFill="0" applyBorder="0" applyAlignment="0" applyProtection="0"/>
    <xf numFmtId="244" fontId="42" fillId="0" borderId="0" applyFont="0" applyFill="0" applyBorder="0" applyAlignment="0" applyProtection="0"/>
    <xf numFmtId="239" fontId="42" fillId="0" borderId="0" applyFont="0" applyFill="0" applyBorder="0" applyAlignment="0" applyProtection="0"/>
    <xf numFmtId="245" fontId="42" fillId="0" borderId="0" applyFont="0" applyFill="0" applyBorder="0" applyAlignment="0" applyProtection="0"/>
    <xf numFmtId="240" fontId="94" fillId="0" borderId="0" applyFill="0" applyBorder="0" applyAlignment="0"/>
    <xf numFmtId="199" fontId="94" fillId="0" borderId="0" applyFill="0" applyBorder="0" applyAlignment="0"/>
    <xf numFmtId="240" fontId="94" fillId="0" borderId="0" applyFill="0" applyBorder="0" applyAlignment="0"/>
    <xf numFmtId="241" fontId="94" fillId="0" borderId="0" applyFill="0" applyBorder="0" applyAlignment="0"/>
    <xf numFmtId="199" fontId="94" fillId="0" borderId="0" applyFill="0" applyBorder="0" applyAlignment="0"/>
    <xf numFmtId="4" fontId="87" fillId="76" borderId="24" applyNumberFormat="0" applyProtection="0">
      <alignment horizontal="right" vertical="center"/>
    </xf>
    <xf numFmtId="0" fontId="87" fillId="77" borderId="46" applyNumberFormat="0" applyProtection="0">
      <alignment horizontal="left" vertical="top" indent="1"/>
    </xf>
    <xf numFmtId="0" fontId="146" fillId="70" borderId="47">
      <protection locked="0"/>
    </xf>
    <xf numFmtId="0" fontId="146" fillId="78" borderId="0"/>
    <xf numFmtId="49" fontId="87" fillId="0" borderId="0" applyFill="0" applyBorder="0" applyAlignment="0"/>
    <xf numFmtId="246" fontId="42" fillId="0" borderId="0" applyFill="0" applyBorder="0" applyAlignment="0"/>
    <xf numFmtId="247" fontId="42" fillId="0" borderId="0" applyFill="0" applyBorder="0" applyAlignment="0"/>
    <xf numFmtId="0" fontId="147" fillId="0" borderId="0" applyFill="0" applyBorder="0" applyProtection="0">
      <alignment horizontal="left" vertical="top"/>
    </xf>
    <xf numFmtId="0" fontId="148" fillId="0" borderId="0" applyFill="0" applyBorder="0" applyProtection="0">
      <alignment horizontal="centerContinuous" vertical="center"/>
    </xf>
    <xf numFmtId="0" fontId="93" fillId="70" borderId="0" applyFill="0" applyBorder="0" applyProtection="0">
      <alignment horizontal="center" vertical="center"/>
    </xf>
    <xf numFmtId="41" fontId="95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6" fillId="0" borderId="44" applyBorder="0">
      <alignment horizontal="center"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7" fillId="63" borderId="48" applyNumberForma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0" fontId="43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37" fontId="99" fillId="0" borderId="3" applyAlignment="0"/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99" fillId="0" borderId="45">
      <alignment vertical="justify" wrapText="1"/>
    </xf>
    <xf numFmtId="0" fontId="99" fillId="0" borderId="45">
      <alignment vertical="justify" wrapText="1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54" fillId="50" borderId="48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60" fillId="63" borderId="51" applyNumberFormat="0" applyAlignment="0" applyProtection="0">
      <alignment vertical="center"/>
    </xf>
    <xf numFmtId="0" fontId="75" fillId="66" borderId="52" applyNumberFormat="0" applyAlignment="0" applyProtection="0"/>
    <xf numFmtId="0" fontId="75" fillId="66" borderId="52" applyNumberFormat="0" applyAlignment="0" applyProtection="0"/>
    <xf numFmtId="0" fontId="75" fillId="66" borderId="52" applyNumberFormat="0" applyAlignment="0" applyProtection="0"/>
    <xf numFmtId="0" fontId="75" fillId="66" borderId="52" applyNumberFormat="0" applyAlignment="0" applyProtection="0"/>
    <xf numFmtId="0" fontId="75" fillId="66" borderId="52" applyNumberFormat="0" applyAlignment="0" applyProtection="0"/>
    <xf numFmtId="0" fontId="75" fillId="66" borderId="52" applyNumberFormat="0" applyAlignment="0" applyProtection="0"/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0" fontId="61" fillId="0" borderId="53">
      <alignment horizontal="left" vertical="center"/>
    </xf>
    <xf numFmtId="14" fontId="144" fillId="75" borderId="29">
      <alignment horizontal="center" vertical="center" wrapText="1"/>
    </xf>
    <xf numFmtId="0" fontId="42" fillId="73" borderId="51" applyNumberFormat="0" applyProtection="0">
      <alignment horizontal="left" vertical="center" indent="1"/>
    </xf>
    <xf numFmtId="0" fontId="42" fillId="73" borderId="51" applyNumberFormat="0" applyProtection="0">
      <alignment horizontal="left" vertical="center" indent="1"/>
    </xf>
    <xf numFmtId="4" fontId="87" fillId="76" borderId="51" applyNumberFormat="0" applyProtection="0">
      <alignment horizontal="right" vertical="center"/>
    </xf>
    <xf numFmtId="4" fontId="87" fillId="76" borderId="51" applyNumberFormat="0" applyProtection="0">
      <alignment horizontal="right" vertical="center"/>
    </xf>
    <xf numFmtId="0" fontId="42" fillId="73" borderId="51" applyNumberFormat="0" applyProtection="0">
      <alignment horizontal="left" vertical="center" indent="1"/>
    </xf>
    <xf numFmtId="0" fontId="42" fillId="73" borderId="51" applyNumberFormat="0" applyProtection="0">
      <alignment horizontal="left" vertical="center" indent="1"/>
    </xf>
    <xf numFmtId="0" fontId="87" fillId="77" borderId="46" applyNumberFormat="0" applyProtection="0">
      <alignment horizontal="left" vertical="top" indent="1"/>
    </xf>
    <xf numFmtId="0" fontId="87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2" fillId="0" borderId="0"/>
    <xf numFmtId="0" fontId="42" fillId="0" borderId="0" applyFont="0" applyFill="0" applyBorder="0" applyAlignment="0" applyProtection="0"/>
    <xf numFmtId="0" fontId="150" fillId="0" borderId="0"/>
    <xf numFmtId="0" fontId="95" fillId="0" borderId="0">
      <alignment vertical="center"/>
    </xf>
    <xf numFmtId="0" fontId="42" fillId="0" borderId="0"/>
    <xf numFmtId="41" fontId="3" fillId="0" borderId="0"/>
    <xf numFmtId="0" fontId="42" fillId="0" borderId="0"/>
    <xf numFmtId="0" fontId="42" fillId="0" borderId="0"/>
    <xf numFmtId="0" fontId="42" fillId="0" borderId="0"/>
    <xf numFmtId="41" fontId="3" fillId="0" borderId="0"/>
    <xf numFmtId="249" fontId="137" fillId="0" borderId="0" applyFont="0" applyFill="0" applyBorder="0" applyAlignment="0" applyProtection="0"/>
    <xf numFmtId="250" fontId="137" fillId="0" borderId="0" applyFont="0" applyFill="0" applyBorder="0" applyAlignment="0" applyProtection="0"/>
    <xf numFmtId="251" fontId="137" fillId="0" borderId="28" applyFont="0" applyFill="0" applyBorder="0" applyAlignment="0" applyProtection="0">
      <alignment vertical="center"/>
    </xf>
    <xf numFmtId="252" fontId="137" fillId="0" borderId="0" applyFont="0" applyFill="0" applyBorder="0" applyAlignment="0" applyProtection="0"/>
    <xf numFmtId="253" fontId="137" fillId="0" borderId="0" applyFont="0" applyFill="0" applyBorder="0" applyAlignment="0" applyProtection="0"/>
    <xf numFmtId="254" fontId="137" fillId="0" borderId="0" applyFont="0" applyFill="0" applyBorder="0" applyAlignment="0" applyProtection="0"/>
    <xf numFmtId="253" fontId="137" fillId="0" borderId="0" applyFont="0" applyFill="0" applyBorder="0" applyAlignment="0" applyProtection="0"/>
    <xf numFmtId="255" fontId="137" fillId="0" borderId="0" applyFont="0" applyFill="0" applyBorder="0" applyAlignment="0" applyProtection="0"/>
    <xf numFmtId="256" fontId="137" fillId="0" borderId="0" applyFont="0" applyFill="0" applyBorder="0" applyAlignment="0" applyProtection="0"/>
    <xf numFmtId="257" fontId="137" fillId="0" borderId="0" applyFont="0" applyFill="0" applyBorder="0" applyAlignment="0" applyProtection="0"/>
    <xf numFmtId="258" fontId="137" fillId="0" borderId="0" applyFont="0" applyFill="0" applyBorder="0" applyAlignment="0" applyProtection="0"/>
    <xf numFmtId="259" fontId="137" fillId="0" borderId="0" applyFont="0" applyFill="0" applyBorder="0" applyAlignment="0" applyProtection="0"/>
    <xf numFmtId="260" fontId="137" fillId="0" borderId="0" applyFont="0" applyFill="0" applyBorder="0" applyAlignment="0" applyProtection="0"/>
    <xf numFmtId="261" fontId="137" fillId="0" borderId="0" applyFont="0" applyFill="0" applyBorder="0" applyAlignment="0" applyProtection="0"/>
    <xf numFmtId="262" fontId="137" fillId="0" borderId="0" applyFont="0" applyFill="0" applyBorder="0" applyAlignment="0" applyProtection="0"/>
    <xf numFmtId="263" fontId="137" fillId="0" borderId="0" applyFont="0" applyFill="0" applyBorder="0" applyAlignment="0" applyProtection="0"/>
    <xf numFmtId="264" fontId="137" fillId="0" borderId="0" applyFont="0" applyFill="0" applyBorder="0" applyAlignment="0" applyProtection="0"/>
    <xf numFmtId="265" fontId="137" fillId="0" borderId="28" applyFont="0" applyFill="0" applyBorder="0" applyAlignment="0" applyProtection="0">
      <alignment vertical="center"/>
    </xf>
    <xf numFmtId="266" fontId="137" fillId="0" borderId="0" applyFont="0" applyFill="0" applyBorder="0" applyAlignment="0" applyProtection="0"/>
    <xf numFmtId="267" fontId="137" fillId="0" borderId="0" applyFont="0" applyFill="0" applyBorder="0" applyAlignment="0" applyProtection="0"/>
    <xf numFmtId="268" fontId="137" fillId="0" borderId="0" applyFont="0" applyFill="0" applyBorder="0" applyAlignment="0" applyProtection="0"/>
    <xf numFmtId="269" fontId="137" fillId="0" borderId="0" applyFont="0" applyFill="0" applyBorder="0" applyAlignment="0" applyProtection="0"/>
    <xf numFmtId="270" fontId="137" fillId="0" borderId="0" applyFont="0" applyFill="0" applyBorder="0" applyAlignment="0" applyProtection="0"/>
    <xf numFmtId="271" fontId="137" fillId="0" borderId="0" applyFont="0" applyFill="0" applyBorder="0" applyAlignment="0" applyProtection="0"/>
    <xf numFmtId="272" fontId="137" fillId="0" borderId="0" applyFont="0" applyFill="0" applyBorder="0" applyAlignment="0" applyProtection="0"/>
    <xf numFmtId="273" fontId="137" fillId="0" borderId="0" applyFont="0" applyFill="0" applyBorder="0" applyAlignment="0" applyProtection="0"/>
    <xf numFmtId="248" fontId="137" fillId="0" borderId="0" applyFont="0" applyFill="0" applyBorder="0" applyAlignment="0" applyProtection="0"/>
    <xf numFmtId="177" fontId="137" fillId="0" borderId="0" applyFont="0" applyFill="0" applyBorder="0" applyAlignment="0" applyProtection="0"/>
    <xf numFmtId="3" fontId="65" fillId="0" borderId="0">
      <alignment vertical="center"/>
    </xf>
    <xf numFmtId="0" fontId="3" fillId="0" borderId="0"/>
    <xf numFmtId="0" fontId="65" fillId="0" borderId="0"/>
    <xf numFmtId="0" fontId="42" fillId="0" borderId="0" applyFont="0" applyFill="0" applyBorder="0" applyAlignment="0" applyProtection="0"/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0"/>
    <xf numFmtId="0" fontId="94" fillId="0" borderId="0"/>
    <xf numFmtId="0" fontId="42" fillId="0" borderId="0"/>
    <xf numFmtId="0" fontId="94" fillId="0" borderId="0"/>
    <xf numFmtId="0" fontId="3" fillId="0" borderId="0"/>
    <xf numFmtId="0" fontId="3" fillId="0" borderId="0"/>
    <xf numFmtId="0" fontId="42" fillId="0" borderId="0"/>
    <xf numFmtId="0" fontId="42" fillId="0" borderId="0"/>
    <xf numFmtId="0" fontId="42" fillId="0" borderId="0"/>
    <xf numFmtId="0" fontId="94" fillId="0" borderId="0"/>
    <xf numFmtId="0" fontId="9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94" fillId="0" borderId="0"/>
    <xf numFmtId="0" fontId="42" fillId="0" borderId="0"/>
    <xf numFmtId="0" fontId="42" fillId="0" borderId="0"/>
    <xf numFmtId="0" fontId="94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2" fillId="0" borderId="0"/>
    <xf numFmtId="0" fontId="42" fillId="0" borderId="0"/>
    <xf numFmtId="0" fontId="62" fillId="0" borderId="0" applyNumberForma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7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4" fillId="0" borderId="0"/>
    <xf numFmtId="0" fontId="78" fillId="0" borderId="0"/>
    <xf numFmtId="0" fontId="94" fillId="0" borderId="0"/>
    <xf numFmtId="0" fontId="42" fillId="0" borderId="0"/>
    <xf numFmtId="0" fontId="42" fillId="0" borderId="0"/>
    <xf numFmtId="0" fontId="42" fillId="0" borderId="0"/>
    <xf numFmtId="0" fontId="94" fillId="0" borderId="0"/>
    <xf numFmtId="0" fontId="94" fillId="0" borderId="0"/>
    <xf numFmtId="0" fontId="74" fillId="0" borderId="0"/>
    <xf numFmtId="0" fontId="42" fillId="0" borderId="0"/>
    <xf numFmtId="0" fontId="94" fillId="0" borderId="0"/>
    <xf numFmtId="0" fontId="94" fillId="0" borderId="0"/>
    <xf numFmtId="0" fontId="115" fillId="0" borderId="0" applyFont="0" applyFill="0" applyBorder="0" applyAlignment="0" applyProtection="0"/>
    <xf numFmtId="0" fontId="3" fillId="0" borderId="0"/>
    <xf numFmtId="0" fontId="3" fillId="0" borderId="0"/>
    <xf numFmtId="0" fontId="42" fillId="0" borderId="0"/>
    <xf numFmtId="0" fontId="74" fillId="0" borderId="0"/>
    <xf numFmtId="0" fontId="7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74" fillId="0" borderId="0"/>
    <xf numFmtId="0" fontId="42" fillId="0" borderId="0"/>
    <xf numFmtId="0" fontId="6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37" fillId="0" borderId="0" applyFont="0" applyFill="0" applyBorder="0" applyAlignment="0" applyProtection="0"/>
    <xf numFmtId="0" fontId="42" fillId="0" borderId="0"/>
    <xf numFmtId="0" fontId="65" fillId="0" borderId="0"/>
    <xf numFmtId="0" fontId="6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74" fillId="0" borderId="0"/>
    <xf numFmtId="0" fontId="74" fillId="0" borderId="0"/>
    <xf numFmtId="0" fontId="78" fillId="0" borderId="0"/>
    <xf numFmtId="0" fontId="74" fillId="0" borderId="0"/>
    <xf numFmtId="0" fontId="42" fillId="0" borderId="0"/>
    <xf numFmtId="0" fontId="78" fillId="0" borderId="0"/>
    <xf numFmtId="0" fontId="42" fillId="0" borderId="0"/>
    <xf numFmtId="0" fontId="42" fillId="0" borderId="0"/>
    <xf numFmtId="0" fontId="74" fillId="0" borderId="0"/>
    <xf numFmtId="0" fontId="42" fillId="0" borderId="0"/>
    <xf numFmtId="0" fontId="42" fillId="0" borderId="0"/>
    <xf numFmtId="0" fontId="94" fillId="0" borderId="0"/>
    <xf numFmtId="0" fontId="42" fillId="0" borderId="0"/>
    <xf numFmtId="0" fontId="42" fillId="0" borderId="0"/>
    <xf numFmtId="0" fontId="42" fillId="0" borderId="0"/>
    <xf numFmtId="0" fontId="94" fillId="0" borderId="0"/>
    <xf numFmtId="0" fontId="94" fillId="0" borderId="0"/>
    <xf numFmtId="274" fontId="42" fillId="0" borderId="0">
      <alignment horizontal="left" wrapText="1"/>
    </xf>
    <xf numFmtId="274" fontId="42" fillId="0" borderId="0">
      <alignment horizontal="left" wrapText="1"/>
    </xf>
    <xf numFmtId="274" fontId="42" fillId="0" borderId="0">
      <alignment horizontal="left" wrapText="1"/>
    </xf>
    <xf numFmtId="274" fontId="42" fillId="0" borderId="0">
      <alignment horizontal="left" wrapText="1"/>
    </xf>
    <xf numFmtId="274" fontId="42" fillId="0" borderId="0">
      <alignment horizontal="left" wrapText="1"/>
    </xf>
    <xf numFmtId="274" fontId="42" fillId="0" borderId="0">
      <alignment horizontal="left" wrapText="1"/>
    </xf>
    <xf numFmtId="274" fontId="42" fillId="0" borderId="0">
      <alignment horizontal="left" wrapText="1"/>
    </xf>
    <xf numFmtId="0" fontId="42" fillId="0" borderId="0"/>
    <xf numFmtId="0" fontId="42" fillId="0" borderId="0"/>
    <xf numFmtId="0" fontId="45" fillId="0" borderId="0"/>
    <xf numFmtId="0" fontId="42" fillId="0" borderId="0"/>
    <xf numFmtId="0" fontId="42" fillId="0" borderId="0"/>
    <xf numFmtId="0" fontId="65" fillId="0" borderId="0"/>
    <xf numFmtId="0" fontId="65" fillId="0" borderId="0"/>
    <xf numFmtId="0" fontId="3" fillId="0" borderId="0"/>
    <xf numFmtId="0" fontId="42" fillId="0" borderId="0"/>
    <xf numFmtId="0" fontId="42" fillId="0" borderId="0"/>
    <xf numFmtId="0" fontId="42" fillId="0" borderId="0"/>
    <xf numFmtId="0" fontId="135" fillId="0" borderId="0"/>
    <xf numFmtId="41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153" fillId="0" borderId="0"/>
    <xf numFmtId="1" fontId="99" fillId="0" borderId="34">
      <alignment horizontal="center" vertical="center"/>
    </xf>
    <xf numFmtId="49" fontId="154" fillId="0" borderId="31" applyBorder="0">
      <alignment vertical="center"/>
    </xf>
    <xf numFmtId="275" fontId="99" fillId="0" borderId="0" applyFont="0" applyFill="0" applyBorder="0" applyAlignment="0" applyProtection="0"/>
    <xf numFmtId="4" fontId="155" fillId="0" borderId="37">
      <alignment vertical="center"/>
    </xf>
    <xf numFmtId="0" fontId="65" fillId="0" borderId="0"/>
    <xf numFmtId="9" fontId="110" fillId="0" borderId="0" applyFont="0" applyFill="0" applyBorder="0" applyAlignment="0" applyProtection="0"/>
    <xf numFmtId="0" fontId="65" fillId="0" borderId="0"/>
    <xf numFmtId="276" fontId="65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6" fillId="0" borderId="0" applyFont="0" applyFill="0" applyBorder="0" applyAlignment="0" applyProtection="0"/>
    <xf numFmtId="9" fontId="143" fillId="0" borderId="0">
      <protection locked="0"/>
    </xf>
    <xf numFmtId="0" fontId="45" fillId="0" borderId="0"/>
    <xf numFmtId="0" fontId="45" fillId="0" borderId="0"/>
    <xf numFmtId="0" fontId="42" fillId="0" borderId="0"/>
    <xf numFmtId="0" fontId="45" fillId="0" borderId="0"/>
    <xf numFmtId="0" fontId="42" fillId="0" borderId="0"/>
    <xf numFmtId="0" fontId="45" fillId="0" borderId="0"/>
    <xf numFmtId="3" fontId="157" fillId="0" borderId="0">
      <alignment horizontal="left" wrapText="1"/>
    </xf>
    <xf numFmtId="278" fontId="157" fillId="0" borderId="0">
      <alignment horizontal="right"/>
    </xf>
    <xf numFmtId="0" fontId="158" fillId="0" borderId="0" applyNumberFormat="0" applyFill="0" applyBorder="0" applyAlignment="0" applyProtection="0">
      <alignment vertical="top"/>
      <protection locked="0"/>
    </xf>
    <xf numFmtId="37" fontId="94" fillId="0" borderId="30"/>
    <xf numFmtId="3" fontId="157" fillId="0" borderId="0">
      <alignment horizontal="left"/>
    </xf>
    <xf numFmtId="0" fontId="159" fillId="0" borderId="0" applyFill="0" applyBorder="0" applyProtection="0">
      <alignment vertical="center"/>
    </xf>
    <xf numFmtId="43" fontId="42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0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4" fillId="0" borderId="30">
      <alignment horizontal="left"/>
    </xf>
    <xf numFmtId="0" fontId="16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8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4" fillId="0" borderId="30">
      <alignment horizontal="left"/>
    </xf>
    <xf numFmtId="0" fontId="78" fillId="0" borderId="0"/>
    <xf numFmtId="221" fontId="65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3" fillId="0" borderId="0"/>
    <xf numFmtId="0" fontId="65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3" fillId="79" borderId="28">
      <alignment horizontal="distributed" vertical="center"/>
    </xf>
    <xf numFmtId="284" fontId="65" fillId="0" borderId="0" applyFont="0" applyFill="0" applyBorder="0" applyAlignment="0" applyProtection="0"/>
    <xf numFmtId="285" fontId="42" fillId="0" borderId="0" applyFont="0" applyFill="0" applyBorder="0" applyAlignment="0" applyProtection="0"/>
    <xf numFmtId="284" fontId="42" fillId="0" borderId="0" applyFont="0" applyFill="0" applyBorder="0" applyAlignment="0" applyProtection="0"/>
    <xf numFmtId="0" fontId="162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3" fillId="0" borderId="0" applyNumberFormat="0" applyFont="0" applyFill="0" applyBorder="0" applyProtection="0">
      <alignment vertical="center"/>
    </xf>
    <xf numFmtId="0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3" fillId="0" borderId="54" applyNumberFormat="0" applyFont="0" applyFill="0" applyProtection="0">
      <alignment horizontal="center" vertical="center" wrapText="1"/>
    </xf>
    <xf numFmtId="189" fontId="164" fillId="0" borderId="0" applyFont="0" applyFill="0" applyBorder="0" applyAlignment="0" applyProtection="0"/>
    <xf numFmtId="0" fontId="164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5" fillId="0" borderId="0" applyFont="0" applyFill="0" applyBorder="0" applyAlignment="0" applyProtection="0"/>
    <xf numFmtId="225" fontId="143" fillId="0" borderId="0" applyFont="0" applyFill="0" applyBorder="0" applyAlignment="0" applyProtection="0"/>
    <xf numFmtId="0" fontId="166" fillId="0" borderId="0" applyFont="0" applyFill="0" applyBorder="0" applyAlignment="0" applyProtection="0"/>
    <xf numFmtId="188" fontId="16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110" fillId="0" borderId="0" applyFont="0" applyFill="0" applyBorder="0" applyAlignment="0" applyProtection="0"/>
    <xf numFmtId="290" fontId="42" fillId="0" borderId="0" applyFont="0" applyFill="0" applyBorder="0" applyAlignment="0" applyProtection="0"/>
    <xf numFmtId="290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0" fontId="42" fillId="0" borderId="0" applyFont="0" applyFill="0" applyBorder="0" applyAlignment="0" applyProtection="0"/>
    <xf numFmtId="290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91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20" fontId="42" fillId="0" borderId="0" applyFont="0" applyFill="0" applyBorder="0" applyAlignment="0" applyProtection="0"/>
    <xf numFmtId="292" fontId="143" fillId="0" borderId="0" applyFont="0" applyFill="0" applyBorder="0" applyAlignment="0" applyProtection="0"/>
    <xf numFmtId="225" fontId="42" fillId="0" borderId="0" applyFont="0" applyFill="0" applyBorder="0" applyAlignment="0" applyProtection="0"/>
    <xf numFmtId="225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4" fontId="110" fillId="0" borderId="0" applyFont="0" applyFill="0" applyBorder="0" applyAlignment="0" applyProtection="0"/>
    <xf numFmtId="294" fontId="143" fillId="0" borderId="0" applyFont="0" applyFill="0" applyBorder="0" applyAlignment="0" applyProtection="0"/>
    <xf numFmtId="294" fontId="110" fillId="0" borderId="0" applyFont="0" applyFill="0" applyBorder="0" applyAlignment="0" applyProtection="0"/>
    <xf numFmtId="294" fontId="143" fillId="0" borderId="0" applyFont="0" applyFill="0" applyBorder="0" applyAlignment="0" applyProtection="0"/>
    <xf numFmtId="292" fontId="110" fillId="0" borderId="0" applyFont="0" applyFill="0" applyBorder="0" applyAlignment="0" applyProtection="0"/>
    <xf numFmtId="292" fontId="143" fillId="0" borderId="0" applyFont="0" applyFill="0" applyBorder="0" applyAlignment="0" applyProtection="0"/>
    <xf numFmtId="294" fontId="110" fillId="0" borderId="0" applyFont="0" applyFill="0" applyBorder="0" applyAlignment="0" applyProtection="0"/>
    <xf numFmtId="294" fontId="143" fillId="0" borderId="0" applyFont="0" applyFill="0" applyBorder="0" applyAlignment="0" applyProtection="0"/>
    <xf numFmtId="294" fontId="110" fillId="0" borderId="0" applyFont="0" applyFill="0" applyBorder="0" applyAlignment="0" applyProtection="0"/>
    <xf numFmtId="294" fontId="143" fillId="0" borderId="0" applyFont="0" applyFill="0" applyBorder="0" applyAlignment="0" applyProtection="0"/>
    <xf numFmtId="225" fontId="42" fillId="0" borderId="0" applyFont="0" applyFill="0" applyBorder="0" applyAlignment="0" applyProtection="0"/>
    <xf numFmtId="225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25" fontId="42" fillId="0" borderId="0" applyFont="0" applyFill="0" applyBorder="0" applyAlignment="0" applyProtection="0"/>
    <xf numFmtId="225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293" fontId="42" fillId="0" borderId="0" applyFont="0" applyFill="0" applyBorder="0" applyAlignment="0" applyProtection="0"/>
    <xf numFmtId="0" fontId="165" fillId="0" borderId="0" applyFont="0" applyFill="0" applyBorder="0" applyAlignment="0" applyProtection="0"/>
    <xf numFmtId="226" fontId="143" fillId="0" borderId="0" applyFont="0" applyFill="0" applyBorder="0" applyAlignment="0" applyProtection="0"/>
    <xf numFmtId="0" fontId="166" fillId="0" borderId="0" applyFont="0" applyFill="0" applyBorder="0" applyAlignment="0" applyProtection="0"/>
    <xf numFmtId="190" fontId="16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110" fillId="0" borderId="0" applyFont="0" applyFill="0" applyBorder="0" applyAlignment="0" applyProtection="0"/>
    <xf numFmtId="295" fontId="42" fillId="0" borderId="0" applyFont="0" applyFill="0" applyBorder="0" applyAlignment="0" applyProtection="0"/>
    <xf numFmtId="295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5" fontId="42" fillId="0" borderId="0" applyFont="0" applyFill="0" applyBorder="0" applyAlignment="0" applyProtection="0"/>
    <xf numFmtId="295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297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6" fontId="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0" fontId="14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4" fillId="0" borderId="0" applyFont="0" applyFill="0" applyBorder="0" applyAlignment="0" applyProtection="0"/>
    <xf numFmtId="190" fontId="164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5" fillId="0" borderId="0" applyFont="0" applyFill="0" applyBorder="0" applyAlignment="0" applyProtection="0"/>
    <xf numFmtId="223" fontId="167" fillId="0" borderId="0" applyFont="0" applyFill="0" applyBorder="0" applyAlignment="0" applyProtection="0"/>
    <xf numFmtId="303" fontId="110" fillId="0" borderId="0" applyFont="0" applyFill="0" applyBorder="0" applyAlignment="0" applyProtection="0"/>
    <xf numFmtId="189" fontId="16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110" fillId="0" borderId="0" applyFont="0" applyFill="0" applyBorder="0" applyAlignment="0" applyProtection="0"/>
    <xf numFmtId="304" fontId="110" fillId="0" borderId="0" applyFont="0" applyFill="0" applyBorder="0" applyAlignment="0" applyProtection="0"/>
    <xf numFmtId="304" fontId="143" fillId="0" borderId="0" applyFont="0" applyFill="0" applyBorder="0" applyAlignment="0" applyProtection="0"/>
    <xf numFmtId="189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5" fontId="110" fillId="0" borderId="0" applyFont="0" applyFill="0" applyBorder="0" applyAlignment="0" applyProtection="0"/>
    <xf numFmtId="305" fontId="143" fillId="0" borderId="0" applyFont="0" applyFill="0" applyBorder="0" applyAlignment="0" applyProtection="0"/>
    <xf numFmtId="305" fontId="110" fillId="0" borderId="0" applyFont="0" applyFill="0" applyBorder="0" applyAlignment="0" applyProtection="0"/>
    <xf numFmtId="305" fontId="143" fillId="0" borderId="0" applyFont="0" applyFill="0" applyBorder="0" applyAlignment="0" applyProtection="0"/>
    <xf numFmtId="304" fontId="110" fillId="0" borderId="0" applyFont="0" applyFill="0" applyBorder="0" applyAlignment="0" applyProtection="0"/>
    <xf numFmtId="304" fontId="143" fillId="0" borderId="0" applyFont="0" applyFill="0" applyBorder="0" applyAlignment="0" applyProtection="0"/>
    <xf numFmtId="305" fontId="110" fillId="0" borderId="0" applyFont="0" applyFill="0" applyBorder="0" applyAlignment="0" applyProtection="0"/>
    <xf numFmtId="305" fontId="143" fillId="0" borderId="0" applyFont="0" applyFill="0" applyBorder="0" applyAlignment="0" applyProtection="0"/>
    <xf numFmtId="305" fontId="110" fillId="0" borderId="0" applyFont="0" applyFill="0" applyBorder="0" applyAlignment="0" applyProtection="0"/>
    <xf numFmtId="305" fontId="143" fillId="0" borderId="0" applyFont="0" applyFill="0" applyBorder="0" applyAlignment="0" applyProtection="0"/>
    <xf numFmtId="189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304" fontId="42" fillId="0" borderId="0" applyFont="0" applyFill="0" applyBorder="0" applyAlignment="0" applyProtection="0"/>
    <xf numFmtId="0" fontId="165" fillId="0" borderId="0" applyFont="0" applyFill="0" applyBorder="0" applyAlignment="0" applyProtection="0"/>
    <xf numFmtId="222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110" fillId="0" borderId="0" applyFont="0" applyFill="0" applyBorder="0" applyAlignment="0" applyProtection="0"/>
    <xf numFmtId="306" fontId="110" fillId="0" borderId="0" applyFont="0" applyFill="0" applyBorder="0" applyAlignment="0" applyProtection="0"/>
    <xf numFmtId="306" fontId="143" fillId="0" borderId="0" applyFont="0" applyFill="0" applyBorder="0" applyAlignment="0" applyProtection="0"/>
    <xf numFmtId="307" fontId="42" fillId="0" borderId="0" applyFont="0" applyFill="0" applyBorder="0" applyAlignment="0" applyProtection="0"/>
    <xf numFmtId="307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9" fontId="110" fillId="0" borderId="0" applyFont="0" applyFill="0" applyBorder="0" applyAlignment="0" applyProtection="0"/>
    <xf numFmtId="309" fontId="143" fillId="0" borderId="0" applyFont="0" applyFill="0" applyBorder="0" applyAlignment="0" applyProtection="0"/>
    <xf numFmtId="309" fontId="110" fillId="0" borderId="0" applyFont="0" applyFill="0" applyBorder="0" applyAlignment="0" applyProtection="0"/>
    <xf numFmtId="309" fontId="143" fillId="0" borderId="0" applyFont="0" applyFill="0" applyBorder="0" applyAlignment="0" applyProtection="0"/>
    <xf numFmtId="306" fontId="110" fillId="0" borderId="0" applyFont="0" applyFill="0" applyBorder="0" applyAlignment="0" applyProtection="0"/>
    <xf numFmtId="306" fontId="143" fillId="0" borderId="0" applyFont="0" applyFill="0" applyBorder="0" applyAlignment="0" applyProtection="0"/>
    <xf numFmtId="309" fontId="110" fillId="0" borderId="0" applyFont="0" applyFill="0" applyBorder="0" applyAlignment="0" applyProtection="0"/>
    <xf numFmtId="309" fontId="143" fillId="0" borderId="0" applyFont="0" applyFill="0" applyBorder="0" applyAlignment="0" applyProtection="0"/>
    <xf numFmtId="309" fontId="110" fillId="0" borderId="0" applyFont="0" applyFill="0" applyBorder="0" applyAlignment="0" applyProtection="0"/>
    <xf numFmtId="309" fontId="143" fillId="0" borderId="0" applyFont="0" applyFill="0" applyBorder="0" applyAlignment="0" applyProtection="0"/>
    <xf numFmtId="307" fontId="42" fillId="0" borderId="0" applyFont="0" applyFill="0" applyBorder="0" applyAlignment="0" applyProtection="0"/>
    <xf numFmtId="307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7" fontId="42" fillId="0" borderId="0" applyFont="0" applyFill="0" applyBorder="0" applyAlignment="0" applyProtection="0"/>
    <xf numFmtId="307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308" fontId="42" fillId="0" borderId="0" applyFont="0" applyFill="0" applyBorder="0" applyAlignment="0" applyProtection="0"/>
    <xf numFmtId="9" fontId="168" fillId="0" borderId="0">
      <alignment horizontal="center"/>
    </xf>
    <xf numFmtId="310" fontId="169" fillId="0" borderId="0">
      <alignment horizontal="right"/>
      <protection locked="0"/>
    </xf>
    <xf numFmtId="0" fontId="170" fillId="0" borderId="29" applyNumberFormat="0" applyFont="0" applyFill="0" applyAlignment="0" applyProtection="0"/>
    <xf numFmtId="0" fontId="170" fillId="0" borderId="55" applyNumberFormat="0" applyFont="0" applyFill="0" applyAlignment="0" applyProtection="0"/>
    <xf numFmtId="311" fontId="171" fillId="0" borderId="0" applyFont="0" applyFill="0" applyBorder="0" applyAlignment="0" applyProtection="0"/>
    <xf numFmtId="0" fontId="172" fillId="0" borderId="0"/>
    <xf numFmtId="0" fontId="173" fillId="0" borderId="0"/>
    <xf numFmtId="0" fontId="110" fillId="0" borderId="0"/>
    <xf numFmtId="0" fontId="174" fillId="0" borderId="0"/>
    <xf numFmtId="0" fontId="166" fillId="0" borderId="0"/>
    <xf numFmtId="0" fontId="175" fillId="0" borderId="0"/>
    <xf numFmtId="37" fontId="143" fillId="0" borderId="0" applyFill="0" applyBorder="0"/>
    <xf numFmtId="0" fontId="110" fillId="0" borderId="0"/>
    <xf numFmtId="0" fontId="143" fillId="0" borderId="0"/>
    <xf numFmtId="0" fontId="176" fillId="0" borderId="0"/>
    <xf numFmtId="0" fontId="143" fillId="0" borderId="0"/>
    <xf numFmtId="0" fontId="110" fillId="0" borderId="0"/>
    <xf numFmtId="0" fontId="42" fillId="0" borderId="0"/>
    <xf numFmtId="0" fontId="42" fillId="0" borderId="0"/>
    <xf numFmtId="0" fontId="143" fillId="0" borderId="0"/>
    <xf numFmtId="0" fontId="177" fillId="0" borderId="0"/>
    <xf numFmtId="0" fontId="178" fillId="0" borderId="0"/>
    <xf numFmtId="0" fontId="179" fillId="0" borderId="0"/>
    <xf numFmtId="0" fontId="174" fillId="0" borderId="0"/>
    <xf numFmtId="0" fontId="165" fillId="0" borderId="0"/>
    <xf numFmtId="0" fontId="167" fillId="0" borderId="0"/>
    <xf numFmtId="0" fontId="180" fillId="0" borderId="0"/>
    <xf numFmtId="0" fontId="18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43" fillId="0" borderId="0"/>
    <xf numFmtId="0" fontId="110" fillId="0" borderId="0"/>
    <xf numFmtId="0" fontId="143" fillId="0" borderId="0"/>
    <xf numFmtId="191" fontId="80" fillId="81" borderId="0" applyNumberFormat="0" applyFont="0" applyBorder="0" applyAlignment="0">
      <protection locked="0"/>
    </xf>
    <xf numFmtId="0" fontId="182" fillId="0" borderId="0">
      <alignment horizontal="left" vertical="center"/>
    </xf>
    <xf numFmtId="0" fontId="183" fillId="82" borderId="0">
      <alignment horizontal="left"/>
    </xf>
    <xf numFmtId="0" fontId="86" fillId="82" borderId="0">
      <alignment horizontal="right"/>
    </xf>
    <xf numFmtId="0" fontId="76" fillId="83" borderId="0">
      <alignment horizontal="center"/>
    </xf>
    <xf numFmtId="0" fontId="86" fillId="82" borderId="0">
      <alignment horizontal="right"/>
    </xf>
    <xf numFmtId="0" fontId="184" fillId="83" borderId="0">
      <alignment horizontal="left"/>
    </xf>
    <xf numFmtId="312" fontId="63" fillId="0" borderId="0" applyFont="0" applyFill="0" applyBorder="0" applyAlignment="0" applyProtection="0"/>
    <xf numFmtId="0" fontId="115" fillId="0" borderId="0" applyFont="0" applyFill="0" applyBorder="0" applyAlignment="0" applyProtection="0"/>
    <xf numFmtId="313" fontId="65" fillId="0" borderId="0" applyFont="0" applyFill="0" applyBorder="0" applyAlignment="0" applyProtection="0"/>
    <xf numFmtId="38" fontId="74" fillId="0" borderId="0" applyFont="0" applyFill="0" applyBorder="0" applyAlignment="0" applyProtection="0"/>
    <xf numFmtId="40" fontId="74" fillId="0" borderId="0" applyFont="0" applyFill="0" applyBorder="0" applyAlignment="0" applyProtection="0"/>
    <xf numFmtId="49" fontId="185" fillId="0" borderId="0"/>
    <xf numFmtId="314" fontId="186" fillId="0" borderId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0"/>
    <xf numFmtId="0" fontId="7" fillId="0" borderId="0"/>
    <xf numFmtId="3" fontId="144" fillId="0" borderId="0"/>
    <xf numFmtId="0" fontId="187" fillId="0" borderId="0"/>
    <xf numFmtId="0" fontId="188" fillId="0" borderId="0"/>
    <xf numFmtId="0" fontId="36" fillId="0" borderId="0">
      <alignment horizontal="left"/>
    </xf>
    <xf numFmtId="199" fontId="144" fillId="0" borderId="0" applyProtection="0"/>
    <xf numFmtId="315" fontId="189" fillId="0" borderId="0" applyAlignment="0">
      <alignment horizontal="right"/>
      <protection hidden="1"/>
    </xf>
    <xf numFmtId="0" fontId="190" fillId="84" borderId="1" applyNumberFormat="0" applyFont="0" applyBorder="0" applyAlignment="0">
      <alignment horizontal="center"/>
      <protection locked="0"/>
    </xf>
    <xf numFmtId="0" fontId="75" fillId="0" borderId="0" applyNumberFormat="0" applyFill="0" applyBorder="0" applyAlignment="0">
      <protection locked="0"/>
    </xf>
    <xf numFmtId="1" fontId="80" fillId="0" borderId="0"/>
    <xf numFmtId="0" fontId="183" fillId="82" borderId="0">
      <alignment horizontal="left"/>
    </xf>
    <xf numFmtId="0" fontId="191" fillId="83" borderId="0">
      <alignment horizontal="left"/>
    </xf>
    <xf numFmtId="0" fontId="192" fillId="70" borderId="56">
      <alignment horizontal="left" vertical="top" indent="2"/>
    </xf>
    <xf numFmtId="0" fontId="192" fillId="70" borderId="56">
      <alignment horizontal="left" vertical="top" indent="2"/>
    </xf>
    <xf numFmtId="316" fontId="78" fillId="0" borderId="0" applyFont="0" applyFill="0" applyBorder="0" applyAlignment="0" applyProtection="0"/>
    <xf numFmtId="317" fontId="65" fillId="0" borderId="0"/>
    <xf numFmtId="0" fontId="78" fillId="0" borderId="33" applyFont="0" applyFill="0" applyBorder="0" applyAlignment="0" applyProtection="0">
      <alignment horizontal="right"/>
    </xf>
    <xf numFmtId="0" fontId="193" fillId="0" borderId="0" applyFont="0" applyFill="0" applyBorder="0" applyAlignment="0" applyProtection="0">
      <alignment horizontal="centerContinuous"/>
    </xf>
    <xf numFmtId="0" fontId="193" fillId="0" borderId="0" applyFont="0" applyFill="0" applyBorder="0" applyAlignment="0" applyProtection="0">
      <alignment horizontal="centerContinuous"/>
    </xf>
    <xf numFmtId="37" fontId="194" fillId="0" borderId="0"/>
    <xf numFmtId="0" fontId="195" fillId="0" borderId="0">
      <alignment horizontal="left"/>
    </xf>
    <xf numFmtId="38" fontId="196" fillId="70" borderId="0">
      <alignment horizontal="right"/>
    </xf>
    <xf numFmtId="0" fontId="197" fillId="70" borderId="0">
      <alignment horizontal="right"/>
    </xf>
    <xf numFmtId="0" fontId="198" fillId="70" borderId="33"/>
    <xf numFmtId="0" fontId="199" fillId="0" borderId="0" applyBorder="0">
      <alignment horizontal="centerContinuous"/>
    </xf>
    <xf numFmtId="0" fontId="200" fillId="0" borderId="0" applyBorder="0">
      <alignment horizontal="centerContinuous"/>
    </xf>
    <xf numFmtId="0" fontId="201" fillId="70" borderId="0"/>
    <xf numFmtId="0" fontId="202" fillId="70" borderId="29"/>
    <xf numFmtId="0" fontId="203" fillId="0" borderId="57" applyNumberFormat="0" applyAlignment="0" applyProtection="0"/>
    <xf numFmtId="0" fontId="78" fillId="68" borderId="0" applyNumberFormat="0" applyFont="0" applyBorder="0" applyAlignment="0" applyProtection="0"/>
    <xf numFmtId="0" fontId="80" fillId="67" borderId="30" applyNumberFormat="0" applyFont="0" applyBorder="0" applyAlignment="0" applyProtection="0">
      <alignment horizontal="center"/>
    </xf>
    <xf numFmtId="0" fontId="80" fillId="79" borderId="30" applyNumberFormat="0" applyFont="0" applyBorder="0" applyAlignment="0" applyProtection="0">
      <alignment horizontal="center"/>
    </xf>
    <xf numFmtId="0" fontId="78" fillId="0" borderId="58" applyNumberFormat="0" applyAlignment="0" applyProtection="0"/>
    <xf numFmtId="0" fontId="78" fillId="0" borderId="59" applyNumberFormat="0" applyAlignment="0" applyProtection="0"/>
    <xf numFmtId="0" fontId="78" fillId="0" borderId="59" applyNumberFormat="0" applyAlignment="0" applyProtection="0"/>
    <xf numFmtId="0" fontId="78" fillId="0" borderId="59" applyNumberFormat="0" applyAlignment="0" applyProtection="0"/>
    <xf numFmtId="0" fontId="203" fillId="0" borderId="60" applyNumberFormat="0" applyAlignment="0" applyProtection="0"/>
    <xf numFmtId="318" fontId="63" fillId="0" borderId="0" applyFont="0" applyFill="0" applyBorder="0" applyAlignment="0" applyProtection="0"/>
    <xf numFmtId="319" fontId="204" fillId="85" borderId="54"/>
    <xf numFmtId="0" fontId="205" fillId="0" borderId="28" applyNumberFormat="0" applyAlignment="0"/>
    <xf numFmtId="0" fontId="65" fillId="0" borderId="0"/>
    <xf numFmtId="0" fontId="65" fillId="0" borderId="0"/>
    <xf numFmtId="0" fontId="99" fillId="0" borderId="0" applyNumberFormat="0" applyBorder="0" applyAlignment="0">
      <alignment horizontal="right"/>
    </xf>
    <xf numFmtId="320" fontId="42" fillId="0" borderId="0"/>
    <xf numFmtId="0" fontId="191" fillId="44" borderId="0">
      <alignment horizontal="center"/>
    </xf>
    <xf numFmtId="49" fontId="188" fillId="83" borderId="0">
      <alignment horizontal="center"/>
    </xf>
    <xf numFmtId="0" fontId="86" fillId="82" borderId="0">
      <alignment horizontal="center"/>
    </xf>
    <xf numFmtId="0" fontId="86" fillId="82" borderId="0">
      <alignment horizontal="centerContinuous"/>
    </xf>
    <xf numFmtId="0" fontId="79" fillId="83" borderId="0">
      <alignment horizontal="left"/>
    </xf>
    <xf numFmtId="49" fontId="79" fillId="83" borderId="0">
      <alignment horizontal="center"/>
    </xf>
    <xf numFmtId="0" fontId="183" fillId="82" borderId="0">
      <alignment horizontal="left"/>
    </xf>
    <xf numFmtId="49" fontId="79" fillId="83" borderId="0">
      <alignment horizontal="left"/>
    </xf>
    <xf numFmtId="0" fontId="183" fillId="82" borderId="0">
      <alignment horizontal="centerContinuous"/>
    </xf>
    <xf numFmtId="0" fontId="183" fillId="82" borderId="0">
      <alignment horizontal="right"/>
    </xf>
    <xf numFmtId="49" fontId="191" fillId="83" borderId="0">
      <alignment horizontal="left"/>
    </xf>
    <xf numFmtId="0" fontId="86" fillId="82" borderId="0">
      <alignment horizontal="right"/>
    </xf>
    <xf numFmtId="0" fontId="79" fillId="50" borderId="0">
      <alignment horizontal="center"/>
    </xf>
    <xf numFmtId="0" fontId="206" fillId="50" borderId="0">
      <alignment horizontal="center"/>
    </xf>
    <xf numFmtId="314" fontId="171" fillId="0" borderId="0" applyFill="0" applyBorder="0" applyAlignment="0" applyProtection="0"/>
    <xf numFmtId="0" fontId="74" fillId="0" borderId="0"/>
    <xf numFmtId="321" fontId="42" fillId="0" borderId="0"/>
    <xf numFmtId="0" fontId="65" fillId="0" borderId="0"/>
    <xf numFmtId="0" fontId="65" fillId="0" borderId="0"/>
    <xf numFmtId="0" fontId="144" fillId="0" borderId="0" applyFill="0" applyBorder="0" applyProtection="0">
      <alignment horizontal="left"/>
    </xf>
    <xf numFmtId="0" fontId="110" fillId="0" borderId="0"/>
    <xf numFmtId="0" fontId="78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207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1" fillId="0" borderId="0" applyFont="0" applyFill="0" applyBorder="0" applyAlignment="0" applyProtection="0"/>
    <xf numFmtId="0" fontId="208" fillId="0" borderId="0"/>
    <xf numFmtId="323" fontId="208" fillId="0" borderId="0" applyFont="0" applyFill="0" applyBorder="0" applyAlignment="0" applyProtection="0"/>
    <xf numFmtId="0" fontId="209" fillId="0" borderId="0" applyNumberFormat="0" applyFill="0" applyBorder="0" applyAlignment="0" applyProtection="0">
      <alignment vertical="top"/>
      <protection locked="0"/>
    </xf>
    <xf numFmtId="0" fontId="149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1" fillId="0" borderId="0" applyFont="0" applyFill="0" applyBorder="0" applyAlignment="0" applyProtection="0"/>
    <xf numFmtId="0" fontId="35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2" fillId="0" borderId="0"/>
    <xf numFmtId="0" fontId="163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2" fillId="0" borderId="0" applyNumberFormat="0" applyFill="0" applyBorder="0" applyAlignment="0" applyProtection="0"/>
    <xf numFmtId="0" fontId="3" fillId="0" borderId="0"/>
    <xf numFmtId="1" fontId="99" fillId="0" borderId="63">
      <alignment horizontal="center" vertical="center"/>
    </xf>
    <xf numFmtId="0" fontId="6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2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2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9" fillId="0" borderId="61" applyAlignment="0"/>
    <xf numFmtId="0" fontId="78" fillId="0" borderId="0"/>
    <xf numFmtId="0" fontId="42" fillId="0" borderId="0"/>
    <xf numFmtId="0" fontId="78" fillId="0" borderId="0"/>
    <xf numFmtId="0" fontId="78" fillId="0" borderId="0"/>
    <xf numFmtId="0" fontId="78" fillId="0" borderId="0"/>
    <xf numFmtId="0" fontId="3" fillId="0" borderId="0"/>
    <xf numFmtId="0" fontId="65" fillId="0" borderId="0" applyFont="0" applyFill="0" applyBorder="0" applyAlignment="0" applyProtection="0"/>
    <xf numFmtId="0" fontId="42" fillId="0" borderId="0"/>
    <xf numFmtId="0" fontId="68" fillId="0" borderId="0"/>
    <xf numFmtId="37" fontId="42" fillId="0" borderId="0"/>
    <xf numFmtId="0" fontId="6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3" fillId="0" borderId="0" applyFont="0" applyFill="0" applyBorder="0" applyAlignment="0" applyProtection="0"/>
    <xf numFmtId="0" fontId="65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2" fillId="0" borderId="0" applyFont="0" applyFill="0" applyBorder="0" applyAlignment="0" applyProtection="0"/>
    <xf numFmtId="3" fontId="100" fillId="0" borderId="0" applyFont="0" applyFill="0" applyBorder="0" applyAlignment="0" applyProtection="0"/>
    <xf numFmtId="0" fontId="65" fillId="0" borderId="0">
      <protection locked="0"/>
    </xf>
    <xf numFmtId="0" fontId="5" fillId="0" borderId="0" applyFont="0" applyFill="0" applyBorder="0" applyAlignment="0" applyProtection="0"/>
    <xf numFmtId="285" fontId="42" fillId="0" borderId="0" applyFont="0" applyFill="0" applyBorder="0" applyAlignment="0" applyProtection="0"/>
    <xf numFmtId="0" fontId="65" fillId="0" borderId="0"/>
    <xf numFmtId="324" fontId="111" fillId="0" borderId="0">
      <protection locked="0"/>
    </xf>
    <xf numFmtId="0" fontId="3" fillId="0" borderId="0"/>
    <xf numFmtId="325" fontId="111" fillId="0" borderId="0">
      <protection locked="0"/>
    </xf>
    <xf numFmtId="325" fontId="111" fillId="0" borderId="0">
      <protection locked="0"/>
    </xf>
    <xf numFmtId="325" fontId="112" fillId="0" borderId="0">
      <protection locked="0"/>
    </xf>
    <xf numFmtId="325" fontId="111" fillId="0" borderId="0">
      <protection locked="0"/>
    </xf>
    <xf numFmtId="325" fontId="111" fillId="0" borderId="0">
      <protection locked="0"/>
    </xf>
    <xf numFmtId="325" fontId="111" fillId="0" borderId="0">
      <protection locked="0"/>
    </xf>
    <xf numFmtId="325" fontId="112" fillId="0" borderId="0">
      <protection locked="0"/>
    </xf>
    <xf numFmtId="326" fontId="111" fillId="0" borderId="0">
      <protection locked="0"/>
    </xf>
    <xf numFmtId="0" fontId="61" fillId="0" borderId="2">
      <alignment horizontal="left" vertical="center"/>
    </xf>
    <xf numFmtId="327" fontId="213" fillId="0" borderId="0">
      <protection locked="0"/>
    </xf>
    <xf numFmtId="327" fontId="213" fillId="0" borderId="0">
      <protection locked="0"/>
    </xf>
    <xf numFmtId="0" fontId="214" fillId="0" borderId="0" applyNumberFormat="0" applyFill="0" applyBorder="0" applyAlignment="0" applyProtection="0"/>
    <xf numFmtId="10" fontId="80" fillId="72" borderId="28" applyNumberFormat="0" applyBorder="0" applyAlignment="0" applyProtection="0"/>
    <xf numFmtId="0" fontId="84" fillId="0" borderId="62"/>
    <xf numFmtId="328" fontId="42" fillId="0" borderId="0"/>
    <xf numFmtId="0" fontId="42" fillId="0" borderId="0"/>
    <xf numFmtId="0" fontId="78" fillId="0" borderId="0" applyFont="0" applyFill="0" applyBorder="0" applyAlignment="0" applyProtection="0">
      <alignment horizontal="centerContinuous"/>
    </xf>
    <xf numFmtId="0" fontId="78" fillId="0" borderId="0" applyFont="0" applyFill="0" applyBorder="0" applyAlignment="0" applyProtection="0">
      <alignment horizontal="centerContinuous"/>
    </xf>
    <xf numFmtId="0" fontId="78" fillId="0" borderId="0" applyFont="0" applyFill="0" applyBorder="0" applyAlignment="0" applyProtection="0">
      <alignment horizontal="centerContinuous"/>
    </xf>
    <xf numFmtId="0" fontId="78" fillId="0" borderId="0" applyFont="0" applyFill="0" applyBorder="0" applyAlignment="0" applyProtection="0">
      <alignment horizontal="centerContinuous"/>
    </xf>
    <xf numFmtId="0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327" fontId="111" fillId="0" borderId="36">
      <protection locked="0"/>
    </xf>
    <xf numFmtId="0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9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1" fillId="0" borderId="0">
      <alignment vertical="center"/>
    </xf>
    <xf numFmtId="41" fontId="95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>
      <alignment vertical="center"/>
    </xf>
    <xf numFmtId="0" fontId="35" fillId="0" borderId="0">
      <alignment vertical="center"/>
    </xf>
  </cellStyleXfs>
  <cellXfs count="153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176" fontId="24" fillId="10" borderId="0" xfId="3" applyNumberFormat="1" applyFont="1" applyFill="1" applyBorder="1" applyAlignment="1">
      <alignment horizontal="left" vertical="center"/>
    </xf>
    <xf numFmtId="0" fontId="25" fillId="10" borderId="0" xfId="3" applyFont="1" applyFill="1" applyBorder="1" applyAlignment="1">
      <alignment horizontal="center" vertical="center"/>
    </xf>
    <xf numFmtId="177" fontId="25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6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7" fillId="7" borderId="4" xfId="0" applyNumberFormat="1" applyFont="1" applyFill="1" applyBorder="1" applyAlignment="1">
      <alignment horizontal="right" vertical="center"/>
    </xf>
    <xf numFmtId="183" fontId="27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7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7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7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7" fillId="7" borderId="3" xfId="0" applyNumberFormat="1" applyFont="1" applyFill="1" applyBorder="1" applyAlignment="1">
      <alignment horizontal="right" vertical="center"/>
    </xf>
    <xf numFmtId="9" fontId="28" fillId="2" borderId="0" xfId="2" applyFont="1" applyFill="1" applyBorder="1" applyAlignment="1">
      <alignment horizontal="right" vertical="center"/>
    </xf>
    <xf numFmtId="41" fontId="29" fillId="2" borderId="0" xfId="1" applyFont="1" applyFill="1" applyBorder="1" applyAlignment="1">
      <alignment horizontal="right" vertical="center"/>
    </xf>
    <xf numFmtId="179" fontId="29" fillId="2" borderId="0" xfId="1" applyNumberFormat="1" applyFont="1" applyFill="1" applyBorder="1" applyAlignment="1">
      <alignment horizontal="right" vertical="center"/>
    </xf>
    <xf numFmtId="41" fontId="29" fillId="2" borderId="0" xfId="1" applyNumberFormat="1" applyFont="1" applyFill="1" applyBorder="1" applyAlignment="1">
      <alignment horizontal="right" vertical="center"/>
    </xf>
    <xf numFmtId="183" fontId="29" fillId="2" borderId="0" xfId="1" applyNumberFormat="1" applyFont="1" applyFill="1" applyBorder="1" applyAlignment="1">
      <alignment horizontal="right" vertical="center"/>
    </xf>
    <xf numFmtId="9" fontId="30" fillId="2" borderId="1" xfId="2" applyFont="1" applyFill="1" applyBorder="1" applyAlignment="1">
      <alignment horizontal="right" vertical="center"/>
    </xf>
    <xf numFmtId="180" fontId="30" fillId="2" borderId="1" xfId="1" applyNumberFormat="1" applyFont="1" applyFill="1" applyBorder="1" applyAlignment="1">
      <alignment horizontal="right" vertical="center"/>
    </xf>
    <xf numFmtId="182" fontId="27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1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8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3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7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6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9" fillId="2" borderId="0" xfId="0" applyNumberFormat="1" applyFont="1" applyFill="1" applyBorder="1" applyAlignment="1">
      <alignment horizontal="right" vertical="center"/>
    </xf>
    <xf numFmtId="41" fontId="40" fillId="2" borderId="0" xfId="0" applyNumberFormat="1" applyFont="1" applyFill="1" applyBorder="1" applyAlignment="1">
      <alignment horizontal="right" vertical="center"/>
    </xf>
    <xf numFmtId="182" fontId="40" fillId="2" borderId="0" xfId="2" applyNumberFormat="1" applyFont="1" applyFill="1" applyBorder="1" applyAlignment="1">
      <alignment horizontal="right" vertical="center"/>
    </xf>
    <xf numFmtId="0" fontId="38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179</xdr:col>
      <xdr:colOff>30491</xdr:colOff>
      <xdr:row>0</xdr:row>
      <xdr:rowOff>126093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1012705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45</xdr:col>
      <xdr:colOff>849539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47</xdr:col>
      <xdr:colOff>356509</xdr:colOff>
      <xdr:row>0</xdr:row>
      <xdr:rowOff>42636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3569045" y="42636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X39"/>
  <sheetViews>
    <sheetView showGridLines="0" tabSelected="1" view="pageBreakPreview" topLeftCell="A4" zoomScale="70" zoomScaleNormal="70" zoomScaleSheetLayoutView="70" workbookViewId="0">
      <pane xSplit="133" topLeftCell="FB1" activePane="topRight" state="frozen"/>
      <selection pane="topRight"/>
    </sheetView>
  </sheetViews>
  <sheetFormatPr defaultColWidth="9" defaultRowHeight="30.75" customHeight="1"/>
  <cols>
    <col min="1" max="1" width="35.875" style="81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47" width="12.625" style="6" hidden="1" customWidth="1"/>
    <col min="148" max="156" width="11.75" style="6" hidden="1" customWidth="1"/>
    <col min="157" max="157" width="11.375" style="6" hidden="1" customWidth="1"/>
    <col min="158" max="163" width="11.75" style="6" customWidth="1"/>
    <col min="164" max="165" width="11.375" style="6" customWidth="1"/>
    <col min="166" max="169" width="11.875" style="6" customWidth="1"/>
    <col min="170" max="180" width="10.875" style="6" customWidth="1"/>
    <col min="181" max="16384" width="9" style="149"/>
  </cols>
  <sheetData>
    <row r="1" spans="1:180" ht="44.25" customHeight="1">
      <c r="A1" s="1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80" ht="29.25" customHeight="1">
      <c r="A2" s="6"/>
    </row>
    <row r="3" spans="1:180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</row>
    <row r="4" spans="1:180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92">
        <v>43466</v>
      </c>
      <c r="FO4" s="92">
        <v>43497</v>
      </c>
      <c r="FP4" s="92">
        <v>43525</v>
      </c>
      <c r="FQ4" s="92">
        <v>43556</v>
      </c>
      <c r="FR4" s="92">
        <v>43586</v>
      </c>
      <c r="FS4" s="92">
        <v>43617</v>
      </c>
      <c r="FT4" s="92">
        <v>43647</v>
      </c>
      <c r="FU4" s="92">
        <v>43678</v>
      </c>
      <c r="FV4" s="92">
        <v>43709</v>
      </c>
      <c r="FW4" s="92">
        <v>43739</v>
      </c>
      <c r="FX4" s="92">
        <v>43770</v>
      </c>
    </row>
    <row r="5" spans="1:180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</row>
    <row r="6" spans="1:180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</row>
    <row r="7" spans="1:180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</row>
    <row r="8" spans="1:180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</row>
    <row r="9" spans="1:180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</row>
    <row r="10" spans="1:180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</row>
    <row r="11" spans="1:180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</row>
    <row r="12" spans="1:180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</row>
    <row r="13" spans="1:180" s="147" customFormat="1" ht="23.25" customHeight="1">
      <c r="A13" s="148" t="s">
        <v>109</v>
      </c>
      <c r="B13" s="144"/>
      <c r="C13" s="145"/>
      <c r="D13" s="145"/>
      <c r="E13" s="145"/>
      <c r="F13" s="145"/>
      <c r="G13" s="146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</row>
    <row r="14" spans="1:180" s="134" customFormat="1" ht="15" customHeight="1">
      <c r="A14" s="142"/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</row>
    <row r="15" spans="1:180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</row>
    <row r="16" spans="1:180" s="150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92">
        <v>43466</v>
      </c>
      <c r="FO16" s="92">
        <v>43497</v>
      </c>
      <c r="FP16" s="92">
        <v>43525</v>
      </c>
      <c r="FQ16" s="92">
        <v>43556</v>
      </c>
      <c r="FR16" s="92">
        <v>43586</v>
      </c>
      <c r="FS16" s="92">
        <v>43617</v>
      </c>
      <c r="FT16" s="92">
        <v>43647</v>
      </c>
      <c r="FU16" s="92">
        <v>43678</v>
      </c>
      <c r="FV16" s="92">
        <v>43709</v>
      </c>
      <c r="FW16" s="92">
        <v>43739</v>
      </c>
      <c r="FX16" s="92">
        <v>43770</v>
      </c>
    </row>
    <row r="17" spans="1:180" s="151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</row>
    <row r="18" spans="1:180" s="151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</row>
    <row r="19" spans="1:180" s="151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</row>
    <row r="20" spans="1:180" s="151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</row>
    <row r="21" spans="1:180" s="151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</row>
    <row r="22" spans="1:180" s="152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</row>
    <row r="23" spans="1:180" s="152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</row>
    <row r="24" spans="1:180" s="152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0.40910931298722863</v>
      </c>
      <c r="FW24" s="58">
        <v>0.40919664379624016</v>
      </c>
      <c r="FX24" s="58"/>
    </row>
    <row r="25" spans="1:180" s="152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0.25573807882185789</v>
      </c>
      <c r="FW25" s="60">
        <v>0.25584704168297978</v>
      </c>
      <c r="FX25" s="60"/>
    </row>
    <row r="26" spans="1:180" s="152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0.19384781387901562</v>
      </c>
      <c r="FW26" s="60">
        <v>0.19447162529787637</v>
      </c>
      <c r="FX26" s="60"/>
    </row>
    <row r="27" spans="1:180" s="152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0.14130479431189782</v>
      </c>
      <c r="FW27" s="66">
        <v>0.14048468922290369</v>
      </c>
      <c r="FX27" s="66"/>
    </row>
    <row r="28" spans="1:180" s="147" customFormat="1" ht="23.25" customHeight="1">
      <c r="A28" s="148" t="s">
        <v>102</v>
      </c>
      <c r="B28" s="144"/>
      <c r="C28" s="145"/>
      <c r="D28" s="145"/>
      <c r="E28" s="145"/>
      <c r="F28" s="145"/>
      <c r="G28" s="146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DQ28" s="147">
        <v>0.16900745635148284</v>
      </c>
    </row>
    <row r="29" spans="1:180" s="134" customFormat="1" ht="15" customHeight="1">
      <c r="A29" s="142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</row>
    <row r="30" spans="1:180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</row>
    <row r="31" spans="1:180" s="150" customFormat="1" ht="29.25" customHeight="1">
      <c r="A31" s="13" t="s">
        <v>77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92">
        <v>43466</v>
      </c>
      <c r="FO31" s="92">
        <v>43497</v>
      </c>
      <c r="FP31" s="92">
        <v>43525</v>
      </c>
      <c r="FQ31" s="92">
        <v>43556</v>
      </c>
      <c r="FR31" s="92">
        <v>43586</v>
      </c>
      <c r="FS31" s="92">
        <v>43617</v>
      </c>
      <c r="FT31" s="92">
        <v>43647</v>
      </c>
      <c r="FU31" s="92">
        <v>43678</v>
      </c>
      <c r="FV31" s="92">
        <v>43709</v>
      </c>
      <c r="FW31" s="92">
        <v>43739</v>
      </c>
      <c r="FX31" s="92">
        <v>43770</v>
      </c>
    </row>
    <row r="32" spans="1:180" s="151" customFormat="1" ht="29.25" customHeight="1">
      <c r="A32" s="37" t="s">
        <v>78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</row>
    <row r="33" spans="1:180" s="151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</row>
    <row r="34" spans="1:180" s="151" customFormat="1" ht="29.25" customHeight="1">
      <c r="A34" s="70" t="s">
        <v>79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</row>
    <row r="35" spans="1:180" s="151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0.46513998492501601</v>
      </c>
      <c r="FX35" s="75"/>
    </row>
    <row r="36" spans="1:180" s="151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/>
    </row>
    <row r="37" spans="1:180" s="151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/>
    </row>
    <row r="38" spans="1:180" s="147" customFormat="1" ht="23.25" customHeight="1">
      <c r="A38" s="148" t="s">
        <v>113</v>
      </c>
      <c r="B38" s="144"/>
      <c r="C38" s="145"/>
      <c r="D38" s="145"/>
      <c r="E38" s="145"/>
      <c r="F38" s="145"/>
      <c r="G38" s="146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</row>
    <row r="39" spans="1:180" s="134" customFormat="1" ht="15" customHeight="1">
      <c r="A39" s="142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</row>
  </sheetData>
  <phoneticPr fontId="2" type="noConversion"/>
  <pageMargins left="0.7" right="0.7" top="0.75" bottom="0.75" header="0.3" footer="0.3"/>
  <pageSetup paperSize="9" scale="49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Y41"/>
  <sheetViews>
    <sheetView showGridLines="0" view="pageBreakPreview" zoomScale="70" zoomScaleNormal="60" zoomScaleSheetLayoutView="70" workbookViewId="0">
      <pane xSplit="29" topLeftCell="AD1" activePane="topRight" state="frozen"/>
      <selection pane="topRight"/>
    </sheetView>
  </sheetViews>
  <sheetFormatPr defaultColWidth="9" defaultRowHeight="18.75" customHeight="1"/>
  <cols>
    <col min="1" max="1" width="41.375" style="137" customWidth="1"/>
    <col min="2" max="10" width="14.5" style="137" hidden="1" customWidth="1"/>
    <col min="11" max="13" width="14.625" style="137" hidden="1" customWidth="1"/>
    <col min="14" max="33" width="13.375" style="137" hidden="1" customWidth="1"/>
    <col min="34" max="34" width="13.5" style="137" hidden="1" customWidth="1"/>
    <col min="35" max="35" width="12.875" style="137" hidden="1" customWidth="1"/>
    <col min="36" max="36" width="13.5" style="137" hidden="1" customWidth="1"/>
    <col min="37" max="37" width="13.625" style="137" hidden="1" customWidth="1"/>
    <col min="38" max="38" width="14" style="137" customWidth="1"/>
    <col min="39" max="39" width="14.5" style="137" customWidth="1"/>
    <col min="40" max="40" width="13.875" style="137" customWidth="1"/>
    <col min="41" max="41" width="14.375" style="137" customWidth="1"/>
    <col min="42" max="42" width="14.875" style="137" customWidth="1"/>
    <col min="43" max="43" width="15.125" style="137" customWidth="1"/>
    <col min="44" max="44" width="14.875" style="137" customWidth="1"/>
    <col min="45" max="48" width="15.125" style="137" customWidth="1"/>
    <col min="49" max="16384" width="9" style="137"/>
  </cols>
  <sheetData>
    <row r="1" spans="1:48" s="138" customFormat="1" ht="46.5" customHeight="1">
      <c r="A1" s="82" t="s">
        <v>19</v>
      </c>
      <c r="B1" s="83"/>
      <c r="C1" s="83"/>
      <c r="D1" s="83"/>
      <c r="E1" s="83"/>
      <c r="F1" s="83"/>
      <c r="G1" s="83"/>
      <c r="H1" s="83"/>
      <c r="I1" s="83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</row>
    <row r="2" spans="1:48" s="113" customFormat="1" ht="27.75" customHeight="1">
      <c r="B2" s="139"/>
      <c r="C2" s="88"/>
      <c r="D2" s="88"/>
      <c r="E2" s="88"/>
      <c r="F2" s="88"/>
    </row>
    <row r="3" spans="1:48" s="113" customFormat="1" ht="31.5" customHeight="1">
      <c r="A3" s="86" t="s">
        <v>20</v>
      </c>
      <c r="B3" s="87">
        <v>2008</v>
      </c>
      <c r="C3" s="88"/>
      <c r="D3" s="88"/>
      <c r="E3" s="88"/>
      <c r="F3" s="8">
        <v>2009</v>
      </c>
      <c r="G3" s="85"/>
      <c r="H3" s="85"/>
      <c r="I3" s="85"/>
      <c r="J3" s="8">
        <v>2010</v>
      </c>
      <c r="K3" s="85"/>
      <c r="L3" s="85"/>
      <c r="M3" s="85"/>
      <c r="N3" s="8">
        <v>2011</v>
      </c>
      <c r="O3" s="85"/>
      <c r="P3" s="85"/>
      <c r="Q3" s="85"/>
      <c r="R3" s="8">
        <v>2012</v>
      </c>
      <c r="S3" s="85"/>
      <c r="T3" s="85"/>
      <c r="U3" s="85"/>
      <c r="V3" s="8">
        <v>2013</v>
      </c>
      <c r="W3" s="85"/>
      <c r="X3" s="85"/>
      <c r="Y3" s="85"/>
      <c r="Z3" s="8">
        <v>2014</v>
      </c>
      <c r="AA3" s="85"/>
      <c r="AB3" s="85"/>
      <c r="AC3" s="85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</row>
    <row r="4" spans="1:48" s="133" customFormat="1" ht="31.5" customHeight="1">
      <c r="A4" s="89" t="s">
        <v>29</v>
      </c>
      <c r="B4" s="90" t="s">
        <v>30</v>
      </c>
      <c r="C4" s="90" t="s">
        <v>31</v>
      </c>
      <c r="D4" s="90" t="s">
        <v>32</v>
      </c>
      <c r="E4" s="90" t="s">
        <v>33</v>
      </c>
      <c r="F4" s="91" t="s">
        <v>34</v>
      </c>
      <c r="G4" s="91" t="s">
        <v>35</v>
      </c>
      <c r="H4" s="14" t="s">
        <v>36</v>
      </c>
      <c r="I4" s="14" t="s">
        <v>37</v>
      </c>
      <c r="J4" s="14" t="s">
        <v>38</v>
      </c>
      <c r="K4" s="14" t="s">
        <v>39</v>
      </c>
      <c r="L4" s="14" t="s">
        <v>40</v>
      </c>
      <c r="M4" s="14" t="s">
        <v>41</v>
      </c>
      <c r="N4" s="14" t="s">
        <v>42</v>
      </c>
      <c r="O4" s="14" t="s">
        <v>43</v>
      </c>
      <c r="P4" s="14" t="s">
        <v>44</v>
      </c>
      <c r="Q4" s="14" t="s">
        <v>45</v>
      </c>
      <c r="R4" s="15" t="s">
        <v>46</v>
      </c>
      <c r="S4" s="15" t="s">
        <v>47</v>
      </c>
      <c r="T4" s="15" t="s">
        <v>48</v>
      </c>
      <c r="U4" s="15" t="s">
        <v>49</v>
      </c>
      <c r="V4" s="15" t="s">
        <v>50</v>
      </c>
      <c r="W4" s="15" t="s">
        <v>51</v>
      </c>
      <c r="X4" s="15" t="s">
        <v>52</v>
      </c>
      <c r="Y4" s="15" t="s">
        <v>53</v>
      </c>
      <c r="Z4" s="15" t="s">
        <v>54</v>
      </c>
      <c r="AA4" s="15" t="s">
        <v>55</v>
      </c>
      <c r="AB4" s="15" t="s">
        <v>56</v>
      </c>
      <c r="AC4" s="15" t="s">
        <v>57</v>
      </c>
      <c r="AD4" s="15" t="s">
        <v>81</v>
      </c>
      <c r="AE4" s="15" t="s">
        <v>82</v>
      </c>
      <c r="AF4" s="15" t="s">
        <v>83</v>
      </c>
      <c r="AG4" s="15" t="s">
        <v>84</v>
      </c>
      <c r="AH4" s="15" t="s">
        <v>87</v>
      </c>
      <c r="AI4" s="15" t="s">
        <v>88</v>
      </c>
      <c r="AJ4" s="15" t="s">
        <v>89</v>
      </c>
      <c r="AK4" s="15" t="s">
        <v>90</v>
      </c>
      <c r="AL4" s="92" t="s">
        <v>86</v>
      </c>
      <c r="AM4" s="92" t="s">
        <v>92</v>
      </c>
      <c r="AN4" s="92" t="s">
        <v>93</v>
      </c>
      <c r="AO4" s="92" t="s">
        <v>94</v>
      </c>
      <c r="AP4" s="15" t="s">
        <v>95</v>
      </c>
      <c r="AQ4" s="15" t="s">
        <v>96</v>
      </c>
      <c r="AR4" s="15" t="s">
        <v>97</v>
      </c>
      <c r="AS4" s="15" t="s">
        <v>98</v>
      </c>
      <c r="AT4" s="92" t="s">
        <v>100</v>
      </c>
      <c r="AU4" s="92" t="s">
        <v>104</v>
      </c>
      <c r="AV4" s="92" t="s">
        <v>110</v>
      </c>
    </row>
    <row r="5" spans="1:48" s="134" customFormat="1" ht="31.5" customHeight="1">
      <c r="A5" s="93" t="s">
        <v>58</v>
      </c>
      <c r="B5" s="94">
        <v>14085.444</v>
      </c>
      <c r="C5" s="94">
        <v>14367.165000000001</v>
      </c>
      <c r="D5" s="94">
        <v>14430.594000000001</v>
      </c>
      <c r="E5" s="94">
        <v>14525.655000000001</v>
      </c>
      <c r="F5" s="94">
        <v>14731.359999999999</v>
      </c>
      <c r="G5" s="94">
        <v>14931.277</v>
      </c>
      <c r="H5" s="94">
        <v>15159.258</v>
      </c>
      <c r="I5" s="94">
        <v>15303.172</v>
      </c>
      <c r="J5" s="94">
        <v>15679.282999999999</v>
      </c>
      <c r="K5" s="94">
        <v>15927.956</v>
      </c>
      <c r="L5" s="94">
        <v>16179.165999999999</v>
      </c>
      <c r="M5" s="94">
        <v>16417.474999999999</v>
      </c>
      <c r="N5" s="94">
        <v>16725.524000000001</v>
      </c>
      <c r="O5" s="94">
        <v>16776.420999999998</v>
      </c>
      <c r="P5" s="94">
        <v>17042.148999999998</v>
      </c>
      <c r="Q5" s="94">
        <v>17307.292000000001</v>
      </c>
      <c r="R5" s="94">
        <v>17434.752</v>
      </c>
      <c r="S5" s="94">
        <v>17389.462</v>
      </c>
      <c r="T5" s="94">
        <v>17416.396000000001</v>
      </c>
      <c r="U5" s="94">
        <v>17435.949000000001</v>
      </c>
      <c r="V5" s="94">
        <v>17370.972000000002</v>
      </c>
      <c r="W5" s="94">
        <v>17354.087</v>
      </c>
      <c r="X5" s="94">
        <v>17204.882000000001</v>
      </c>
      <c r="Y5" s="94">
        <v>17299.899000000001</v>
      </c>
      <c r="Z5" s="94">
        <v>17291.375</v>
      </c>
      <c r="AA5" s="95">
        <v>17561.798999999999</v>
      </c>
      <c r="AB5" s="95">
        <v>17952.121999999999</v>
      </c>
      <c r="AC5" s="95">
        <v>18052.745999999999</v>
      </c>
      <c r="AD5" s="95">
        <v>18178.167000000001</v>
      </c>
      <c r="AE5" s="95">
        <v>18368.379000000001</v>
      </c>
      <c r="AF5" s="95">
        <v>18514.206999999999</v>
      </c>
      <c r="AG5" s="95">
        <v>18721</v>
      </c>
      <c r="AH5" s="95">
        <v>18843.378000000001</v>
      </c>
      <c r="AI5" s="95">
        <v>18997.347000000002</v>
      </c>
      <c r="AJ5" s="95">
        <f>SUM(AJ7:AJ10)</f>
        <v>19236.344000000001</v>
      </c>
      <c r="AK5" s="95">
        <f>SUM(AK7:AK10)</f>
        <v>19397.464</v>
      </c>
      <c r="AL5" s="95">
        <v>19689.032999999999</v>
      </c>
      <c r="AM5" s="95">
        <v>19918</v>
      </c>
      <c r="AN5" s="95">
        <f>SUM(AN7:AN10)</f>
        <v>20140.112000000001</v>
      </c>
      <c r="AO5" s="95">
        <f>SUM(AO7:AO10)</f>
        <v>20319.896000000001</v>
      </c>
      <c r="AP5" s="95">
        <v>20623.074000000001</v>
      </c>
      <c r="AQ5" s="95">
        <v>20787.13</v>
      </c>
      <c r="AR5" s="95">
        <v>20960.143</v>
      </c>
      <c r="AS5" s="95">
        <v>21138.47</v>
      </c>
      <c r="AT5" s="95">
        <v>21333.414000000001</v>
      </c>
      <c r="AU5" s="95">
        <v>21549.275000000001</v>
      </c>
      <c r="AV5" s="95">
        <v>21771.395</v>
      </c>
    </row>
    <row r="6" spans="1:48" s="134" customFormat="1" ht="31.5" hidden="1" customHeight="1">
      <c r="A6" s="96" t="s">
        <v>59</v>
      </c>
      <c r="B6" s="97">
        <v>9100.3729999999996</v>
      </c>
      <c r="C6" s="97">
        <v>7849.2610000000004</v>
      </c>
      <c r="D6" s="97">
        <v>6850.723</v>
      </c>
      <c r="E6" s="97">
        <v>6099.152</v>
      </c>
      <c r="F6" s="97">
        <v>5315.1149999999998</v>
      </c>
      <c r="G6" s="97">
        <v>4295.0290000000005</v>
      </c>
      <c r="H6" s="97">
        <v>3492.0399999999991</v>
      </c>
      <c r="I6" s="97">
        <v>2908.503999999999</v>
      </c>
      <c r="J6" s="97">
        <v>2410.625</v>
      </c>
      <c r="K6" s="97">
        <v>2011.9159999999993</v>
      </c>
      <c r="L6" s="97">
        <v>1641.261</v>
      </c>
      <c r="M6" s="97">
        <v>1392.548</v>
      </c>
      <c r="N6" s="97">
        <v>1104.634</v>
      </c>
      <c r="O6" s="97">
        <v>532.71900000000005</v>
      </c>
      <c r="P6" s="97">
        <v>292.666</v>
      </c>
      <c r="Q6" s="97">
        <v>99.834999999999994</v>
      </c>
      <c r="R6" s="97">
        <v>23.209</v>
      </c>
      <c r="S6" s="97">
        <v>19.202999999999999</v>
      </c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</row>
    <row r="7" spans="1:48" s="134" customFormat="1" ht="31.5" customHeight="1">
      <c r="A7" s="96" t="s">
        <v>60</v>
      </c>
      <c r="B7" s="97">
        <v>4839.7809999999999</v>
      </c>
      <c r="C7" s="97">
        <v>6316.0010000000002</v>
      </c>
      <c r="D7" s="97">
        <v>7407.8230000000003</v>
      </c>
      <c r="E7" s="97">
        <v>8266.0810000000001</v>
      </c>
      <c r="F7" s="97">
        <v>9232.23</v>
      </c>
      <c r="G7" s="97">
        <v>10417.794</v>
      </c>
      <c r="H7" s="97">
        <v>11412.093000000001</v>
      </c>
      <c r="I7" s="97">
        <v>12107.691000000001</v>
      </c>
      <c r="J7" s="97">
        <v>12957.347</v>
      </c>
      <c r="K7" s="97">
        <v>13582.119000000001</v>
      </c>
      <c r="L7" s="97">
        <v>14190.157999999999</v>
      </c>
      <c r="M7" s="97">
        <v>14647.978999999999</v>
      </c>
      <c r="N7" s="97">
        <v>15194.27</v>
      </c>
      <c r="O7" s="97">
        <v>15763.477000000001</v>
      </c>
      <c r="P7" s="97">
        <v>16098.525</v>
      </c>
      <c r="Q7" s="97">
        <v>16463.323</v>
      </c>
      <c r="R7" s="97">
        <v>16224.641</v>
      </c>
      <c r="S7" s="97">
        <v>15298.934999999999</v>
      </c>
      <c r="T7" s="97">
        <v>13991.964</v>
      </c>
      <c r="U7" s="97">
        <v>12601.165000000001</v>
      </c>
      <c r="V7" s="97">
        <v>11374.109</v>
      </c>
      <c r="W7" s="97">
        <v>10382.145999999999</v>
      </c>
      <c r="X7" s="97">
        <v>9500.6210000000028</v>
      </c>
      <c r="Y7" s="97">
        <v>8580.2489999999998</v>
      </c>
      <c r="Z7" s="97">
        <v>7838.576</v>
      </c>
      <c r="AA7" s="97">
        <v>7366.3069999999998</v>
      </c>
      <c r="AB7" s="97">
        <v>6937.2529999999997</v>
      </c>
      <c r="AC7" s="97">
        <v>6519.7790000000005</v>
      </c>
      <c r="AD7" s="97">
        <v>6073.0060000000003</v>
      </c>
      <c r="AE7" s="97">
        <v>5754.1660000000002</v>
      </c>
      <c r="AF7" s="97">
        <v>5465.8639999999996</v>
      </c>
      <c r="AG7" s="97">
        <v>5206</v>
      </c>
      <c r="AH7" s="97">
        <v>4971.1109999999999</v>
      </c>
      <c r="AI7" s="97">
        <v>4762.3620000000001</v>
      </c>
      <c r="AJ7" s="97">
        <v>4757.0200000000004</v>
      </c>
      <c r="AK7" s="97">
        <v>4630.2849999999999</v>
      </c>
      <c r="AL7" s="97">
        <v>4626.027</v>
      </c>
      <c r="AM7" s="97">
        <v>4652.0730000000003</v>
      </c>
      <c r="AN7" s="97">
        <v>4616.1170000000002</v>
      </c>
      <c r="AO7" s="97">
        <v>4553.6470000000008</v>
      </c>
      <c r="AP7" s="97">
        <v>4511.5660000000007</v>
      </c>
      <c r="AQ7" s="140">
        <v>4438.2840000000015</v>
      </c>
      <c r="AR7" s="140">
        <v>4308.1679999999978</v>
      </c>
      <c r="AS7" s="140">
        <v>4149.0349999999999</v>
      </c>
      <c r="AT7" s="97">
        <v>3940.6840000000002</v>
      </c>
      <c r="AU7" s="97">
        <v>3747.395</v>
      </c>
      <c r="AV7" s="97">
        <v>3546.9850000000001</v>
      </c>
    </row>
    <row r="8" spans="1:48" s="134" customFormat="1" ht="31.5" customHeight="1">
      <c r="A8" s="96" t="s">
        <v>61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>
        <v>350.92099999999999</v>
      </c>
      <c r="S8" s="97">
        <v>1169.7819999999999</v>
      </c>
      <c r="T8" s="97">
        <v>2488.125</v>
      </c>
      <c r="U8" s="97">
        <v>3900.4740000000002</v>
      </c>
      <c r="V8" s="97">
        <v>5068.4139999999998</v>
      </c>
      <c r="W8" s="97">
        <v>6057.0420000000004</v>
      </c>
      <c r="X8" s="97">
        <v>6824.37</v>
      </c>
      <c r="Y8" s="97">
        <v>7874.0649999999996</v>
      </c>
      <c r="Z8" s="97">
        <v>8632.7160000000003</v>
      </c>
      <c r="AA8" s="97">
        <v>9405.6820000000007</v>
      </c>
      <c r="AB8" s="97">
        <v>10244.365</v>
      </c>
      <c r="AC8" s="97">
        <v>10780.305</v>
      </c>
      <c r="AD8" s="97">
        <v>11363.87</v>
      </c>
      <c r="AE8" s="97">
        <v>11882.784</v>
      </c>
      <c r="AF8" s="97">
        <v>12334.708000000001</v>
      </c>
      <c r="AG8" s="97">
        <v>12832</v>
      </c>
      <c r="AH8" s="97">
        <v>13208.611000000001</v>
      </c>
      <c r="AI8" s="97">
        <v>13615.369000000001</v>
      </c>
      <c r="AJ8" s="97">
        <v>13920.927</v>
      </c>
      <c r="AK8" s="97">
        <v>14261.509</v>
      </c>
      <c r="AL8" s="97">
        <v>14608.217000000001</v>
      </c>
      <c r="AM8" s="97">
        <v>14869.039000000001</v>
      </c>
      <c r="AN8" s="97">
        <v>15179.147999999999</v>
      </c>
      <c r="AO8" s="97">
        <v>15461.824000000001</v>
      </c>
      <c r="AP8" s="97">
        <v>15866.724</v>
      </c>
      <c r="AQ8" s="97">
        <v>16223.781999999999</v>
      </c>
      <c r="AR8" s="97">
        <v>16611.598000000002</v>
      </c>
      <c r="AS8" s="97">
        <v>16971.134999999998</v>
      </c>
      <c r="AT8" s="97">
        <v>17392.73</v>
      </c>
      <c r="AU8" s="97">
        <v>17382.563999999998</v>
      </c>
      <c r="AV8" s="97">
        <v>17169.25</v>
      </c>
    </row>
    <row r="9" spans="1:48" s="134" customFormat="1" ht="31.5" customHeight="1">
      <c r="A9" s="96" t="s">
        <v>105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 t="s">
        <v>107</v>
      </c>
      <c r="AM9" s="97" t="s">
        <v>107</v>
      </c>
      <c r="AN9" s="97" t="s">
        <v>107</v>
      </c>
      <c r="AO9" s="97" t="s">
        <v>107</v>
      </c>
      <c r="AP9" s="97" t="s">
        <v>107</v>
      </c>
      <c r="AQ9" s="97" t="s">
        <v>107</v>
      </c>
      <c r="AR9" s="97" t="s">
        <v>107</v>
      </c>
      <c r="AS9" s="97" t="s">
        <v>107</v>
      </c>
      <c r="AT9" s="97" t="s">
        <v>107</v>
      </c>
      <c r="AU9" s="97">
        <v>419.31599999999997</v>
      </c>
      <c r="AV9" s="97">
        <v>1055.1600000000001</v>
      </c>
    </row>
    <row r="10" spans="1:48" s="134" customFormat="1" ht="31.5" customHeight="1">
      <c r="A10" s="98" t="s">
        <v>62</v>
      </c>
      <c r="B10" s="99">
        <v>145.29</v>
      </c>
      <c r="C10" s="99">
        <v>201.90299999999999</v>
      </c>
      <c r="D10" s="99">
        <v>172.048</v>
      </c>
      <c r="E10" s="99">
        <v>160.422</v>
      </c>
      <c r="F10" s="99">
        <v>184.01499999999999</v>
      </c>
      <c r="G10" s="99">
        <v>218.45400000000001</v>
      </c>
      <c r="H10" s="99">
        <v>255.125</v>
      </c>
      <c r="I10" s="99">
        <v>286.97699999999998</v>
      </c>
      <c r="J10" s="99">
        <v>311.31099999999998</v>
      </c>
      <c r="K10" s="99">
        <v>333.92099999999999</v>
      </c>
      <c r="L10" s="99">
        <v>347.74700000000001</v>
      </c>
      <c r="M10" s="99">
        <v>376.94799999999998</v>
      </c>
      <c r="N10" s="99">
        <v>426.62</v>
      </c>
      <c r="O10" s="99">
        <v>480.22500000000002</v>
      </c>
      <c r="P10" s="99">
        <v>650.95799999999997</v>
      </c>
      <c r="Q10" s="99">
        <v>744.13400000000001</v>
      </c>
      <c r="R10" s="99">
        <v>835.98099999999999</v>
      </c>
      <c r="S10" s="99">
        <v>901.54200000000003</v>
      </c>
      <c r="T10" s="99">
        <v>936.30700000000002</v>
      </c>
      <c r="U10" s="99">
        <v>934.31</v>
      </c>
      <c r="V10" s="99">
        <v>928.44899999999996</v>
      </c>
      <c r="W10" s="99">
        <v>914.899</v>
      </c>
      <c r="X10" s="99">
        <v>879.89099999999996</v>
      </c>
      <c r="Y10" s="99">
        <v>845.58500000000004</v>
      </c>
      <c r="Z10" s="99">
        <v>820.08299999999997</v>
      </c>
      <c r="AA10" s="99">
        <v>789.81</v>
      </c>
      <c r="AB10" s="99">
        <v>770.50400000000002</v>
      </c>
      <c r="AC10" s="99">
        <v>752.66200000000003</v>
      </c>
      <c r="AD10" s="99">
        <v>741</v>
      </c>
      <c r="AE10" s="99">
        <v>731</v>
      </c>
      <c r="AF10" s="99">
        <v>713.63499999999999</v>
      </c>
      <c r="AG10" s="99">
        <v>683</v>
      </c>
      <c r="AH10" s="99">
        <v>663.60599999999999</v>
      </c>
      <c r="AI10" s="99">
        <v>619.61599999999999</v>
      </c>
      <c r="AJ10" s="99">
        <v>558.39700000000005</v>
      </c>
      <c r="AK10" s="99">
        <v>505.67</v>
      </c>
      <c r="AL10" s="99">
        <v>454.78899999999999</v>
      </c>
      <c r="AM10" s="99">
        <v>396.56200000000001</v>
      </c>
      <c r="AN10" s="99">
        <v>344.84699999999998</v>
      </c>
      <c r="AO10" s="99">
        <v>304.42500000000001</v>
      </c>
      <c r="AP10" s="99">
        <v>244.78399999999999</v>
      </c>
      <c r="AQ10" s="99">
        <v>125.06399999999999</v>
      </c>
      <c r="AR10" s="99">
        <v>40.377000000000002</v>
      </c>
      <c r="AS10" s="99">
        <v>18.3</v>
      </c>
      <c r="AT10" s="99" t="s">
        <v>107</v>
      </c>
      <c r="AU10" s="99" t="s">
        <v>107</v>
      </c>
      <c r="AV10" s="99" t="s">
        <v>111</v>
      </c>
    </row>
    <row r="11" spans="1:48" s="147" customFormat="1" ht="23.25" customHeight="1">
      <c r="A11" s="148" t="s">
        <v>106</v>
      </c>
      <c r="B11" s="144"/>
      <c r="C11" s="145"/>
      <c r="D11" s="145"/>
      <c r="E11" s="145"/>
      <c r="F11" s="145"/>
      <c r="G11" s="146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</row>
    <row r="12" spans="1:48" s="147" customFormat="1" ht="23.25" customHeight="1">
      <c r="A12" s="148" t="s">
        <v>108</v>
      </c>
      <c r="B12" s="144"/>
      <c r="C12" s="145"/>
      <c r="D12" s="145"/>
      <c r="E12" s="145"/>
      <c r="F12" s="145"/>
      <c r="G12" s="146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</row>
    <row r="13" spans="1:48" s="134" customFormat="1" ht="15" customHeight="1">
      <c r="A13" s="142"/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</row>
    <row r="14" spans="1:48" s="134" customFormat="1" ht="31.5" customHeight="1">
      <c r="A14" s="143"/>
      <c r="B14" s="87">
        <v>2008</v>
      </c>
      <c r="C14" s="88"/>
      <c r="D14" s="88"/>
      <c r="E14" s="88"/>
      <c r="F14" s="8">
        <v>2009</v>
      </c>
      <c r="G14" s="85"/>
      <c r="H14" s="85"/>
      <c r="I14" s="85"/>
      <c r="J14" s="8">
        <v>2010</v>
      </c>
      <c r="K14" s="85"/>
      <c r="L14" s="85"/>
      <c r="M14" s="85"/>
      <c r="N14" s="8">
        <v>2011</v>
      </c>
      <c r="O14" s="85"/>
      <c r="P14" s="85"/>
      <c r="Q14" s="85"/>
      <c r="R14" s="8">
        <v>2012</v>
      </c>
      <c r="S14" s="101"/>
      <c r="T14" s="101"/>
      <c r="U14" s="101"/>
      <c r="V14" s="8">
        <v>2013</v>
      </c>
      <c r="W14" s="101"/>
      <c r="X14" s="101"/>
      <c r="Y14" s="101"/>
      <c r="Z14" s="8">
        <v>2014</v>
      </c>
      <c r="AA14" s="101"/>
      <c r="AB14" s="101"/>
      <c r="AC14" s="101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3"/>
      <c r="AR14" s="113"/>
      <c r="AS14" s="113"/>
      <c r="AT14" s="8">
        <v>2019</v>
      </c>
      <c r="AU14" s="10"/>
      <c r="AV14" s="10"/>
    </row>
    <row r="15" spans="1:48" s="134" customFormat="1" ht="31.5" customHeight="1">
      <c r="A15" s="89" t="s">
        <v>63</v>
      </c>
      <c r="B15" s="90" t="s">
        <v>30</v>
      </c>
      <c r="C15" s="90" t="s">
        <v>31</v>
      </c>
      <c r="D15" s="90" t="s">
        <v>32</v>
      </c>
      <c r="E15" s="90" t="s">
        <v>33</v>
      </c>
      <c r="F15" s="91" t="s">
        <v>34</v>
      </c>
      <c r="G15" s="91" t="s">
        <v>35</v>
      </c>
      <c r="H15" s="14" t="s">
        <v>36</v>
      </c>
      <c r="I15" s="14" t="s">
        <v>37</v>
      </c>
      <c r="J15" s="14" t="s">
        <v>38</v>
      </c>
      <c r="K15" s="14" t="s">
        <v>39</v>
      </c>
      <c r="L15" s="14" t="s">
        <v>40</v>
      </c>
      <c r="M15" s="14" t="s">
        <v>41</v>
      </c>
      <c r="N15" s="14" t="s">
        <v>42</v>
      </c>
      <c r="O15" s="14" t="s">
        <v>43</v>
      </c>
      <c r="P15" s="14" t="s">
        <v>44</v>
      </c>
      <c r="Q15" s="14" t="s">
        <v>45</v>
      </c>
      <c r="R15" s="15" t="s">
        <v>46</v>
      </c>
      <c r="S15" s="15" t="s">
        <v>47</v>
      </c>
      <c r="T15" s="15" t="s">
        <v>48</v>
      </c>
      <c r="U15" s="15" t="s">
        <v>49</v>
      </c>
      <c r="V15" s="15" t="s">
        <v>50</v>
      </c>
      <c r="W15" s="15" t="s">
        <v>51</v>
      </c>
      <c r="X15" s="15" t="s">
        <v>52</v>
      </c>
      <c r="Y15" s="15" t="s">
        <v>53</v>
      </c>
      <c r="Z15" s="15" t="s">
        <v>54</v>
      </c>
      <c r="AA15" s="15" t="s">
        <v>55</v>
      </c>
      <c r="AB15" s="15" t="s">
        <v>56</v>
      </c>
      <c r="AC15" s="15" t="s">
        <v>57</v>
      </c>
      <c r="AD15" s="15" t="s">
        <v>81</v>
      </c>
      <c r="AE15" s="15" t="s">
        <v>82</v>
      </c>
      <c r="AF15" s="15" t="s">
        <v>83</v>
      </c>
      <c r="AG15" s="15" t="s">
        <v>84</v>
      </c>
      <c r="AH15" s="15" t="s">
        <v>76</v>
      </c>
      <c r="AI15" s="15" t="s">
        <v>80</v>
      </c>
      <c r="AJ15" s="15" t="s">
        <v>91</v>
      </c>
      <c r="AK15" s="15" t="s">
        <v>85</v>
      </c>
      <c r="AL15" s="92" t="s">
        <v>86</v>
      </c>
      <c r="AM15" s="92" t="s">
        <v>92</v>
      </c>
      <c r="AN15" s="92" t="s">
        <v>93</v>
      </c>
      <c r="AO15" s="92" t="s">
        <v>94</v>
      </c>
      <c r="AP15" s="15" t="s">
        <v>95</v>
      </c>
      <c r="AQ15" s="15" t="s">
        <v>96</v>
      </c>
      <c r="AR15" s="15" t="s">
        <v>97</v>
      </c>
      <c r="AS15" s="15" t="s">
        <v>98</v>
      </c>
      <c r="AT15" s="92" t="s">
        <v>99</v>
      </c>
      <c r="AU15" s="92" t="s">
        <v>104</v>
      </c>
      <c r="AV15" s="92" t="s">
        <v>110</v>
      </c>
    </row>
    <row r="16" spans="1:48" s="134" customFormat="1" ht="31.5" customHeight="1">
      <c r="A16" s="102" t="s">
        <v>64</v>
      </c>
      <c r="B16" s="103">
        <v>13940.154</v>
      </c>
      <c r="C16" s="103">
        <v>14165.262000000001</v>
      </c>
      <c r="D16" s="103">
        <v>14258.546</v>
      </c>
      <c r="E16" s="103">
        <v>14365.233</v>
      </c>
      <c r="F16" s="103">
        <v>14547.344999999999</v>
      </c>
      <c r="G16" s="103">
        <v>14712.823</v>
      </c>
      <c r="H16" s="103">
        <v>14904.133</v>
      </c>
      <c r="I16" s="103">
        <v>15016.195</v>
      </c>
      <c r="J16" s="103">
        <v>15367.972</v>
      </c>
      <c r="K16" s="103">
        <v>15594.035</v>
      </c>
      <c r="L16" s="103">
        <v>15831.419</v>
      </c>
      <c r="M16" s="103">
        <v>16040.527</v>
      </c>
      <c r="N16" s="103">
        <v>16298.904</v>
      </c>
      <c r="O16" s="103">
        <v>16296.196</v>
      </c>
      <c r="P16" s="103">
        <v>16391.190999999999</v>
      </c>
      <c r="Q16" s="103">
        <v>16563.157999999999</v>
      </c>
      <c r="R16" s="103">
        <v>16598.771000000001</v>
      </c>
      <c r="S16" s="103">
        <v>16487.919999999998</v>
      </c>
      <c r="T16" s="103">
        <v>16480.089</v>
      </c>
      <c r="U16" s="103">
        <v>16501.638999999999</v>
      </c>
      <c r="V16" s="103">
        <v>16442.523000000001</v>
      </c>
      <c r="W16" s="103">
        <v>16439.187999999998</v>
      </c>
      <c r="X16" s="103">
        <v>16324.991</v>
      </c>
      <c r="Y16" s="103">
        <v>16454.313999999998</v>
      </c>
      <c r="Z16" s="103">
        <v>16471.292000000001</v>
      </c>
      <c r="AA16" s="103">
        <v>16771.989000000001</v>
      </c>
      <c r="AB16" s="103">
        <v>17181.617999999999</v>
      </c>
      <c r="AC16" s="103">
        <v>17300.083999999999</v>
      </c>
      <c r="AD16" s="103">
        <v>17437</v>
      </c>
      <c r="AE16" s="103">
        <v>17636.95</v>
      </c>
      <c r="AF16" s="103">
        <v>17800.572</v>
      </c>
      <c r="AG16" s="103">
        <v>18038</v>
      </c>
      <c r="AH16" s="103">
        <v>18179.772000000001</v>
      </c>
      <c r="AI16" s="103">
        <v>18377.731</v>
      </c>
      <c r="AJ16" s="103">
        <v>18677.947</v>
      </c>
      <c r="AK16" s="103">
        <v>18891.794000000002</v>
      </c>
      <c r="AL16" s="103">
        <v>19234.243999999999</v>
      </c>
      <c r="AM16" s="103">
        <v>19521.112000000001</v>
      </c>
      <c r="AN16" s="103">
        <v>19795.264999999999</v>
      </c>
      <c r="AO16" s="103">
        <v>20015.471000000001</v>
      </c>
      <c r="AP16" s="103">
        <v>20378.29</v>
      </c>
      <c r="AQ16" s="103">
        <v>20662.065999999999</v>
      </c>
      <c r="AR16" s="103">
        <v>20919.766</v>
      </c>
      <c r="AS16" s="103">
        <v>21120.17</v>
      </c>
      <c r="AT16" s="103">
        <v>21333.414000000001</v>
      </c>
      <c r="AU16" s="103">
        <v>21549.275000000001</v>
      </c>
      <c r="AV16" s="103">
        <v>21771.395</v>
      </c>
    </row>
    <row r="17" spans="1:51" s="113" customFormat="1" ht="31.5" customHeight="1">
      <c r="A17" s="104" t="s">
        <v>21</v>
      </c>
      <c r="B17" s="105">
        <v>2343</v>
      </c>
      <c r="C17" s="105">
        <v>2350</v>
      </c>
      <c r="D17" s="105">
        <v>1788</v>
      </c>
      <c r="E17" s="105">
        <v>1463</v>
      </c>
      <c r="F17" s="105">
        <v>1623</v>
      </c>
      <c r="G17" s="105">
        <v>2174</v>
      </c>
      <c r="H17" s="105">
        <v>1816</v>
      </c>
      <c r="I17" s="105">
        <v>1551</v>
      </c>
      <c r="J17" s="105">
        <v>1855</v>
      </c>
      <c r="K17" s="105">
        <v>1752</v>
      </c>
      <c r="L17" s="105">
        <v>2037</v>
      </c>
      <c r="M17" s="105">
        <v>1636</v>
      </c>
      <c r="N17" s="105">
        <v>1684</v>
      </c>
      <c r="O17" s="105">
        <v>1861</v>
      </c>
      <c r="P17" s="105">
        <v>1621</v>
      </c>
      <c r="Q17" s="105">
        <v>1808</v>
      </c>
      <c r="R17" s="105">
        <v>1422.7650000000001</v>
      </c>
      <c r="S17" s="105">
        <v>1270.857</v>
      </c>
      <c r="T17" s="105">
        <v>1501.575</v>
      </c>
      <c r="U17" s="105">
        <v>1280.1020000000001</v>
      </c>
      <c r="V17" s="105">
        <v>1272.5709999999999</v>
      </c>
      <c r="W17" s="105">
        <v>1223.7760000000001</v>
      </c>
      <c r="X17" s="105">
        <v>1080.4349999999999</v>
      </c>
      <c r="Y17" s="105">
        <v>1403.588</v>
      </c>
      <c r="Z17" s="105">
        <v>1476.758</v>
      </c>
      <c r="AA17" s="105">
        <v>1459.374</v>
      </c>
      <c r="AB17" s="105">
        <v>1792.8130000000001</v>
      </c>
      <c r="AC17" s="105">
        <v>1254.809</v>
      </c>
      <c r="AD17" s="105">
        <v>1393</v>
      </c>
      <c r="AE17" s="105">
        <v>1179</v>
      </c>
      <c r="AF17" s="105">
        <v>1115</v>
      </c>
      <c r="AG17" s="105">
        <v>1215</v>
      </c>
      <c r="AH17" s="105">
        <v>1144.5730000000001</v>
      </c>
      <c r="AI17" s="105">
        <v>1133.586</v>
      </c>
      <c r="AJ17" s="105">
        <v>1241.316</v>
      </c>
      <c r="AK17" s="105">
        <v>1243.9079999999999</v>
      </c>
      <c r="AL17" s="105">
        <v>1243.0150000000001</v>
      </c>
      <c r="AM17" s="105">
        <v>1224.7</v>
      </c>
      <c r="AN17" s="105">
        <v>1270.134</v>
      </c>
      <c r="AO17" s="105">
        <v>1263.645</v>
      </c>
      <c r="AP17" s="105">
        <v>1210.749</v>
      </c>
      <c r="AQ17" s="105">
        <v>1159.758</v>
      </c>
      <c r="AR17" s="105">
        <v>1199.6420000000001</v>
      </c>
      <c r="AS17" s="105">
        <v>1178.807</v>
      </c>
      <c r="AT17" s="105">
        <v>1180.921</v>
      </c>
      <c r="AU17" s="105">
        <v>1133.1869999999999</v>
      </c>
      <c r="AV17" s="105">
        <v>1077.4490000000001</v>
      </c>
      <c r="AW17" s="141"/>
      <c r="AX17" s="141"/>
      <c r="AY17" s="141"/>
    </row>
    <row r="18" spans="1:51" s="113" customFormat="1" ht="31.5" customHeight="1">
      <c r="A18" s="104" t="s">
        <v>22</v>
      </c>
      <c r="B18" s="105">
        <v>2124</v>
      </c>
      <c r="C18" s="105">
        <v>2125</v>
      </c>
      <c r="D18" s="105">
        <v>1695</v>
      </c>
      <c r="E18" s="105">
        <v>1356</v>
      </c>
      <c r="F18" s="105">
        <v>1440</v>
      </c>
      <c r="G18" s="105">
        <v>2008</v>
      </c>
      <c r="H18" s="105">
        <v>1625</v>
      </c>
      <c r="I18" s="105">
        <v>1439</v>
      </c>
      <c r="J18" s="105">
        <v>1503</v>
      </c>
      <c r="K18" s="105">
        <v>1526</v>
      </c>
      <c r="L18" s="105">
        <v>1800</v>
      </c>
      <c r="M18" s="105">
        <v>1427</v>
      </c>
      <c r="N18" s="105">
        <v>1426</v>
      </c>
      <c r="O18" s="105">
        <v>1864</v>
      </c>
      <c r="P18" s="105">
        <v>1526</v>
      </c>
      <c r="Q18" s="105">
        <v>1636</v>
      </c>
      <c r="R18" s="105">
        <v>1387.152</v>
      </c>
      <c r="S18" s="105">
        <v>1381.7080000000001</v>
      </c>
      <c r="T18" s="105">
        <v>1509.4059999999999</v>
      </c>
      <c r="U18" s="105">
        <v>1258.5519999999999</v>
      </c>
      <c r="V18" s="105">
        <v>1331.6869999999999</v>
      </c>
      <c r="W18" s="105">
        <v>1227.1110000000001</v>
      </c>
      <c r="X18" s="106">
        <v>1194.6320000000001</v>
      </c>
      <c r="Y18" s="106">
        <v>1274.2650000000001</v>
      </c>
      <c r="Z18" s="106">
        <v>1457.693</v>
      </c>
      <c r="AA18" s="106">
        <v>1158.704</v>
      </c>
      <c r="AB18" s="106">
        <v>1382.8969999999999</v>
      </c>
      <c r="AC18" s="106">
        <v>1111.249</v>
      </c>
      <c r="AD18" s="106">
        <v>1219</v>
      </c>
      <c r="AE18" s="106">
        <v>940</v>
      </c>
      <c r="AF18" s="106">
        <v>938</v>
      </c>
      <c r="AG18" s="106">
        <v>958</v>
      </c>
      <c r="AH18" s="106">
        <v>1003</v>
      </c>
      <c r="AI18" s="106">
        <v>936</v>
      </c>
      <c r="AJ18" s="106">
        <v>941.1</v>
      </c>
      <c r="AK18" s="106">
        <v>1030.0830000000001</v>
      </c>
      <c r="AL18" s="106">
        <v>901</v>
      </c>
      <c r="AM18" s="106">
        <v>938</v>
      </c>
      <c r="AN18" s="106">
        <v>996</v>
      </c>
      <c r="AO18" s="106">
        <v>1043</v>
      </c>
      <c r="AP18" s="106">
        <v>848</v>
      </c>
      <c r="AQ18" s="106">
        <v>875.98199999999997</v>
      </c>
      <c r="AR18" s="106">
        <v>941.94200000000001</v>
      </c>
      <c r="AS18" s="106">
        <v>978.40300000000002</v>
      </c>
      <c r="AT18" s="106">
        <v>967.67700000000002</v>
      </c>
      <c r="AU18" s="106">
        <v>917.32600000000002</v>
      </c>
      <c r="AV18" s="106">
        <v>855.32899999999995</v>
      </c>
    </row>
    <row r="19" spans="1:51" s="113" customFormat="1" ht="31.5" hidden="1" customHeight="1">
      <c r="A19" s="104" t="s">
        <v>23</v>
      </c>
      <c r="B19" s="107">
        <v>291</v>
      </c>
      <c r="C19" s="107">
        <v>288</v>
      </c>
      <c r="D19" s="107">
        <v>352</v>
      </c>
      <c r="E19" s="107">
        <v>243</v>
      </c>
      <c r="F19" s="105">
        <v>214</v>
      </c>
      <c r="G19" s="105">
        <v>229</v>
      </c>
      <c r="H19" s="105">
        <v>306</v>
      </c>
      <c r="I19" s="105">
        <v>217</v>
      </c>
      <c r="J19" s="105">
        <v>195</v>
      </c>
      <c r="K19" s="105">
        <v>141</v>
      </c>
      <c r="L19" s="105">
        <v>136</v>
      </c>
      <c r="M19" s="105">
        <v>64</v>
      </c>
      <c r="N19" s="105">
        <v>69</v>
      </c>
      <c r="O19" s="105">
        <v>210</v>
      </c>
      <c r="P19" s="105">
        <v>105</v>
      </c>
      <c r="Q19" s="105">
        <v>117</v>
      </c>
      <c r="R19" s="105">
        <v>45.597000000000001</v>
      </c>
      <c r="S19" s="108">
        <v>1.6910000000000001</v>
      </c>
      <c r="T19" s="105">
        <v>0.94199999999999995</v>
      </c>
      <c r="U19" s="105">
        <v>0.65800000000000003</v>
      </c>
      <c r="V19" s="105"/>
      <c r="W19" s="108">
        <v>0</v>
      </c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</row>
    <row r="20" spans="1:51" s="113" customFormat="1" ht="31.5" customHeight="1">
      <c r="A20" s="109" t="s">
        <v>24</v>
      </c>
      <c r="B20" s="110">
        <v>219</v>
      </c>
      <c r="C20" s="110">
        <v>225</v>
      </c>
      <c r="D20" s="110">
        <v>93</v>
      </c>
      <c r="E20" s="110">
        <v>107</v>
      </c>
      <c r="F20" s="110">
        <v>182</v>
      </c>
      <c r="G20" s="110">
        <v>165</v>
      </c>
      <c r="H20" s="110">
        <v>191</v>
      </c>
      <c r="I20" s="110">
        <v>112</v>
      </c>
      <c r="J20" s="110">
        <v>352</v>
      </c>
      <c r="K20" s="110">
        <v>226</v>
      </c>
      <c r="L20" s="110">
        <v>237</v>
      </c>
      <c r="M20" s="110">
        <v>209</v>
      </c>
      <c r="N20" s="110">
        <v>258</v>
      </c>
      <c r="O20" s="110">
        <v>-2.7080000000005384</v>
      </c>
      <c r="P20" s="110">
        <v>94.994999999998981</v>
      </c>
      <c r="Q20" s="110">
        <v>171.96700000000055</v>
      </c>
      <c r="R20" s="110">
        <v>35.613</v>
      </c>
      <c r="S20" s="110">
        <v>-110.851</v>
      </c>
      <c r="T20" s="110">
        <v>-7.830999999998312</v>
      </c>
      <c r="U20" s="110">
        <v>21.550000000000182</v>
      </c>
      <c r="V20" s="110">
        <v>-59.115999999998166</v>
      </c>
      <c r="W20" s="110">
        <v>-3.335</v>
      </c>
      <c r="X20" s="110">
        <v>-114.197</v>
      </c>
      <c r="Y20" s="110">
        <f t="shared" ref="Y20:AF20" si="0">Y16-X16</f>
        <v>129.3229999999985</v>
      </c>
      <c r="Z20" s="110">
        <f t="shared" si="0"/>
        <v>16.978000000002794</v>
      </c>
      <c r="AA20" s="110">
        <f t="shared" si="0"/>
        <v>300.69700000000012</v>
      </c>
      <c r="AB20" s="110">
        <f t="shared" si="0"/>
        <v>409.62899999999718</v>
      </c>
      <c r="AC20" s="110">
        <f t="shared" si="0"/>
        <v>118.46600000000035</v>
      </c>
      <c r="AD20" s="110">
        <f t="shared" si="0"/>
        <v>136.91600000000108</v>
      </c>
      <c r="AE20" s="110">
        <f t="shared" si="0"/>
        <v>199.95000000000073</v>
      </c>
      <c r="AF20" s="110">
        <f t="shared" si="0"/>
        <v>163.62199999999939</v>
      </c>
      <c r="AG20" s="110">
        <f>AG16-AF16</f>
        <v>237.42799999999988</v>
      </c>
      <c r="AH20" s="110">
        <f>AH16-AG16</f>
        <v>141.77200000000084</v>
      </c>
      <c r="AI20" s="110">
        <f>AI16-AH16</f>
        <v>197.95899999999892</v>
      </c>
      <c r="AJ20" s="110">
        <f>AJ16-AI16</f>
        <v>300.21600000000035</v>
      </c>
      <c r="AK20" s="110">
        <f>AK16-AJ16</f>
        <v>213.84700000000157</v>
      </c>
      <c r="AL20" s="110">
        <v>342.45</v>
      </c>
      <c r="AM20" s="110">
        <v>286.86799999999999</v>
      </c>
      <c r="AN20" s="110">
        <v>274.15300000000002</v>
      </c>
      <c r="AO20" s="110">
        <v>220.20599999999999</v>
      </c>
      <c r="AP20" s="110">
        <v>362.81900000000002</v>
      </c>
      <c r="AQ20" s="110">
        <v>283.77600000000001</v>
      </c>
      <c r="AR20" s="110">
        <v>257.7</v>
      </c>
      <c r="AS20" s="110">
        <v>200</v>
      </c>
      <c r="AT20" s="110">
        <v>213.244</v>
      </c>
      <c r="AU20" s="110">
        <v>215.86099999999999</v>
      </c>
      <c r="AV20" s="110">
        <v>222.12</v>
      </c>
      <c r="AW20" s="141"/>
      <c r="AX20" s="141"/>
    </row>
    <row r="21" spans="1:51" s="147" customFormat="1" ht="23.25" customHeight="1">
      <c r="A21" s="148" t="s">
        <v>101</v>
      </c>
      <c r="B21" s="144"/>
      <c r="C21" s="145"/>
      <c r="D21" s="145"/>
      <c r="E21" s="145"/>
      <c r="F21" s="145"/>
      <c r="G21" s="146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</row>
    <row r="22" spans="1:51" s="134" customFormat="1" ht="15" customHeight="1">
      <c r="A22" s="142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</row>
    <row r="23" spans="1:51" s="133" customFormat="1" ht="22.5" customHeight="1">
      <c r="A23" s="112" t="s">
        <v>65</v>
      </c>
      <c r="B23" s="111">
        <v>4.3999999999999997E-2</v>
      </c>
      <c r="C23" s="111">
        <v>4.3999999999999997E-2</v>
      </c>
      <c r="D23" s="111">
        <v>3.2000000000000001E-2</v>
      </c>
      <c r="E23" s="111">
        <v>2.5999999999999999E-2</v>
      </c>
      <c r="F23" s="111">
        <v>2.8000000000000001E-2</v>
      </c>
      <c r="G23" s="111">
        <v>4.1000000000000002E-2</v>
      </c>
      <c r="H23" s="111">
        <v>0.03</v>
      </c>
      <c r="I23" s="111">
        <v>2.7E-2</v>
      </c>
      <c r="J23" s="111">
        <v>2.9000000000000001E-2</v>
      </c>
      <c r="K23" s="111">
        <v>0.03</v>
      </c>
      <c r="L23" s="111">
        <v>3.5000000000000003E-2</v>
      </c>
      <c r="M23" s="111">
        <v>2.9000000000000001E-2</v>
      </c>
      <c r="N23" s="111">
        <v>2.8000000000000001E-2</v>
      </c>
      <c r="O23" s="111">
        <v>3.4000000000000002E-2</v>
      </c>
      <c r="P23" s="111">
        <v>2.9000000000000001E-2</v>
      </c>
      <c r="Q23" s="111">
        <v>3.1E-2</v>
      </c>
      <c r="R23" s="111">
        <v>2.6663248735867368E-2</v>
      </c>
      <c r="S23" s="111">
        <v>2.757876650063151E-2</v>
      </c>
      <c r="T23" s="111">
        <v>3.0521776851747524E-2</v>
      </c>
      <c r="U23" s="111">
        <v>2.5000000000000001E-2</v>
      </c>
      <c r="V23" s="111">
        <v>2.7E-2</v>
      </c>
      <c r="W23" s="111">
        <v>2.4896691476263128E-2</v>
      </c>
      <c r="X23" s="111">
        <v>2.4312015742839848E-2</v>
      </c>
      <c r="Y23" s="111">
        <v>2.6296503944819381E-2</v>
      </c>
      <c r="Z23" s="111">
        <v>2.9466095281787591E-2</v>
      </c>
      <c r="AA23" s="111">
        <v>2.3E-2</v>
      </c>
      <c r="AB23" s="111">
        <v>2.7E-2</v>
      </c>
      <c r="AC23" s="111">
        <v>2.1445092682905939E-2</v>
      </c>
      <c r="AD23" s="111">
        <v>2.3E-2</v>
      </c>
      <c r="AE23" s="111">
        <v>1.7999999999999999E-2</v>
      </c>
      <c r="AF23" s="111">
        <v>1.7999999999999999E-2</v>
      </c>
      <c r="AG23" s="111">
        <v>1.7999999999999999E-2</v>
      </c>
      <c r="AH23" s="111">
        <v>1.7999999999999999E-2</v>
      </c>
      <c r="AI23" s="111">
        <v>1.7000000000000001E-2</v>
      </c>
      <c r="AJ23" s="111">
        <v>1.7000000000000001E-2</v>
      </c>
      <c r="AK23" s="111">
        <v>1.7999999999999999E-2</v>
      </c>
      <c r="AL23" s="111">
        <v>1.6E-2</v>
      </c>
      <c r="AM23" s="111">
        <v>1.6E-2</v>
      </c>
      <c r="AN23" s="111">
        <v>1.7000000000000001E-2</v>
      </c>
      <c r="AO23" s="111">
        <v>1.7000000000000001E-2</v>
      </c>
      <c r="AP23" s="111">
        <v>1.4E-2</v>
      </c>
      <c r="AQ23" s="111">
        <v>1.4E-2</v>
      </c>
      <c r="AR23" s="111">
        <v>1.4999999999999999E-2</v>
      </c>
      <c r="AS23" s="111">
        <v>1.6E-2</v>
      </c>
      <c r="AT23" s="111">
        <v>1.4999999999999999E-2</v>
      </c>
      <c r="AU23" s="111">
        <v>1.4E-2</v>
      </c>
      <c r="AV23" s="111">
        <v>1.2999999999999999E-2</v>
      </c>
    </row>
    <row r="24" spans="1:51" s="134" customFormat="1" ht="15" customHeight="1">
      <c r="A24" s="142"/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</row>
    <row r="25" spans="1:51" s="113" customFormat="1" ht="31.5" customHeight="1">
      <c r="A25" s="86" t="s">
        <v>66</v>
      </c>
      <c r="C25" s="114"/>
      <c r="E25" s="114"/>
      <c r="F25" s="8">
        <v>2009</v>
      </c>
      <c r="G25" s="85"/>
      <c r="H25" s="85"/>
      <c r="I25" s="85"/>
      <c r="J25" s="8">
        <v>2010</v>
      </c>
      <c r="K25" s="85"/>
      <c r="L25" s="85"/>
      <c r="M25" s="85"/>
      <c r="N25" s="8">
        <v>2011</v>
      </c>
      <c r="O25" s="85"/>
      <c r="P25" s="85"/>
      <c r="Q25" s="85"/>
      <c r="R25" s="8">
        <v>2012</v>
      </c>
      <c r="S25" s="85"/>
      <c r="T25" s="85"/>
      <c r="U25" s="85"/>
      <c r="V25" s="8">
        <v>2013</v>
      </c>
      <c r="W25" s="85"/>
      <c r="X25" s="85"/>
      <c r="Y25" s="85"/>
      <c r="Z25" s="8">
        <v>2014</v>
      </c>
      <c r="AA25" s="85"/>
      <c r="AB25" s="85"/>
      <c r="AC25" s="85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</row>
    <row r="26" spans="1:51" s="133" customFormat="1" ht="31.5" customHeight="1">
      <c r="A26" s="115" t="s">
        <v>67</v>
      </c>
      <c r="B26" s="90" t="s">
        <v>30</v>
      </c>
      <c r="C26" s="90" t="s">
        <v>31</v>
      </c>
      <c r="D26" s="90" t="s">
        <v>32</v>
      </c>
      <c r="E26" s="90" t="s">
        <v>33</v>
      </c>
      <c r="F26" s="91" t="s">
        <v>34</v>
      </c>
      <c r="G26" s="91" t="s">
        <v>35</v>
      </c>
      <c r="H26" s="14" t="s">
        <v>36</v>
      </c>
      <c r="I26" s="14" t="s">
        <v>37</v>
      </c>
      <c r="J26" s="14" t="s">
        <v>38</v>
      </c>
      <c r="K26" s="14" t="s">
        <v>39</v>
      </c>
      <c r="L26" s="14" t="s">
        <v>40</v>
      </c>
      <c r="M26" s="14" t="s">
        <v>41</v>
      </c>
      <c r="N26" s="14" t="s">
        <v>42</v>
      </c>
      <c r="O26" s="14" t="s">
        <v>43</v>
      </c>
      <c r="P26" s="14" t="s">
        <v>44</v>
      </c>
      <c r="Q26" s="14" t="s">
        <v>45</v>
      </c>
      <c r="R26" s="15" t="s">
        <v>46</v>
      </c>
      <c r="S26" s="15" t="s">
        <v>47</v>
      </c>
      <c r="T26" s="15" t="s">
        <v>48</v>
      </c>
      <c r="U26" s="15" t="s">
        <v>49</v>
      </c>
      <c r="V26" s="15" t="s">
        <v>50</v>
      </c>
      <c r="W26" s="15" t="s">
        <v>51</v>
      </c>
      <c r="X26" s="15" t="s">
        <v>52</v>
      </c>
      <c r="Y26" s="15" t="s">
        <v>53</v>
      </c>
      <c r="Z26" s="15" t="s">
        <v>54</v>
      </c>
      <c r="AA26" s="15" t="s">
        <v>55</v>
      </c>
      <c r="AB26" s="15" t="s">
        <v>56</v>
      </c>
      <c r="AC26" s="15" t="s">
        <v>57</v>
      </c>
      <c r="AD26" s="15" t="s">
        <v>81</v>
      </c>
      <c r="AE26" s="15" t="s">
        <v>82</v>
      </c>
      <c r="AF26" s="15" t="s">
        <v>83</v>
      </c>
      <c r="AG26" s="15" t="s">
        <v>84</v>
      </c>
      <c r="AH26" s="15" t="s">
        <v>76</v>
      </c>
      <c r="AI26" s="15" t="s">
        <v>80</v>
      </c>
      <c r="AJ26" s="15" t="s">
        <v>91</v>
      </c>
      <c r="AK26" s="15" t="s">
        <v>85</v>
      </c>
      <c r="AL26" s="92" t="s">
        <v>86</v>
      </c>
      <c r="AM26" s="92" t="s">
        <v>92</v>
      </c>
      <c r="AN26" s="92" t="s">
        <v>93</v>
      </c>
      <c r="AO26" s="92" t="s">
        <v>94</v>
      </c>
      <c r="AP26" s="15" t="s">
        <v>95</v>
      </c>
      <c r="AQ26" s="15" t="s">
        <v>96</v>
      </c>
      <c r="AR26" s="15" t="s">
        <v>97</v>
      </c>
      <c r="AS26" s="15" t="s">
        <v>98</v>
      </c>
      <c r="AT26" s="92" t="s">
        <v>99</v>
      </c>
      <c r="AU26" s="92" t="s">
        <v>104</v>
      </c>
      <c r="AV26" s="92" t="s">
        <v>110</v>
      </c>
    </row>
    <row r="27" spans="1:51" s="113" customFormat="1" ht="31.5" hidden="1" customHeight="1">
      <c r="A27" s="116" t="s">
        <v>68</v>
      </c>
      <c r="B27" s="117">
        <v>24144</v>
      </c>
      <c r="C27" s="117">
        <v>24804</v>
      </c>
      <c r="D27" s="117">
        <v>24482</v>
      </c>
      <c r="E27" s="117">
        <v>24609</v>
      </c>
      <c r="F27" s="117">
        <v>23612</v>
      </c>
      <c r="G27" s="117">
        <v>23967</v>
      </c>
      <c r="H27" s="117">
        <v>23983</v>
      </c>
      <c r="I27" s="117">
        <v>24272</v>
      </c>
      <c r="J27" s="117">
        <v>23828</v>
      </c>
      <c r="K27" s="117">
        <v>24100</v>
      </c>
      <c r="L27" s="117">
        <v>23527</v>
      </c>
      <c r="M27" s="117">
        <v>22456</v>
      </c>
      <c r="N27" s="117">
        <v>20424</v>
      </c>
      <c r="O27" s="117">
        <v>19688.828355795322</v>
      </c>
      <c r="P27" s="117">
        <v>18155</v>
      </c>
      <c r="Q27" s="117">
        <v>16574</v>
      </c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</row>
    <row r="28" spans="1:51" s="113" customFormat="1" ht="31.5" hidden="1" customHeight="1">
      <c r="A28" s="118" t="s">
        <v>25</v>
      </c>
      <c r="B28" s="119">
        <v>13122</v>
      </c>
      <c r="C28" s="119">
        <v>12955</v>
      </c>
      <c r="D28" s="119">
        <v>12852</v>
      </c>
      <c r="E28" s="119">
        <v>12753</v>
      </c>
      <c r="F28" s="119">
        <v>12600</v>
      </c>
      <c r="G28" s="119">
        <v>12551</v>
      </c>
      <c r="H28" s="119">
        <v>12573</v>
      </c>
      <c r="I28" s="119">
        <v>13066</v>
      </c>
      <c r="J28" s="119">
        <v>13398</v>
      </c>
      <c r="K28" s="119">
        <v>13717</v>
      </c>
      <c r="L28" s="119">
        <v>13881</v>
      </c>
      <c r="M28" s="119">
        <v>13480</v>
      </c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</row>
    <row r="29" spans="1:51" s="113" customFormat="1" ht="31.5" hidden="1" customHeight="1">
      <c r="A29" s="118" t="s">
        <v>26</v>
      </c>
      <c r="B29" s="119">
        <v>9531</v>
      </c>
      <c r="C29" s="119">
        <v>10354</v>
      </c>
      <c r="D29" s="119">
        <v>10128</v>
      </c>
      <c r="E29" s="119">
        <v>10321</v>
      </c>
      <c r="F29" s="119">
        <v>9481</v>
      </c>
      <c r="G29" s="119">
        <v>10040</v>
      </c>
      <c r="H29" s="119">
        <v>9970</v>
      </c>
      <c r="I29" s="119">
        <v>9874</v>
      </c>
      <c r="J29" s="119">
        <v>9228</v>
      </c>
      <c r="K29" s="119">
        <v>8931</v>
      </c>
      <c r="L29" s="119">
        <v>8184</v>
      </c>
      <c r="M29" s="119">
        <v>7633</v>
      </c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</row>
    <row r="30" spans="1:51" s="135" customFormat="1" ht="31.5" hidden="1" customHeight="1">
      <c r="A30" s="118" t="s">
        <v>69</v>
      </c>
      <c r="B30" s="119">
        <v>1491</v>
      </c>
      <c r="C30" s="119">
        <v>1495</v>
      </c>
      <c r="D30" s="119">
        <v>1501</v>
      </c>
      <c r="E30" s="119">
        <v>1535</v>
      </c>
      <c r="F30" s="119">
        <v>1531</v>
      </c>
      <c r="G30" s="119">
        <v>1375</v>
      </c>
      <c r="H30" s="119">
        <v>1440</v>
      </c>
      <c r="I30" s="119">
        <v>1332</v>
      </c>
      <c r="J30" s="119">
        <v>1202</v>
      </c>
      <c r="K30" s="119">
        <v>1452</v>
      </c>
      <c r="L30" s="119">
        <v>1462</v>
      </c>
      <c r="M30" s="119">
        <v>1343</v>
      </c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</row>
    <row r="31" spans="1:51" s="113" customFormat="1" ht="31.5" hidden="1" customHeight="1">
      <c r="A31" s="120" t="s">
        <v>70</v>
      </c>
      <c r="B31" s="119">
        <v>1491</v>
      </c>
      <c r="C31" s="121">
        <v>0</v>
      </c>
      <c r="D31" s="121">
        <v>0</v>
      </c>
      <c r="E31" s="121">
        <v>0</v>
      </c>
      <c r="F31" s="121">
        <v>0</v>
      </c>
      <c r="G31" s="121">
        <v>0</v>
      </c>
      <c r="H31" s="121">
        <v>0</v>
      </c>
      <c r="I31" s="121">
        <v>0</v>
      </c>
      <c r="J31" s="121">
        <v>0</v>
      </c>
      <c r="K31" s="121">
        <v>0</v>
      </c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</row>
    <row r="32" spans="1:51" s="113" customFormat="1" ht="31.5" hidden="1" customHeight="1">
      <c r="A32" s="116" t="s">
        <v>71</v>
      </c>
      <c r="B32" s="117">
        <v>6103</v>
      </c>
      <c r="C32" s="117">
        <v>6356</v>
      </c>
      <c r="D32" s="117">
        <v>6454</v>
      </c>
      <c r="E32" s="117">
        <v>6384</v>
      </c>
      <c r="F32" s="117">
        <v>6431</v>
      </c>
      <c r="G32" s="117">
        <v>6650</v>
      </c>
      <c r="H32" s="117">
        <v>6915</v>
      </c>
      <c r="I32" s="117">
        <v>7218</v>
      </c>
      <c r="J32" s="117">
        <v>7399</v>
      </c>
      <c r="K32" s="117">
        <v>7785</v>
      </c>
      <c r="L32" s="117">
        <v>8031</v>
      </c>
      <c r="M32" s="117">
        <v>8824</v>
      </c>
      <c r="N32" s="117">
        <v>9823</v>
      </c>
      <c r="O32" s="117">
        <v>10489.424934442295</v>
      </c>
      <c r="P32" s="117">
        <v>11454</v>
      </c>
      <c r="Q32" s="117">
        <v>12252</v>
      </c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</row>
    <row r="33" spans="1:48" s="113" customFormat="1" ht="31.5" hidden="1" customHeight="1">
      <c r="A33" s="118" t="s">
        <v>27</v>
      </c>
      <c r="B33" s="119">
        <v>0</v>
      </c>
      <c r="C33" s="119">
        <v>0</v>
      </c>
      <c r="D33" s="119">
        <v>0</v>
      </c>
      <c r="E33" s="119">
        <v>0</v>
      </c>
      <c r="F33" s="119">
        <v>0</v>
      </c>
      <c r="G33" s="119">
        <v>0</v>
      </c>
      <c r="H33" s="119">
        <v>0</v>
      </c>
      <c r="I33" s="119">
        <v>0</v>
      </c>
      <c r="J33" s="119">
        <v>0</v>
      </c>
      <c r="K33" s="119">
        <v>0</v>
      </c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</row>
    <row r="34" spans="1:48" s="113" customFormat="1" ht="31.5" hidden="1" customHeight="1">
      <c r="A34" s="120" t="s">
        <v>28</v>
      </c>
      <c r="B34" s="122">
        <v>0</v>
      </c>
      <c r="C34" s="122">
        <v>0</v>
      </c>
      <c r="D34" s="122">
        <v>0</v>
      </c>
      <c r="E34" s="122">
        <v>0</v>
      </c>
      <c r="F34" s="122">
        <v>0</v>
      </c>
      <c r="G34" s="122">
        <v>0</v>
      </c>
      <c r="H34" s="122">
        <v>0</v>
      </c>
      <c r="I34" s="122">
        <v>0</v>
      </c>
      <c r="J34" s="122">
        <v>0</v>
      </c>
      <c r="K34" s="122">
        <v>0</v>
      </c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</row>
    <row r="35" spans="1:48" s="113" customFormat="1" ht="8.25" hidden="1" customHeight="1">
      <c r="A35" s="123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</row>
    <row r="36" spans="1:48" s="113" customFormat="1" ht="22.5" hidden="1" customHeight="1">
      <c r="A36" s="125" t="s">
        <v>72</v>
      </c>
      <c r="B36" s="126">
        <v>4569</v>
      </c>
      <c r="C36" s="126">
        <v>4794</v>
      </c>
      <c r="D36" s="126">
        <v>4701</v>
      </c>
      <c r="E36" s="126">
        <v>5256</v>
      </c>
      <c r="F36" s="126">
        <v>4627</v>
      </c>
      <c r="G36" s="126">
        <v>4737</v>
      </c>
      <c r="H36" s="126">
        <v>5077</v>
      </c>
      <c r="I36" s="126">
        <v>4859</v>
      </c>
      <c r="J36" s="126">
        <v>4734</v>
      </c>
      <c r="K36" s="126">
        <v>4921</v>
      </c>
      <c r="L36" s="126">
        <v>4957</v>
      </c>
      <c r="M36" s="126">
        <v>3743</v>
      </c>
      <c r="N36" s="126">
        <v>4014</v>
      </c>
      <c r="O36" s="126">
        <v>4117.6622793302331</v>
      </c>
      <c r="P36" s="126">
        <v>3961</v>
      </c>
      <c r="Q36" s="126">
        <v>3943</v>
      </c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</row>
    <row r="37" spans="1:48" s="113" customFormat="1" ht="22.5" hidden="1" customHeight="1">
      <c r="A37" s="127" t="s">
        <v>73</v>
      </c>
      <c r="B37" s="128">
        <v>1034</v>
      </c>
      <c r="C37" s="128">
        <v>976</v>
      </c>
      <c r="D37" s="128">
        <v>685</v>
      </c>
      <c r="E37" s="128">
        <v>592</v>
      </c>
      <c r="F37" s="128">
        <v>631</v>
      </c>
      <c r="G37" s="128">
        <v>792</v>
      </c>
      <c r="H37" s="128">
        <v>659</v>
      </c>
      <c r="I37" s="128">
        <v>536</v>
      </c>
      <c r="J37" s="128">
        <v>698</v>
      </c>
      <c r="K37" s="128">
        <v>695</v>
      </c>
      <c r="L37" s="128">
        <v>805.23578791533646</v>
      </c>
      <c r="M37" s="128">
        <v>649</v>
      </c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</row>
    <row r="38" spans="1:48" s="113" customFormat="1" ht="31.5" customHeight="1">
      <c r="A38" s="100" t="s">
        <v>74</v>
      </c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</row>
    <row r="39" spans="1:48" s="136" customFormat="1" ht="31.5" customHeight="1">
      <c r="A39" s="130" t="s">
        <v>75</v>
      </c>
      <c r="B39" s="117">
        <v>30247</v>
      </c>
      <c r="C39" s="117">
        <v>31160</v>
      </c>
      <c r="D39" s="117">
        <v>30936</v>
      </c>
      <c r="E39" s="117">
        <v>30993</v>
      </c>
      <c r="F39" s="117">
        <v>30042</v>
      </c>
      <c r="G39" s="117">
        <v>30617</v>
      </c>
      <c r="H39" s="117">
        <v>30898</v>
      </c>
      <c r="I39" s="117">
        <v>31490</v>
      </c>
      <c r="J39" s="117">
        <v>31227</v>
      </c>
      <c r="K39" s="117">
        <v>31885</v>
      </c>
      <c r="L39" s="117">
        <v>31559</v>
      </c>
      <c r="M39" s="117">
        <v>31281</v>
      </c>
      <c r="N39" s="117">
        <v>30247</v>
      </c>
      <c r="O39" s="117">
        <v>30178.253290237615</v>
      </c>
      <c r="P39" s="117">
        <v>29609</v>
      </c>
      <c r="Q39" s="117">
        <v>28826</v>
      </c>
      <c r="R39" s="117">
        <v>28721.8538639615</v>
      </c>
      <c r="S39" s="117">
        <v>29447.168376640533</v>
      </c>
      <c r="T39" s="117">
        <v>29969.879530835675</v>
      </c>
      <c r="U39" s="117">
        <v>30697</v>
      </c>
      <c r="V39" s="117">
        <v>31116</v>
      </c>
      <c r="W39" s="117">
        <v>31615.485824636093</v>
      </c>
      <c r="X39" s="131">
        <v>31332.085656704545</v>
      </c>
      <c r="Y39" s="131">
        <v>32160.352715576944</v>
      </c>
      <c r="Z39" s="131">
        <v>33621.579504909037</v>
      </c>
      <c r="AA39" s="132">
        <v>34504.23493915375</v>
      </c>
      <c r="AB39" s="132">
        <v>35759.946634758468</v>
      </c>
      <c r="AC39" s="132">
        <v>36284.956880718593</v>
      </c>
      <c r="AD39" s="132">
        <v>34796</v>
      </c>
      <c r="AE39" s="132">
        <v>35357</v>
      </c>
      <c r="AF39" s="132">
        <v>35422</v>
      </c>
      <c r="AG39" s="132">
        <v>35656</v>
      </c>
      <c r="AH39" s="132">
        <v>34969</v>
      </c>
      <c r="AI39" s="132">
        <v>35291</v>
      </c>
      <c r="AJ39" s="132">
        <v>35394</v>
      </c>
      <c r="AK39" s="132">
        <v>35062</v>
      </c>
      <c r="AL39" s="132">
        <v>34537</v>
      </c>
      <c r="AM39" s="132">
        <v>34554</v>
      </c>
      <c r="AN39" s="132">
        <v>34608</v>
      </c>
      <c r="AO39" s="132">
        <v>34077</v>
      </c>
      <c r="AP39" s="132">
        <v>32283</v>
      </c>
      <c r="AQ39" s="132">
        <v>32320</v>
      </c>
      <c r="AR39" s="132">
        <v>32028</v>
      </c>
      <c r="AS39" s="132">
        <v>31450</v>
      </c>
      <c r="AT39" s="132">
        <v>31496</v>
      </c>
      <c r="AU39" s="132">
        <v>31745</v>
      </c>
      <c r="AV39" s="132">
        <v>31912</v>
      </c>
    </row>
    <row r="40" spans="1:48" s="147" customFormat="1" ht="23.25" customHeight="1">
      <c r="A40" s="148" t="s">
        <v>103</v>
      </c>
      <c r="B40" s="144"/>
      <c r="C40" s="145"/>
      <c r="D40" s="145"/>
      <c r="E40" s="145"/>
      <c r="F40" s="145"/>
      <c r="G40" s="146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</row>
    <row r="41" spans="1:48" s="134" customFormat="1" ht="15" customHeight="1">
      <c r="A41" s="142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2019-12-13T07:16:11Z</cp:lastPrinted>
  <dcterms:created xsi:type="dcterms:W3CDTF">2016-04-15T08:39:09Z</dcterms:created>
  <dcterms:modified xsi:type="dcterms:W3CDTF">2019-12-13T07:47:12Z</dcterms:modified>
</cp:coreProperties>
</file>