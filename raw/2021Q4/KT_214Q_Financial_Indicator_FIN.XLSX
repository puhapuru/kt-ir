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74883\Desktop\Rabbit Hole\1 실적발표\1 실적발표\21 4Q\최종\최최종\"/>
    </mc:Choice>
  </mc:AlternateContent>
  <bookViews>
    <workbookView xWindow="9585" yWindow="285" windowWidth="14085" windowHeight="11835" tabRatio="726" activeTab="1"/>
  </bookViews>
  <sheets>
    <sheet name="Separate" sheetId="1" r:id="rId1"/>
    <sheet name="Consolidated" sheetId="4" r:id="rId2"/>
  </sheets>
  <definedNames>
    <definedName name="_xlnm.Print_Area" localSheetId="1">Consolidated!$A$1:$V$25</definedName>
    <definedName name="_xlnm.Print_Area" localSheetId="0">Separate!$A$1:$AF$52</definedName>
  </definedNames>
  <calcPr calcId="152511"/>
</workbook>
</file>

<file path=xl/calcChain.xml><?xml version="1.0" encoding="utf-8"?>
<calcChain xmlns="http://schemas.openxmlformats.org/spreadsheetml/2006/main">
  <c r="T40" i="1" l="1"/>
  <c r="T39" i="1"/>
  <c r="AD29" i="1" l="1"/>
  <c r="AC29" i="1"/>
  <c r="AB29" i="1" l="1"/>
  <c r="S39" i="1" l="1"/>
  <c r="AA31" i="1" l="1"/>
  <c r="AA30" i="1"/>
  <c r="AA29" i="1"/>
  <c r="S40" i="1" s="1"/>
  <c r="AA25" i="1"/>
  <c r="AA24" i="1"/>
  <c r="AA23" i="1"/>
  <c r="L34" i="1" l="1"/>
  <c r="L33" i="1"/>
  <c r="L32" i="1"/>
  <c r="V31" i="1"/>
  <c r="Q31" i="1"/>
  <c r="L31" i="1"/>
  <c r="Y30" i="1"/>
  <c r="W30" i="1"/>
  <c r="V30" i="1"/>
  <c r="Q30" i="1"/>
  <c r="R30" i="1" s="1"/>
  <c r="L30" i="1"/>
  <c r="Y29" i="1"/>
  <c r="U29" i="1"/>
  <c r="V29" i="1" s="1"/>
  <c r="R39" i="1" s="1"/>
  <c r="R40" i="1" s="1"/>
  <c r="P29" i="1"/>
  <c r="Q29" i="1" s="1"/>
  <c r="R29" i="1" s="1"/>
  <c r="S29" i="1" s="1"/>
  <c r="T29" i="1" s="1"/>
  <c r="O29" i="1"/>
  <c r="N29" i="1"/>
  <c r="M29" i="1"/>
  <c r="K29" i="1"/>
  <c r="L29" i="1" s="1"/>
  <c r="J29" i="1"/>
  <c r="I29" i="1"/>
  <c r="V25" i="1"/>
  <c r="Q25" i="1"/>
  <c r="L25" i="1"/>
  <c r="V24" i="1"/>
  <c r="Q24" i="1"/>
  <c r="L24" i="1"/>
  <c r="V23" i="1"/>
  <c r="Q23" i="1"/>
  <c r="L23" i="1"/>
  <c r="V20" i="1"/>
  <c r="Q20" i="1"/>
  <c r="L20" i="1"/>
  <c r="L19" i="1"/>
  <c r="L18" i="1"/>
  <c r="L17" i="1"/>
  <c r="L16" i="1"/>
  <c r="L15" i="1"/>
  <c r="U12" i="1"/>
  <c r="T12" i="1"/>
  <c r="S12" i="1"/>
  <c r="R12" i="1"/>
  <c r="Q11" i="1"/>
  <c r="L11" i="1"/>
  <c r="Q10" i="1"/>
  <c r="L10" i="1"/>
  <c r="Q9" i="1"/>
  <c r="L9" i="1"/>
  <c r="L8" i="1"/>
  <c r="L7" i="1"/>
  <c r="Q6" i="1"/>
  <c r="L6" i="1"/>
  <c r="L12" i="1" l="1"/>
  <c r="W29" i="1"/>
  <c r="G25" i="4" l="1"/>
</calcChain>
</file>

<file path=xl/sharedStrings.xml><?xml version="1.0" encoding="utf-8"?>
<sst xmlns="http://schemas.openxmlformats.org/spreadsheetml/2006/main" count="210" uniqueCount="132">
  <si>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</si>
  <si>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</si>
  <si>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</si>
  <si>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</si>
  <si>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</si>
  <si>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</si>
  <si>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Net Debt to Equity</t>
    <phoneticPr fontId="1" type="noConversion"/>
  </si>
  <si>
    <t>√</t>
    <phoneticPr fontId="1" type="noConversion"/>
  </si>
  <si>
    <t>Debt Status</t>
    <phoneticPr fontId="1" type="noConversion"/>
  </si>
  <si>
    <t>KT Financial Indicators (Consolidated)</t>
    <phoneticPr fontId="1" type="noConversion"/>
  </si>
  <si>
    <t>Net income attributable to KT</t>
    <phoneticPr fontId="1" type="noConversion"/>
  </si>
  <si>
    <t>Ratio (service rev.)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</si>
  <si>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</si>
  <si>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</si>
  <si>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</si>
  <si>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</si>
  <si>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</si>
  <si>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</si>
  <si>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</si>
  <si>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</si>
  <si>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</si>
  <si>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</si>
  <si>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</si>
  <si>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 19</t>
    <phoneticPr fontId="1" type="noConversion"/>
  </si>
  <si>
    <t>2Q 19</t>
    <phoneticPr fontId="1" type="noConversion"/>
  </si>
  <si>
    <t>3Q 19</t>
    <phoneticPr fontId="1" type="noConversion"/>
  </si>
  <si>
    <t>3Q 19</t>
    <phoneticPr fontId="1" type="noConversion"/>
  </si>
  <si>
    <t>4Q 19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</si>
  <si>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</si>
  <si>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1Q 20</t>
    <phoneticPr fontId="1" type="noConversion"/>
  </si>
  <si>
    <t xml:space="preserve"> - Devices</t>
    <phoneticPr fontId="1" type="noConversion"/>
  </si>
  <si>
    <t>2Q 20</t>
    <phoneticPr fontId="1" type="noConversion"/>
  </si>
  <si>
    <t>3Q 20</t>
    <phoneticPr fontId="1" type="noConversion"/>
  </si>
  <si>
    <t>KT Financial Indicators (Separate)</t>
    <phoneticPr fontId="1" type="noConversion"/>
  </si>
  <si>
    <t>(Billion KRW)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</si>
  <si>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</si>
  <si>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</si>
  <si>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</si>
  <si>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</si>
  <si>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</si>
  <si>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</si>
  <si>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√</t>
    <phoneticPr fontId="1" type="noConversion"/>
  </si>
  <si>
    <t>Financial Highlights</t>
    <phoneticPr fontId="1" type="noConversion"/>
  </si>
  <si>
    <t>1Q 17</t>
    <phoneticPr fontId="1" type="noConversion"/>
  </si>
  <si>
    <t>2Q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</si>
  <si>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</si>
  <si>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</si>
  <si>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</si>
  <si>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</si>
  <si>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</si>
  <si>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</si>
  <si>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1Q19</t>
    <phoneticPr fontId="1" type="noConversion"/>
  </si>
  <si>
    <t>2Q19</t>
    <phoneticPr fontId="1" type="noConversion"/>
  </si>
  <si>
    <t>2Q19</t>
    <phoneticPr fontId="1" type="noConversion"/>
  </si>
  <si>
    <t>3Q19</t>
    <phoneticPr fontId="1" type="noConversion"/>
  </si>
  <si>
    <t>4Q19</t>
    <phoneticPr fontId="1" type="noConversion"/>
  </si>
  <si>
    <t>4Q19</t>
    <phoneticPr fontId="1" type="noConversion"/>
  </si>
  <si>
    <t>1Q 20</t>
    <phoneticPr fontId="1" type="noConversion"/>
  </si>
  <si>
    <t>1Q 20</t>
    <phoneticPr fontId="1" type="noConversion"/>
  </si>
  <si>
    <t>2Q 20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</si>
  <si>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</si>
  <si>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</si>
  <si>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Merchandise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</si>
  <si>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</si>
  <si>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</si>
  <si>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</si>
  <si>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EBITDA Margin</t>
    <phoneticPr fontId="1" type="noConversion"/>
  </si>
  <si>
    <t>√</t>
    <phoneticPr fontId="1" type="noConversion"/>
  </si>
  <si>
    <t>Capital Expenditures</t>
    <phoneticPr fontId="1" type="noConversion"/>
  </si>
  <si>
    <t>2Q 17</t>
    <phoneticPr fontId="1" type="noConversion"/>
  </si>
  <si>
    <t>3Q 17</t>
    <phoneticPr fontId="1" type="noConversion"/>
  </si>
  <si>
    <t>1Q 18</t>
    <phoneticPr fontId="1" type="noConversion"/>
  </si>
  <si>
    <t>2Q 18</t>
    <phoneticPr fontId="1" type="noConversion"/>
  </si>
  <si>
    <t>4Q 18</t>
    <phoneticPr fontId="1" type="noConversion"/>
  </si>
  <si>
    <t>1Q 20</t>
    <phoneticPr fontId="1" type="noConversion"/>
  </si>
  <si>
    <t>2Q 20</t>
    <phoneticPr fontId="1" type="noConversion"/>
  </si>
  <si>
    <t>Capex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</si>
  <si>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</si>
  <si>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</si>
  <si>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</si>
  <si>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 xml:space="preserve"> - Others</t>
    <phoneticPr fontId="1" type="noConversion"/>
  </si>
  <si>
    <t>Depreciation</t>
    <phoneticPr fontId="1" type="noConversion"/>
  </si>
  <si>
    <t>√</t>
    <phoneticPr fontId="1" type="noConversion"/>
  </si>
  <si>
    <t>Debt Status</t>
    <phoneticPr fontId="1" type="noConversion"/>
  </si>
  <si>
    <t>3Q 18</t>
    <phoneticPr fontId="1" type="noConversion"/>
  </si>
  <si>
    <t>1Q19</t>
    <phoneticPr fontId="1" type="noConversion"/>
  </si>
  <si>
    <t>3Q19</t>
    <phoneticPr fontId="1" type="noConversion"/>
  </si>
  <si>
    <t>Interest-Bearing Debt</t>
    <phoneticPr fontId="1" type="noConversion"/>
  </si>
  <si>
    <t>Net Debt</t>
    <phoneticPr fontId="1" type="noConversion"/>
  </si>
  <si>
    <t>Net Debt to Equity</t>
    <phoneticPr fontId="1" type="noConversion"/>
  </si>
  <si>
    <t>Net Debt to EBITDA</t>
    <phoneticPr fontId="1" type="noConversion"/>
  </si>
  <si>
    <t>√</t>
    <phoneticPr fontId="1" type="noConversion"/>
  </si>
  <si>
    <t>Stock &amp; Dividend</t>
    <phoneticPr fontId="1" type="noConversion"/>
  </si>
  <si>
    <t>1Q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</si>
  <si>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</si>
  <si>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</si>
  <si>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</si>
  <si>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1Q19</t>
    <phoneticPr fontId="1" type="noConversion"/>
  </si>
  <si>
    <t>1Q 20</t>
    <phoneticPr fontId="1" type="noConversion"/>
  </si>
  <si>
    <t>2Q 20</t>
    <phoneticPr fontId="1" type="noConversion"/>
  </si>
  <si>
    <t>3Q 20</t>
    <phoneticPr fontId="1" type="noConversion"/>
  </si>
  <si>
    <t>Share Outstanding (*000)</t>
    <phoneticPr fontId="1" type="noConversion"/>
  </si>
  <si>
    <t>Treasury Stock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</si>
  <si>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</si>
  <si>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</si>
  <si>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</si>
  <si>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</si>
  <si>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</si>
  <si>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</si>
  <si>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√</t>
    <phoneticPr fontId="1" type="noConversion"/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</si>
  <si>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</si>
  <si>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</si>
  <si>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</si>
  <si>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</si>
  <si>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</si>
  <si>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</si>
  <si>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</si>
  <si>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</si>
  <si>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</si>
  <si>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</si>
  <si>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</si>
  <si>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</si>
  <si>
    <t>4Q 20</t>
    <phoneticPr fontId="1" type="noConversion"/>
  </si>
  <si>
    <t>4Q 20</t>
    <phoneticPr fontId="1" type="noConversion"/>
  </si>
  <si>
    <t>1Q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</si>
  <si>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</si>
  <si>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</si>
  <si>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</si>
  <si>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</si>
  <si>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3Q 21</t>
    <phoneticPr fontId="1" type="noConversion"/>
  </si>
  <si>
    <t>3Q 21</t>
    <phoneticPr fontId="1" type="noConversion"/>
  </si>
  <si>
    <t>4Q 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</si>
</sst>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  <numFmt numFmtId="180" formatCode="0.0000%"/>
    <numFmt numFmtId="181" formatCode="_-[$€-2]* #,##0.00_-;\-[$€-2]* #,##0.00_-;_-[$€-2]* &quot;-&quot;??_-"/>
    <numFmt numFmtId="182" formatCode="_-* #,##0.0_-;\-* #,##0.0_-;_-* &quot;-&quot;?_-;_-@_-"/>
    <numFmt numFmtId="183" formatCode="_-* #,##0.000_-;\-* #,##0.000_-;_-* &quot;-&quot;??_-;_-@_-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  <border>
      <left style="thin">
        <color rgb="FFFF0000"/>
      </left>
      <right/>
      <top/>
      <bottom/>
      <diagonal/>
    </border>
  </borders>
  <cellStyleXfs count="6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0" borderId="0"/>
    <xf numFmtId="181" fontId="2" fillId="0" borderId="0"/>
  </cellStyleXfs>
  <cellXfs count="8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9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180" fontId="2" fillId="0" borderId="2" xfId="2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177" fontId="2" fillId="0" borderId="0" xfId="0" applyNumberFormat="1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 applyFill="1" applyAlignment="1">
      <alignment horizontal="center"/>
    </xf>
    <xf numFmtId="182" fontId="2" fillId="0" borderId="0" xfId="0" applyNumberFormat="1" applyFont="1">
      <alignment vertical="center"/>
    </xf>
    <xf numFmtId="178" fontId="2" fillId="4" borderId="0" xfId="1" applyNumberFormat="1" applyFont="1" applyFill="1" applyBorder="1">
      <alignment vertical="center"/>
    </xf>
    <xf numFmtId="178" fontId="2" fillId="4" borderId="2" xfId="1" applyNumberFormat="1" applyFont="1" applyFill="1" applyBorder="1">
      <alignment vertical="center"/>
    </xf>
    <xf numFmtId="178" fontId="2" fillId="4" borderId="5" xfId="1" applyNumberFormat="1" applyFont="1" applyFill="1" applyBorder="1">
      <alignment vertical="center"/>
    </xf>
    <xf numFmtId="176" fontId="2" fillId="4" borderId="4" xfId="2" applyNumberFormat="1" applyFont="1" applyFill="1" applyBorder="1">
      <alignment vertical="center"/>
    </xf>
    <xf numFmtId="178" fontId="2" fillId="4" borderId="4" xfId="1" applyNumberFormat="1" applyFont="1" applyFill="1" applyBorder="1">
      <alignment vertical="center"/>
    </xf>
    <xf numFmtId="176" fontId="2" fillId="4" borderId="0" xfId="2" applyNumberFormat="1" applyFont="1" applyFill="1" applyBorder="1">
      <alignment vertical="center"/>
    </xf>
    <xf numFmtId="41" fontId="2" fillId="4" borderId="0" xfId="1" applyFont="1" applyFill="1" applyBorder="1">
      <alignment vertical="center"/>
    </xf>
    <xf numFmtId="41" fontId="2" fillId="4" borderId="2" xfId="1" applyFont="1" applyFill="1" applyBorder="1">
      <alignment vertical="center"/>
    </xf>
    <xf numFmtId="183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0" fontId="13" fillId="0" borderId="7" xfId="0" applyFont="1" applyFill="1" applyBorder="1" applyAlignment="1">
      <alignment horizontal="left"/>
    </xf>
    <xf numFmtId="178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177" fontId="2" fillId="4" borderId="2" xfId="1" applyNumberFormat="1" applyFont="1" applyFill="1" applyBorder="1">
      <alignment vertical="center"/>
    </xf>
    <xf numFmtId="41" fontId="2" fillId="4" borderId="0" xfId="1" applyNumberFormat="1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9" fontId="2" fillId="3" borderId="4" xfId="2" applyNumberFormat="1" applyFont="1" applyFill="1" applyBorder="1">
      <alignment vertical="center"/>
    </xf>
    <xf numFmtId="9" fontId="2" fillId="0" borderId="4" xfId="2" applyNumberFormat="1" applyFont="1" applyFill="1" applyBorder="1">
      <alignment vertical="center"/>
    </xf>
  </cellXfs>
  <cellStyles count="6">
    <cellStyle name="9" xfId="4"/>
    <cellStyle name="백분율" xfId="2" builtinId="5"/>
    <cellStyle name="쉼표 [0]" xfId="1" builtinId="6"/>
    <cellStyle name="쉼표 [0] 2" xfId="3"/>
    <cellStyle name="표준" xfId="0" builtinId="0"/>
    <cellStyle name="표준 2" xf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L52"/>
  <sheetViews>
    <sheetView showGridLines="0" view="pageBreakPreview" topLeftCell="B1" zoomScale="80" zoomScaleNormal="80" zoomScaleSheetLayoutView="80" workbookViewId="0">
      <selection activeCell="AE8" sqref="AE8"/>
    </sheetView>
  </sheetViews>
  <sheetFormatPr defaultColWidth="9" defaultRowHeight="16.5"/>
  <cols>
    <col min="1" max="1" width="3.75" style="1" customWidth="1"/>
    <col min="2" max="2" width="27" style="1" customWidth="1"/>
    <col min="3" max="17" width="10" style="1" hidden="1" customWidth="1"/>
    <col min="18" max="32" width="10" style="1" customWidth="1"/>
    <col min="33" max="16384" width="9" style="1"/>
  </cols>
  <sheetData>
    <row r="2" spans="1:38" ht="20.25">
      <c r="B2" s="10" t="s">
        <v>33</v>
      </c>
    </row>
    <row r="3" spans="1:38">
      <c r="B3" s="11" t="s">
        <v>34</v>
      </c>
      <c r="C3" s="22"/>
      <c r="D3" s="22"/>
      <c r="E3" s="22"/>
      <c r="F3" s="22"/>
      <c r="G3" s="22"/>
    </row>
    <row r="4" spans="1:38" ht="13.5" customHeight="1">
      <c r="C4" s="37" t="s">
        <v>35</v>
      </c>
      <c r="D4" s="37" t="s">
        <v>35</v>
      </c>
      <c r="E4" s="37" t="s">
        <v>36</v>
      </c>
      <c r="F4" s="37" t="s">
        <v>35</v>
      </c>
      <c r="G4" s="37" t="s">
        <v>37</v>
      </c>
      <c r="H4" s="37" t="s">
        <v>35</v>
      </c>
      <c r="I4" s="37" t="s">
        <v>38</v>
      </c>
      <c r="J4" s="37" t="s">
        <v>35</v>
      </c>
      <c r="K4" s="37" t="s">
        <v>39</v>
      </c>
      <c r="L4" s="37" t="s">
        <v>35</v>
      </c>
      <c r="M4" s="69" t="s">
        <v>40</v>
      </c>
      <c r="N4" s="51"/>
      <c r="O4" s="51"/>
      <c r="P4" s="51"/>
      <c r="Q4" s="51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spans="1:38" ht="18" thickBot="1">
      <c r="A5" s="3" t="s">
        <v>41</v>
      </c>
      <c r="B5" s="2" t="s">
        <v>42</v>
      </c>
      <c r="C5" s="16">
        <v>2012</v>
      </c>
      <c r="D5" s="16">
        <v>2013</v>
      </c>
      <c r="E5" s="16">
        <v>2014</v>
      </c>
      <c r="F5" s="16">
        <v>2015</v>
      </c>
      <c r="G5" s="16">
        <v>2016</v>
      </c>
      <c r="H5" s="46" t="s">
        <v>43</v>
      </c>
      <c r="I5" s="46" t="s">
        <v>44</v>
      </c>
      <c r="J5" s="46" t="s">
        <v>45</v>
      </c>
      <c r="K5" s="46" t="s">
        <v>46</v>
      </c>
      <c r="L5" s="46">
        <v>2017</v>
      </c>
      <c r="M5" s="46" t="s">
        <v>47</v>
      </c>
      <c r="N5" s="46" t="s">
        <v>48</v>
      </c>
      <c r="O5" s="46" t="s">
        <v>49</v>
      </c>
      <c r="P5" s="46" t="s">
        <v>50</v>
      </c>
      <c r="Q5" s="46">
        <v>2018</v>
      </c>
      <c r="R5" s="78" t="s">
        <v>51</v>
      </c>
      <c r="S5" s="78" t="s">
        <v>53</v>
      </c>
      <c r="T5" s="78" t="s">
        <v>54</v>
      </c>
      <c r="U5" s="78" t="s">
        <v>56</v>
      </c>
      <c r="V5" s="78">
        <v>2019</v>
      </c>
      <c r="W5" s="78" t="s">
        <v>58</v>
      </c>
      <c r="X5" s="78" t="s">
        <v>59</v>
      </c>
      <c r="Y5" s="78" t="s">
        <v>32</v>
      </c>
      <c r="Z5" s="78" t="s">
        <v>122</v>
      </c>
      <c r="AA5" s="78">
        <v>2020</v>
      </c>
      <c r="AB5" s="78" t="s">
        <v>124</v>
      </c>
      <c r="AC5" s="78" t="s">
        <v>125</v>
      </c>
      <c r="AD5" s="78" t="s">
        <v>129</v>
      </c>
      <c r="AE5" s="78" t="s">
        <v>131</v>
      </c>
      <c r="AF5" s="78">
        <v>2021</v>
      </c>
    </row>
    <row r="6" spans="1:38">
      <c r="B6" s="8" t="s">
        <v>60</v>
      </c>
      <c r="C6" s="20">
        <v>18863.2</v>
      </c>
      <c r="D6" s="31">
        <v>17937.106937488003</v>
      </c>
      <c r="E6" s="27">
        <v>17435.841517526002</v>
      </c>
      <c r="F6" s="27">
        <v>16942.357363793999</v>
      </c>
      <c r="G6" s="38">
        <v>17028868.258023001</v>
      </c>
      <c r="H6" s="38">
        <v>4161418.1788269999</v>
      </c>
      <c r="I6" s="38">
        <v>4292581.6685520001</v>
      </c>
      <c r="J6" s="38">
        <v>4312022.8533739997</v>
      </c>
      <c r="K6" s="38">
        <v>4575294.4950409997</v>
      </c>
      <c r="L6" s="38">
        <f>SUM(H6:K6)</f>
        <v>17341317.195794001</v>
      </c>
      <c r="M6" s="38">
        <v>4297158.0478379996</v>
      </c>
      <c r="N6" s="38">
        <v>4283030.4873700002</v>
      </c>
      <c r="O6" s="38">
        <v>4358170.4898589998</v>
      </c>
      <c r="P6" s="38">
        <v>4418177.7924830001</v>
      </c>
      <c r="Q6" s="38">
        <f>SUM(M6:P6)</f>
        <v>17356536.81755</v>
      </c>
      <c r="R6" s="38">
        <v>4334300</v>
      </c>
      <c r="S6" s="38">
        <v>4558500</v>
      </c>
      <c r="T6" s="38">
        <v>4705700</v>
      </c>
      <c r="U6" s="38">
        <v>4606200</v>
      </c>
      <c r="V6" s="63">
        <v>18204700</v>
      </c>
      <c r="W6" s="75">
        <v>4429.1000000000004</v>
      </c>
      <c r="X6" s="75">
        <v>4339.6000000000004</v>
      </c>
      <c r="Y6" s="75">
        <v>4520.5</v>
      </c>
      <c r="Z6" s="75">
        <v>4590</v>
      </c>
      <c r="AA6" s="63">
        <v>17879207.998319998</v>
      </c>
      <c r="AB6" s="38">
        <v>4574452.9250649996</v>
      </c>
      <c r="AC6" s="38">
        <v>4478800.7819630001</v>
      </c>
      <c r="AD6" s="38">
        <v>4664704.8349430002</v>
      </c>
      <c r="AE6" s="75">
        <v>4669.5</v>
      </c>
      <c r="AF6" s="63">
        <v>18387400</v>
      </c>
    </row>
    <row r="7" spans="1:38">
      <c r="B7" s="5" t="s">
        <v>61</v>
      </c>
      <c r="C7" s="20">
        <v>14462.7</v>
      </c>
      <c r="D7" s="31">
        <v>14259.439439397998</v>
      </c>
      <c r="E7" s="27">
        <v>14202.131489762</v>
      </c>
      <c r="F7" s="27">
        <v>14300.901332555</v>
      </c>
      <c r="G7" s="38">
        <v>14527209.48734</v>
      </c>
      <c r="H7" s="38">
        <v>3541301.1199849998</v>
      </c>
      <c r="I7" s="38">
        <v>3588203.464430898</v>
      </c>
      <c r="J7" s="38">
        <v>3607483.408812183</v>
      </c>
      <c r="K7" s="38">
        <v>3570004.6679195417</v>
      </c>
      <c r="L7" s="38">
        <f t="shared" ref="L7:L11" si="0">SUM(H7:K7)</f>
        <v>14306992.661147624</v>
      </c>
      <c r="M7" s="38">
        <v>3577093.46148868</v>
      </c>
      <c r="N7" s="38">
        <v>3673558.4477189998</v>
      </c>
      <c r="O7" s="38">
        <v>3680175.3669799999</v>
      </c>
      <c r="P7" s="38">
        <v>3579149.2373779998</v>
      </c>
      <c r="Q7" s="38">
        <v>14509976.513565701</v>
      </c>
      <c r="R7" s="38">
        <v>3646500</v>
      </c>
      <c r="S7" s="38">
        <v>3754800</v>
      </c>
      <c r="T7" s="38">
        <v>3766800</v>
      </c>
      <c r="U7" s="38">
        <v>3769500</v>
      </c>
      <c r="V7" s="63">
        <v>14937700</v>
      </c>
      <c r="W7" s="27">
        <v>3750.1</v>
      </c>
      <c r="X7" s="27">
        <v>3743.4</v>
      </c>
      <c r="Y7" s="27">
        <v>3805.7</v>
      </c>
      <c r="Z7" s="27">
        <v>3787</v>
      </c>
      <c r="AA7" s="63">
        <v>15086200</v>
      </c>
      <c r="AB7" s="38">
        <v>3824000</v>
      </c>
      <c r="AC7" s="38">
        <v>3867300</v>
      </c>
      <c r="AD7" s="38">
        <v>3920100</v>
      </c>
      <c r="AE7" s="38">
        <v>3892700</v>
      </c>
      <c r="AF7" s="63">
        <v>15504100</v>
      </c>
    </row>
    <row r="8" spans="1:38">
      <c r="B8" s="5" t="s">
        <v>62</v>
      </c>
      <c r="C8" s="20">
        <v>4400.5</v>
      </c>
      <c r="D8" s="31">
        <v>3677.6674980899998</v>
      </c>
      <c r="E8" s="27">
        <v>3233.7100277640002</v>
      </c>
      <c r="F8" s="27">
        <v>2641.4560312390004</v>
      </c>
      <c r="G8" s="38">
        <v>2501658.7706830003</v>
      </c>
      <c r="H8" s="38">
        <v>620117.05884200009</v>
      </c>
      <c r="I8" s="38">
        <v>704378.20412110176</v>
      </c>
      <c r="J8" s="38">
        <v>704539.44456181698</v>
      </c>
      <c r="K8" s="38">
        <v>1005289.8271214584</v>
      </c>
      <c r="L8" s="38">
        <f t="shared" si="0"/>
        <v>3034324.534646377</v>
      </c>
      <c r="M8" s="38">
        <v>720064.58152300003</v>
      </c>
      <c r="N8" s="38">
        <v>609472.03966300003</v>
      </c>
      <c r="O8" s="38">
        <v>677995.12288899999</v>
      </c>
      <c r="P8" s="38">
        <v>839028.55511199997</v>
      </c>
      <c r="Q8" s="38">
        <v>2846560.2991869999</v>
      </c>
      <c r="R8" s="38">
        <v>687800</v>
      </c>
      <c r="S8" s="38">
        <v>803700</v>
      </c>
      <c r="T8" s="38">
        <v>938900</v>
      </c>
      <c r="U8" s="38">
        <v>836700</v>
      </c>
      <c r="V8" s="63">
        <v>3267100</v>
      </c>
      <c r="W8" s="27">
        <v>679</v>
      </c>
      <c r="X8" s="27">
        <v>596.29999999999995</v>
      </c>
      <c r="Y8" s="27">
        <v>714.8</v>
      </c>
      <c r="Z8" s="27">
        <v>803</v>
      </c>
      <c r="AA8" s="63">
        <v>2793000</v>
      </c>
      <c r="AB8" s="38">
        <v>750400</v>
      </c>
      <c r="AC8" s="38">
        <v>611500</v>
      </c>
      <c r="AD8" s="38">
        <v>744600</v>
      </c>
      <c r="AE8" s="38">
        <v>776800</v>
      </c>
      <c r="AF8" s="63">
        <v>2883400</v>
      </c>
    </row>
    <row r="9" spans="1:38">
      <c r="B9" s="5" t="s">
        <v>63</v>
      </c>
      <c r="C9" s="20">
        <v>1060.8498675009989</v>
      </c>
      <c r="D9" s="31">
        <v>309.9784002909991</v>
      </c>
      <c r="E9" s="27">
        <v>-719.45150063900132</v>
      </c>
      <c r="F9" s="27">
        <v>863.86014390800005</v>
      </c>
      <c r="G9" s="38">
        <v>1059591.5356589998</v>
      </c>
      <c r="H9" s="38">
        <v>318922.79874200001</v>
      </c>
      <c r="I9" s="38">
        <v>301426.87260600086</v>
      </c>
      <c r="J9" s="38">
        <v>271443.82884799922</v>
      </c>
      <c r="K9" s="38">
        <v>60368.667769999243</v>
      </c>
      <c r="L9" s="38">
        <f t="shared" si="0"/>
        <v>952162.16796599934</v>
      </c>
      <c r="M9" s="38">
        <v>304956.59042800032</v>
      </c>
      <c r="N9" s="38">
        <v>307657.04800199997</v>
      </c>
      <c r="O9" s="38">
        <v>280604.62234199978</v>
      </c>
      <c r="P9" s="38">
        <v>58405.371627000161</v>
      </c>
      <c r="Q9" s="38">
        <f t="shared" ref="Q9:Q11" si="1">SUM(M9:P9)</f>
        <v>951623.63239900023</v>
      </c>
      <c r="R9" s="38">
        <v>296400</v>
      </c>
      <c r="S9" s="38">
        <v>191100</v>
      </c>
      <c r="T9" s="38">
        <v>197700</v>
      </c>
      <c r="U9" s="38">
        <v>62411.973610000103</v>
      </c>
      <c r="V9" s="63">
        <v>747722.67604399996</v>
      </c>
      <c r="W9" s="75">
        <v>301.39999999999998</v>
      </c>
      <c r="X9" s="75">
        <v>254.34232359600128</v>
      </c>
      <c r="Y9" s="75">
        <v>208.5</v>
      </c>
      <c r="Z9" s="75">
        <v>114</v>
      </c>
      <c r="AA9" s="63">
        <v>878186.58601600095</v>
      </c>
      <c r="AB9" s="38">
        <v>365974.60341299901</v>
      </c>
      <c r="AC9" s="38">
        <v>351189.31023100001</v>
      </c>
      <c r="AD9" s="38">
        <v>259127.32789499999</v>
      </c>
      <c r="AE9" s="75">
        <v>92</v>
      </c>
      <c r="AF9" s="63">
        <v>1068200</v>
      </c>
    </row>
    <row r="10" spans="1:38">
      <c r="B10" s="6" t="s">
        <v>64</v>
      </c>
      <c r="C10" s="21">
        <v>708.90795008299892</v>
      </c>
      <c r="D10" s="33">
        <v>-392.28345023300085</v>
      </c>
      <c r="E10" s="36">
        <v>-1141.8511413170015</v>
      </c>
      <c r="F10" s="36">
        <v>770.3235053010003</v>
      </c>
      <c r="G10" s="39">
        <v>809329.56328699982</v>
      </c>
      <c r="H10" s="39">
        <v>284584.63549499999</v>
      </c>
      <c r="I10" s="39">
        <v>160723.42912900087</v>
      </c>
      <c r="J10" s="39">
        <v>148013.38820299925</v>
      </c>
      <c r="K10" s="39">
        <v>-130052.55416800076</v>
      </c>
      <c r="L10" s="39">
        <f t="shared" si="0"/>
        <v>463268.8986589993</v>
      </c>
      <c r="M10" s="39">
        <v>316766.76625900087</v>
      </c>
      <c r="N10" s="39">
        <v>209920.84879899997</v>
      </c>
      <c r="O10" s="39">
        <v>202609.25151499978</v>
      </c>
      <c r="P10" s="39">
        <v>-168072.48464399984</v>
      </c>
      <c r="Q10" s="39">
        <f t="shared" si="1"/>
        <v>561224.38192900084</v>
      </c>
      <c r="R10" s="39">
        <v>292600</v>
      </c>
      <c r="S10" s="39">
        <v>139700</v>
      </c>
      <c r="T10" s="39">
        <v>72400</v>
      </c>
      <c r="U10" s="39">
        <v>-76313.753204999899</v>
      </c>
      <c r="V10" s="64">
        <v>428422.73148700001</v>
      </c>
      <c r="W10" s="76">
        <v>320.60000000000002</v>
      </c>
      <c r="X10" s="76">
        <v>167.24467968000127</v>
      </c>
      <c r="Y10" s="76">
        <v>163.03255429799998</v>
      </c>
      <c r="Z10" s="76">
        <v>14.475361627999987</v>
      </c>
      <c r="AA10" s="64">
        <v>665500</v>
      </c>
      <c r="AB10" s="39">
        <v>334442.62220199901</v>
      </c>
      <c r="AC10" s="39">
        <v>296819.45577900001</v>
      </c>
      <c r="AD10" s="39">
        <v>228693.39180099999</v>
      </c>
      <c r="AE10" s="76">
        <v>130.6</v>
      </c>
      <c r="AF10" s="64">
        <v>990500</v>
      </c>
    </row>
    <row r="11" spans="1:38">
      <c r="B11" s="12" t="s">
        <v>65</v>
      </c>
      <c r="C11" s="27">
        <v>3986.4549561889985</v>
      </c>
      <c r="D11" s="31">
        <v>3241.5574033339985</v>
      </c>
      <c r="E11" s="27">
        <v>2303.9569433849983</v>
      </c>
      <c r="F11" s="27">
        <v>3874.0394650519997</v>
      </c>
      <c r="G11" s="38">
        <v>4064974.2498790002</v>
      </c>
      <c r="H11" s="38">
        <v>1083767.860653</v>
      </c>
      <c r="I11" s="38">
        <v>1057444.1382050007</v>
      </c>
      <c r="J11" s="38">
        <v>1021812.1448399993</v>
      </c>
      <c r="K11" s="38">
        <v>805668.82760099927</v>
      </c>
      <c r="L11" s="38">
        <f t="shared" si="0"/>
        <v>3968692.9712989992</v>
      </c>
      <c r="M11" s="38">
        <v>1046624.5309290003</v>
      </c>
      <c r="N11" s="38">
        <v>1039418.8806870001</v>
      </c>
      <c r="O11" s="38">
        <v>1003068.1007279998</v>
      </c>
      <c r="P11" s="38">
        <v>779675.56199000007</v>
      </c>
      <c r="Q11" s="38">
        <f t="shared" si="1"/>
        <v>3868787.0743340002</v>
      </c>
      <c r="R11" s="38">
        <v>1108100</v>
      </c>
      <c r="S11" s="38">
        <v>997700</v>
      </c>
      <c r="T11" s="38">
        <v>999300</v>
      </c>
      <c r="U11" s="38">
        <v>871709.97902299999</v>
      </c>
      <c r="V11" s="63">
        <v>3976881.5632580002</v>
      </c>
      <c r="W11" s="75">
        <v>1114.876140684999</v>
      </c>
      <c r="X11" s="75">
        <v>1065.4019893840018</v>
      </c>
      <c r="Y11" s="75">
        <v>1012.2500007610004</v>
      </c>
      <c r="Z11" s="75">
        <v>919.55327640400537</v>
      </c>
      <c r="AA11" s="63">
        <v>4112081.4072340098</v>
      </c>
      <c r="AB11" s="38">
        <v>1173648.8935100001</v>
      </c>
      <c r="AC11" s="38">
        <v>1159383.671718</v>
      </c>
      <c r="AD11" s="38">
        <v>1061082.123504</v>
      </c>
      <c r="AE11" s="75">
        <v>891.8</v>
      </c>
      <c r="AF11" s="63">
        <v>4285900</v>
      </c>
    </row>
    <row r="12" spans="1:38" ht="17.25" thickBot="1">
      <c r="B12" s="28" t="s">
        <v>66</v>
      </c>
      <c r="C12" s="26">
        <v>0.21133473695203317</v>
      </c>
      <c r="D12" s="26">
        <v>0.18071796163288983</v>
      </c>
      <c r="E12" s="26">
        <v>0.13213913082824982</v>
      </c>
      <c r="F12" s="26">
        <v>0.22866000178528073</v>
      </c>
      <c r="G12" s="26">
        <v>0.23871076975205463</v>
      </c>
      <c r="H12" s="26">
        <v>0.26043233678536176</v>
      </c>
      <c r="I12" s="26">
        <v>0.24634222942150899</v>
      </c>
      <c r="J12" s="26">
        <v>0.23696816542622651</v>
      </c>
      <c r="K12" s="26">
        <v>0.17609114090344027</v>
      </c>
      <c r="L12" s="26">
        <f>L11/L6</f>
        <v>0.22885764250143434</v>
      </c>
      <c r="M12" s="26">
        <v>0.24356202850290351</v>
      </c>
      <c r="N12" s="26">
        <v>0.2426830450430103</v>
      </c>
      <c r="O12" s="56">
        <v>0.23015806817609197</v>
      </c>
      <c r="P12" s="56">
        <v>0.17646993819862219</v>
      </c>
      <c r="Q12" s="67">
        <v>0.22290086524761604</v>
      </c>
      <c r="R12" s="56">
        <f>+R11/R6</f>
        <v>0.25565835313660801</v>
      </c>
      <c r="S12" s="56">
        <f>+S11/S6</f>
        <v>0.21886585499616101</v>
      </c>
      <c r="T12" s="56">
        <f>+T11/T6</f>
        <v>0.21235947892980853</v>
      </c>
      <c r="U12" s="56">
        <f>+U11/U6</f>
        <v>0.1892470971783683</v>
      </c>
      <c r="V12" s="67">
        <v>0.21845356217119757</v>
      </c>
      <c r="W12" s="56">
        <v>0.25171852490180147</v>
      </c>
      <c r="X12" s="56">
        <v>0.24550325351826696</v>
      </c>
      <c r="Y12" s="56">
        <v>0.223926447743452</v>
      </c>
      <c r="Z12" s="56">
        <v>0.20033559545333912</v>
      </c>
      <c r="AA12" s="67">
        <v>0.22999270650544398</v>
      </c>
      <c r="AB12" s="26">
        <v>0.25656595722718556</v>
      </c>
      <c r="AC12" s="26">
        <v>0.25886029054631376</v>
      </c>
      <c r="AD12" s="26">
        <v>0.22747036759014305</v>
      </c>
      <c r="AE12" s="56">
        <v>0.191</v>
      </c>
      <c r="AF12" s="67">
        <v>0.23308935965928043</v>
      </c>
    </row>
    <row r="13" spans="1:38">
      <c r="C13" s="19"/>
      <c r="D13" s="19"/>
      <c r="E13" s="19"/>
      <c r="F13" s="19"/>
      <c r="G13" s="19"/>
      <c r="H13" s="19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</row>
    <row r="14" spans="1:38" ht="18" thickBot="1">
      <c r="A14" s="3" t="s">
        <v>67</v>
      </c>
      <c r="B14" s="2" t="s">
        <v>68</v>
      </c>
      <c r="C14" s="16">
        <v>2012</v>
      </c>
      <c r="D14" s="16">
        <v>2013</v>
      </c>
      <c r="E14" s="16">
        <v>2014</v>
      </c>
      <c r="F14" s="16">
        <v>2015</v>
      </c>
      <c r="G14" s="16">
        <v>2016</v>
      </c>
      <c r="H14" s="46" t="s">
        <v>43</v>
      </c>
      <c r="I14" s="46" t="s">
        <v>69</v>
      </c>
      <c r="J14" s="46" t="s">
        <v>70</v>
      </c>
      <c r="K14" s="46" t="s">
        <v>46</v>
      </c>
      <c r="L14" s="46">
        <v>2017</v>
      </c>
      <c r="M14" s="46" t="s">
        <v>71</v>
      </c>
      <c r="N14" s="46" t="s">
        <v>72</v>
      </c>
      <c r="O14" s="46" t="s">
        <v>49</v>
      </c>
      <c r="P14" s="46" t="s">
        <v>73</v>
      </c>
      <c r="Q14" s="46">
        <v>2018</v>
      </c>
      <c r="R14" s="78" t="s">
        <v>51</v>
      </c>
      <c r="S14" s="78" t="s">
        <v>52</v>
      </c>
      <c r="T14" s="78" t="s">
        <v>54</v>
      </c>
      <c r="U14" s="78" t="s">
        <v>55</v>
      </c>
      <c r="V14" s="78">
        <v>2019</v>
      </c>
      <c r="W14" s="78" t="s">
        <v>74</v>
      </c>
      <c r="X14" s="78" t="s">
        <v>75</v>
      </c>
      <c r="Y14" s="78" t="s">
        <v>32</v>
      </c>
      <c r="Z14" s="78" t="s">
        <v>122</v>
      </c>
      <c r="AA14" s="78">
        <v>2020</v>
      </c>
      <c r="AB14" s="78" t="s">
        <v>124</v>
      </c>
      <c r="AC14" s="78" t="s">
        <v>125</v>
      </c>
      <c r="AD14" s="78" t="s">
        <v>129</v>
      </c>
      <c r="AE14" s="78" t="s">
        <v>131</v>
      </c>
      <c r="AF14" s="78">
        <v>2021</v>
      </c>
    </row>
    <row r="15" spans="1:38">
      <c r="B15" s="8" t="s">
        <v>76</v>
      </c>
      <c r="C15" s="20">
        <v>3710.6</v>
      </c>
      <c r="D15" s="27">
        <v>3312.5</v>
      </c>
      <c r="E15" s="27">
        <v>2514.1</v>
      </c>
      <c r="F15" s="27">
        <v>2397</v>
      </c>
      <c r="G15" s="27">
        <v>2359</v>
      </c>
      <c r="H15" s="27">
        <v>312.89999999999998</v>
      </c>
      <c r="I15" s="27">
        <v>375.7</v>
      </c>
      <c r="J15" s="27">
        <v>647.90000000000009</v>
      </c>
      <c r="K15" s="27">
        <v>913.3</v>
      </c>
      <c r="L15" s="27">
        <f t="shared" ref="L15:L20" si="2">SUM(H15:K15)</f>
        <v>2249.8000000000002</v>
      </c>
      <c r="M15" s="38">
        <v>237300</v>
      </c>
      <c r="N15" s="38">
        <v>407398.88256799994</v>
      </c>
      <c r="O15" s="53">
        <v>463653.01951999997</v>
      </c>
      <c r="P15" s="53">
        <v>868200</v>
      </c>
      <c r="Q15" s="63">
        <v>1976525.0097169999</v>
      </c>
      <c r="R15" s="53">
        <v>552100</v>
      </c>
      <c r="S15" s="53">
        <v>802000</v>
      </c>
      <c r="T15" s="53">
        <v>741100</v>
      </c>
      <c r="U15" s="53">
        <v>1161600</v>
      </c>
      <c r="V15" s="63">
        <v>3256800</v>
      </c>
      <c r="W15" s="38">
        <v>406900</v>
      </c>
      <c r="X15" s="38">
        <v>560400</v>
      </c>
      <c r="Y15" s="38">
        <v>816800</v>
      </c>
      <c r="Z15" s="38">
        <v>1087900</v>
      </c>
      <c r="AA15" s="63">
        <v>2872000</v>
      </c>
      <c r="AB15" s="38">
        <v>289400</v>
      </c>
      <c r="AC15" s="38">
        <v>574700</v>
      </c>
      <c r="AD15" s="38">
        <v>600700</v>
      </c>
      <c r="AE15" s="38">
        <v>1390300</v>
      </c>
      <c r="AF15" s="63">
        <v>2855100</v>
      </c>
      <c r="AG15" s="52"/>
      <c r="AH15" s="52"/>
      <c r="AI15" s="52"/>
      <c r="AJ15" s="52"/>
      <c r="AK15" s="52"/>
      <c r="AL15" s="52"/>
    </row>
    <row r="16" spans="1:38">
      <c r="B16" s="5" t="s">
        <v>77</v>
      </c>
      <c r="C16" s="20">
        <v>2474.6</v>
      </c>
      <c r="D16" s="27">
        <v>1869.8</v>
      </c>
      <c r="E16" s="27">
        <v>1361.6999999999998</v>
      </c>
      <c r="F16" s="27">
        <v>1316.1999999999998</v>
      </c>
      <c r="G16" s="27">
        <v>1132.5999999999999</v>
      </c>
      <c r="H16" s="27">
        <v>200.89999999999998</v>
      </c>
      <c r="I16" s="27">
        <v>239.89999999999998</v>
      </c>
      <c r="J16" s="27">
        <v>332.20000000000005</v>
      </c>
      <c r="K16" s="27">
        <v>422.9</v>
      </c>
      <c r="L16" s="27">
        <f t="shared" si="2"/>
        <v>1195.9000000000001</v>
      </c>
      <c r="M16" s="38">
        <v>127800</v>
      </c>
      <c r="N16" s="38">
        <v>196242.002121</v>
      </c>
      <c r="O16" s="53">
        <v>255005.70813399999</v>
      </c>
      <c r="P16" s="53">
        <v>455700.00000000006</v>
      </c>
      <c r="Q16" s="63">
        <v>1034768.3788899999</v>
      </c>
      <c r="R16" s="53">
        <v>417300</v>
      </c>
      <c r="S16" s="53">
        <v>593700</v>
      </c>
      <c r="T16" s="53">
        <v>503400</v>
      </c>
      <c r="U16" s="53">
        <v>684300</v>
      </c>
      <c r="V16" s="63">
        <v>2198700</v>
      </c>
      <c r="W16" s="38">
        <v>225700</v>
      </c>
      <c r="X16" s="38">
        <v>298600</v>
      </c>
      <c r="Y16" s="38">
        <v>489600</v>
      </c>
      <c r="Z16" s="38">
        <v>578700</v>
      </c>
      <c r="AA16" s="63">
        <v>1592600</v>
      </c>
      <c r="AB16" s="38">
        <v>149700</v>
      </c>
      <c r="AC16" s="38">
        <v>292700</v>
      </c>
      <c r="AD16" s="38">
        <v>288100</v>
      </c>
      <c r="AE16" s="38">
        <v>505700</v>
      </c>
      <c r="AF16" s="63">
        <v>1236200</v>
      </c>
      <c r="AG16" s="52"/>
      <c r="AH16" s="52"/>
      <c r="AI16" s="52"/>
      <c r="AJ16" s="52"/>
      <c r="AK16" s="52"/>
      <c r="AL16" s="52"/>
    </row>
    <row r="17" spans="1:38">
      <c r="B17" s="5" t="s">
        <v>78</v>
      </c>
      <c r="C17" s="20">
        <v>475.9</v>
      </c>
      <c r="D17" s="27">
        <v>465.9</v>
      </c>
      <c r="E17" s="27">
        <v>428</v>
      </c>
      <c r="F17" s="27">
        <v>492.2</v>
      </c>
      <c r="G17" s="27">
        <v>452.09999999999997</v>
      </c>
      <c r="H17" s="27">
        <v>42.2</v>
      </c>
      <c r="I17" s="27">
        <v>68</v>
      </c>
      <c r="J17" s="27">
        <v>113.5</v>
      </c>
      <c r="K17" s="27">
        <v>273.5</v>
      </c>
      <c r="L17" s="27">
        <f t="shared" si="2"/>
        <v>497.2</v>
      </c>
      <c r="M17" s="38">
        <v>38700</v>
      </c>
      <c r="N17" s="38">
        <v>84672.791605999999</v>
      </c>
      <c r="O17" s="53">
        <v>103023.409055</v>
      </c>
      <c r="P17" s="53">
        <v>221700</v>
      </c>
      <c r="Q17" s="63">
        <v>448083.55607599998</v>
      </c>
      <c r="R17" s="53">
        <v>42800</v>
      </c>
      <c r="S17" s="53">
        <v>62600</v>
      </c>
      <c r="T17" s="53">
        <v>88000</v>
      </c>
      <c r="U17" s="53">
        <v>214600</v>
      </c>
      <c r="V17" s="63">
        <v>408000</v>
      </c>
      <c r="W17" s="38">
        <v>55100</v>
      </c>
      <c r="X17" s="38">
        <v>66200</v>
      </c>
      <c r="Y17" s="38">
        <v>125600</v>
      </c>
      <c r="Z17" s="38">
        <v>284900</v>
      </c>
      <c r="AA17" s="63">
        <v>531800</v>
      </c>
      <c r="AB17" s="38">
        <v>34200</v>
      </c>
      <c r="AC17" s="38">
        <v>88300</v>
      </c>
      <c r="AD17" s="38">
        <v>105800</v>
      </c>
      <c r="AE17" s="38">
        <v>495300</v>
      </c>
      <c r="AF17" s="63">
        <v>723600</v>
      </c>
      <c r="AG17" s="52"/>
      <c r="AH17" s="52"/>
      <c r="AI17" s="52"/>
      <c r="AJ17" s="52"/>
      <c r="AK17" s="52"/>
      <c r="AL17" s="52"/>
    </row>
    <row r="18" spans="1:38">
      <c r="B18" s="5" t="s">
        <v>79</v>
      </c>
      <c r="C18" s="20">
        <v>260.89999999999998</v>
      </c>
      <c r="D18" s="27">
        <v>240.59999999999997</v>
      </c>
      <c r="E18" s="27">
        <v>394.00000000000006</v>
      </c>
      <c r="F18" s="27">
        <v>361.8</v>
      </c>
      <c r="G18" s="27">
        <v>516.6</v>
      </c>
      <c r="H18" s="27">
        <v>25.6</v>
      </c>
      <c r="I18" s="27">
        <v>39.300000000000004</v>
      </c>
      <c r="J18" s="27">
        <v>94.9</v>
      </c>
      <c r="K18" s="27">
        <v>137.69999999999999</v>
      </c>
      <c r="L18" s="27">
        <f t="shared" si="2"/>
        <v>297.5</v>
      </c>
      <c r="M18" s="38">
        <v>41300</v>
      </c>
      <c r="N18" s="38">
        <v>86609.800632999977</v>
      </c>
      <c r="O18" s="53">
        <v>60775.216536</v>
      </c>
      <c r="P18" s="53">
        <v>116000</v>
      </c>
      <c r="Q18" s="63">
        <v>304680.60046599997</v>
      </c>
      <c r="R18" s="53">
        <v>53700</v>
      </c>
      <c r="S18" s="53">
        <v>64900.000000000007</v>
      </c>
      <c r="T18" s="53">
        <v>72800</v>
      </c>
      <c r="U18" s="53">
        <v>175100</v>
      </c>
      <c r="V18" s="63">
        <v>366500</v>
      </c>
      <c r="W18" s="38">
        <v>77400</v>
      </c>
      <c r="X18" s="38">
        <v>132200</v>
      </c>
      <c r="Y18" s="38">
        <v>111900</v>
      </c>
      <c r="Z18" s="38">
        <v>97200</v>
      </c>
      <c r="AA18" s="63">
        <v>418700</v>
      </c>
      <c r="AB18" s="38">
        <v>61100</v>
      </c>
      <c r="AC18" s="38">
        <v>68000</v>
      </c>
      <c r="AD18" s="38">
        <v>88800</v>
      </c>
      <c r="AE18" s="38">
        <v>216000</v>
      </c>
      <c r="AF18" s="63">
        <v>433900</v>
      </c>
      <c r="AG18" s="52"/>
      <c r="AH18" s="52"/>
      <c r="AI18" s="52"/>
      <c r="AJ18" s="52"/>
      <c r="AK18" s="52"/>
      <c r="AL18" s="52"/>
    </row>
    <row r="19" spans="1:38">
      <c r="B19" s="6" t="s">
        <v>80</v>
      </c>
      <c r="C19" s="21">
        <v>499.2</v>
      </c>
      <c r="D19" s="36">
        <v>736.2</v>
      </c>
      <c r="E19" s="36">
        <v>330.4</v>
      </c>
      <c r="F19" s="36">
        <v>226.79999999999998</v>
      </c>
      <c r="G19" s="36">
        <v>257.7</v>
      </c>
      <c r="H19" s="36">
        <v>44.2</v>
      </c>
      <c r="I19" s="36">
        <v>28.5</v>
      </c>
      <c r="J19" s="36">
        <v>107.30000000000001</v>
      </c>
      <c r="K19" s="36">
        <v>79.199999999999989</v>
      </c>
      <c r="L19" s="36">
        <f t="shared" si="2"/>
        <v>259.2</v>
      </c>
      <c r="M19" s="39">
        <v>29500</v>
      </c>
      <c r="N19" s="39">
        <v>39874.288208000005</v>
      </c>
      <c r="O19" s="54">
        <v>44848.685795000005</v>
      </c>
      <c r="P19" s="54">
        <v>74800</v>
      </c>
      <c r="Q19" s="64">
        <v>189022.97400300001</v>
      </c>
      <c r="R19" s="54">
        <v>38300.000000000007</v>
      </c>
      <c r="S19" s="54">
        <v>80800</v>
      </c>
      <c r="T19" s="54">
        <v>76900</v>
      </c>
      <c r="U19" s="54">
        <v>87700</v>
      </c>
      <c r="V19" s="64">
        <v>283700</v>
      </c>
      <c r="W19" s="39">
        <v>48700</v>
      </c>
      <c r="X19" s="39">
        <v>63400</v>
      </c>
      <c r="Y19" s="39">
        <v>89700</v>
      </c>
      <c r="Z19" s="39">
        <v>127100</v>
      </c>
      <c r="AA19" s="64">
        <v>328900</v>
      </c>
      <c r="AB19" s="39">
        <v>44400</v>
      </c>
      <c r="AC19" s="39">
        <v>125700</v>
      </c>
      <c r="AD19" s="39">
        <v>118000</v>
      </c>
      <c r="AE19" s="39">
        <v>173300</v>
      </c>
      <c r="AF19" s="64">
        <v>461400</v>
      </c>
      <c r="AG19" s="52"/>
      <c r="AH19" s="52"/>
      <c r="AI19" s="52"/>
      <c r="AJ19" s="52"/>
      <c r="AK19" s="52"/>
      <c r="AL19" s="52"/>
    </row>
    <row r="20" spans="1:38" ht="17.25" thickBot="1">
      <c r="B20" s="9" t="s">
        <v>81</v>
      </c>
      <c r="C20" s="24">
        <v>2925.6</v>
      </c>
      <c r="D20" s="34">
        <v>2931.5790030429998</v>
      </c>
      <c r="E20" s="34">
        <v>3023.4084440240003</v>
      </c>
      <c r="F20" s="34">
        <v>3010.1793211439999</v>
      </c>
      <c r="G20" s="40">
        <v>3005382.71422</v>
      </c>
      <c r="H20" s="40">
        <v>764845.06191099994</v>
      </c>
      <c r="I20" s="40">
        <v>756017.2655989998</v>
      </c>
      <c r="J20" s="40">
        <v>750368.31599200005</v>
      </c>
      <c r="K20" s="40">
        <v>745300.15983100003</v>
      </c>
      <c r="L20" s="40">
        <f t="shared" si="2"/>
        <v>3016530.8033329998</v>
      </c>
      <c r="M20" s="40">
        <v>741667.94050100003</v>
      </c>
      <c r="N20" s="40">
        <v>731761.83268500015</v>
      </c>
      <c r="O20" s="57">
        <v>722463.47838600003</v>
      </c>
      <c r="P20" s="57">
        <v>721270.19036299991</v>
      </c>
      <c r="Q20" s="70">
        <f t="shared" ref="Q20" si="3">SUM(M20:P20)</f>
        <v>2917163.441935</v>
      </c>
      <c r="R20" s="57">
        <v>811700</v>
      </c>
      <c r="S20" s="57">
        <v>806600</v>
      </c>
      <c r="T20" s="57">
        <v>801600</v>
      </c>
      <c r="U20" s="40">
        <v>809298.00541300001</v>
      </c>
      <c r="V20" s="70">
        <f>SUM(R20:U20)</f>
        <v>3229198.005413</v>
      </c>
      <c r="W20" s="40">
        <v>813526.63598100003</v>
      </c>
      <c r="X20" s="40">
        <v>811059.66578799998</v>
      </c>
      <c r="Y20" s="40">
        <v>803746.69546099997</v>
      </c>
      <c r="Z20" s="40">
        <v>805544.65561000002</v>
      </c>
      <c r="AA20" s="70">
        <v>3233877.6528400001</v>
      </c>
      <c r="AB20" s="40">
        <v>807674.29009699996</v>
      </c>
      <c r="AC20" s="40">
        <v>808194.36148700002</v>
      </c>
      <c r="AD20" s="40">
        <v>801954.79560900002</v>
      </c>
      <c r="AE20" s="40">
        <v>799800</v>
      </c>
      <c r="AF20" s="70">
        <v>3217600</v>
      </c>
    </row>
    <row r="21" spans="1:38"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</row>
    <row r="22" spans="1:38" ht="18" thickBot="1">
      <c r="A22" s="3" t="s">
        <v>82</v>
      </c>
      <c r="B22" s="2" t="s">
        <v>83</v>
      </c>
      <c r="C22" s="16">
        <v>2012</v>
      </c>
      <c r="D22" s="16">
        <v>2013</v>
      </c>
      <c r="E22" s="16">
        <v>2014</v>
      </c>
      <c r="F22" s="16">
        <v>2015</v>
      </c>
      <c r="G22" s="16">
        <v>2016</v>
      </c>
      <c r="H22" s="46" t="s">
        <v>43</v>
      </c>
      <c r="I22" s="46" t="s">
        <v>44</v>
      </c>
      <c r="J22" s="46" t="s">
        <v>70</v>
      </c>
      <c r="K22" s="46" t="s">
        <v>46</v>
      </c>
      <c r="L22" s="46">
        <v>2017</v>
      </c>
      <c r="M22" s="46" t="s">
        <v>47</v>
      </c>
      <c r="N22" s="46" t="s">
        <v>72</v>
      </c>
      <c r="O22" s="46" t="s">
        <v>84</v>
      </c>
      <c r="P22" s="46" t="s">
        <v>50</v>
      </c>
      <c r="Q22" s="46">
        <v>2018</v>
      </c>
      <c r="R22" s="78" t="s">
        <v>85</v>
      </c>
      <c r="S22" s="78" t="s">
        <v>52</v>
      </c>
      <c r="T22" s="78" t="s">
        <v>86</v>
      </c>
      <c r="U22" s="78" t="s">
        <v>55</v>
      </c>
      <c r="V22" s="78">
        <v>2019</v>
      </c>
      <c r="W22" s="78" t="s">
        <v>57</v>
      </c>
      <c r="X22" s="78" t="s">
        <v>59</v>
      </c>
      <c r="Y22" s="78" t="s">
        <v>32</v>
      </c>
      <c r="Z22" s="78" t="s">
        <v>122</v>
      </c>
      <c r="AA22" s="78">
        <v>2020</v>
      </c>
      <c r="AB22" s="78" t="s">
        <v>124</v>
      </c>
      <c r="AC22" s="78" t="s">
        <v>125</v>
      </c>
      <c r="AD22" s="78" t="s">
        <v>129</v>
      </c>
      <c r="AE22" s="78" t="s">
        <v>131</v>
      </c>
      <c r="AF22" s="78">
        <v>2021</v>
      </c>
    </row>
    <row r="23" spans="1:38">
      <c r="B23" s="8" t="s">
        <v>87</v>
      </c>
      <c r="C23" s="20">
        <v>7566.18294599</v>
      </c>
      <c r="D23" s="27">
        <v>7285.8315816309996</v>
      </c>
      <c r="E23" s="27">
        <v>8995.5397544999996</v>
      </c>
      <c r="F23" s="27">
        <v>8119.5977289840002</v>
      </c>
      <c r="G23" s="38">
        <v>7569046.745468</v>
      </c>
      <c r="H23" s="38">
        <v>6804061.6979589993</v>
      </c>
      <c r="I23" s="38">
        <v>5990818.0244369991</v>
      </c>
      <c r="J23" s="38">
        <v>6343272.6904450003</v>
      </c>
      <c r="K23" s="38">
        <v>6212934.4701269995</v>
      </c>
      <c r="L23" s="38">
        <f>K23</f>
        <v>6212934.4701269995</v>
      </c>
      <c r="M23" s="38">
        <v>6237585.1045040004</v>
      </c>
      <c r="N23" s="38">
        <v>6203780.2507710001</v>
      </c>
      <c r="O23" s="53">
        <v>5995050.2989460006</v>
      </c>
      <c r="P23" s="53">
        <v>6313537.0613859994</v>
      </c>
      <c r="Q23" s="63">
        <f>P23</f>
        <v>6313537.0613859994</v>
      </c>
      <c r="R23" s="53">
        <v>6451200</v>
      </c>
      <c r="S23" s="53">
        <v>5929400</v>
      </c>
      <c r="T23" s="53">
        <v>6115900</v>
      </c>
      <c r="U23" s="53">
        <v>7028000</v>
      </c>
      <c r="V23" s="63">
        <f>U23</f>
        <v>7028000</v>
      </c>
      <c r="W23" s="38">
        <v>7023000</v>
      </c>
      <c r="X23" s="38">
        <v>7622000</v>
      </c>
      <c r="Y23" s="38">
        <v>7462100</v>
      </c>
      <c r="Z23" s="38">
        <v>6945768.172061</v>
      </c>
      <c r="AA23" s="63">
        <f>Z23</f>
        <v>6945768.172061</v>
      </c>
      <c r="AB23" s="38">
        <v>7177569.378521</v>
      </c>
      <c r="AC23" s="38">
        <v>7089376.8599669999</v>
      </c>
      <c r="AD23" s="38">
        <v>7143123.2330109999</v>
      </c>
      <c r="AE23" s="38">
        <v>6949700</v>
      </c>
      <c r="AF23" s="63">
        <v>6949700</v>
      </c>
    </row>
    <row r="24" spans="1:38">
      <c r="B24" s="6" t="s">
        <v>88</v>
      </c>
      <c r="C24" s="21">
        <v>6393.2022996509995</v>
      </c>
      <c r="D24" s="36">
        <v>6261.8860732189996</v>
      </c>
      <c r="E24" s="36">
        <v>8526.2850266219994</v>
      </c>
      <c r="F24" s="36">
        <v>6992.6069505470005</v>
      </c>
      <c r="G24" s="39">
        <v>5966649.5446920004</v>
      </c>
      <c r="H24" s="39">
        <v>5701481.9739059992</v>
      </c>
      <c r="I24" s="39">
        <v>5079168.4118069988</v>
      </c>
      <c r="J24" s="39">
        <v>5019519.6872240007</v>
      </c>
      <c r="K24" s="39">
        <v>5046532.1736819996</v>
      </c>
      <c r="L24" s="39">
        <f>K24</f>
        <v>5046532.1736819996</v>
      </c>
      <c r="M24" s="39">
        <v>5173487.1982110003</v>
      </c>
      <c r="N24" s="39">
        <v>4739516.4254440004</v>
      </c>
      <c r="O24" s="54">
        <v>4162513.0059010009</v>
      </c>
      <c r="P24" s="54">
        <v>4533792.5067469999</v>
      </c>
      <c r="Q24" s="64">
        <f>P24</f>
        <v>4533792.5067469999</v>
      </c>
      <c r="R24" s="54">
        <v>4701100</v>
      </c>
      <c r="S24" s="54">
        <v>4534500</v>
      </c>
      <c r="T24" s="54">
        <v>4926600</v>
      </c>
      <c r="U24" s="54">
        <v>5699600</v>
      </c>
      <c r="V24" s="64">
        <f>U24</f>
        <v>5699600</v>
      </c>
      <c r="W24" s="39">
        <v>6269000</v>
      </c>
      <c r="X24" s="39">
        <v>6200000</v>
      </c>
      <c r="Y24" s="39">
        <v>5550600</v>
      </c>
      <c r="Z24" s="39">
        <v>5404558.3850720003</v>
      </c>
      <c r="AA24" s="64">
        <f>Z24</f>
        <v>5404558.3850720003</v>
      </c>
      <c r="AB24" s="39">
        <v>5613203.3801769996</v>
      </c>
      <c r="AC24" s="39">
        <v>5162722.1701769996</v>
      </c>
      <c r="AD24" s="39">
        <v>5313672.7414610004</v>
      </c>
      <c r="AE24" s="39">
        <v>5240900</v>
      </c>
      <c r="AF24" s="64">
        <v>5240900</v>
      </c>
    </row>
    <row r="25" spans="1:38">
      <c r="B25" s="5" t="s">
        <v>89</v>
      </c>
      <c r="C25" s="23">
        <v>0.53854748659905727</v>
      </c>
      <c r="D25" s="30">
        <v>0.56699149039334584</v>
      </c>
      <c r="E25" s="30">
        <v>0.88761343192103404</v>
      </c>
      <c r="F25" s="30">
        <v>0.67340492029390175</v>
      </c>
      <c r="G25" s="30">
        <v>0.53828676657565888</v>
      </c>
      <c r="H25" s="30">
        <v>0.50973450779343865</v>
      </c>
      <c r="I25" s="30">
        <v>0.44758760790973801</v>
      </c>
      <c r="J25" s="30">
        <v>0.43635725183542451</v>
      </c>
      <c r="K25" s="30">
        <v>0.44615836963051098</v>
      </c>
      <c r="L25" s="30">
        <f>K25</f>
        <v>0.44615836963051098</v>
      </c>
      <c r="M25" s="30">
        <v>0.41488290336404915</v>
      </c>
      <c r="N25" s="30">
        <v>0.37438794081423682</v>
      </c>
      <c r="O25" s="58">
        <v>0.32348820386308208</v>
      </c>
      <c r="P25" s="58">
        <v>0.35666219028942348</v>
      </c>
      <c r="Q25" s="66">
        <f>P25</f>
        <v>0.35666219028942348</v>
      </c>
      <c r="R25" s="58">
        <v>0.36905735812479967</v>
      </c>
      <c r="S25" s="58">
        <v>0.35199999999999998</v>
      </c>
      <c r="T25" s="58">
        <v>0.38</v>
      </c>
      <c r="U25" s="58">
        <v>0.44194585457735797</v>
      </c>
      <c r="V25" s="66">
        <f>U25</f>
        <v>0.44194585457735797</v>
      </c>
      <c r="W25" s="30">
        <v>0.48499999999999999</v>
      </c>
      <c r="X25" s="30">
        <v>0.47299999999999998</v>
      </c>
      <c r="Y25" s="30">
        <v>0.41699999999999998</v>
      </c>
      <c r="Z25" s="30">
        <v>0.409325933362511</v>
      </c>
      <c r="AA25" s="66">
        <f>Z25</f>
        <v>0.409325933362511</v>
      </c>
      <c r="AB25" s="30">
        <v>0.43137274218857619</v>
      </c>
      <c r="AC25" s="30">
        <v>0.38742327111874253</v>
      </c>
      <c r="AD25" s="30">
        <v>0.39096218632545254</v>
      </c>
      <c r="AE25" s="30">
        <v>0.378</v>
      </c>
      <c r="AF25" s="66">
        <v>0.378</v>
      </c>
    </row>
    <row r="26" spans="1:38" ht="17.25" thickBot="1">
      <c r="B26" s="9" t="s">
        <v>90</v>
      </c>
      <c r="C26" s="24">
        <v>1.6037312273466202</v>
      </c>
      <c r="D26" s="34">
        <v>1.9317523320051466</v>
      </c>
      <c r="E26" s="34">
        <v>3.7007137008797946</v>
      </c>
      <c r="F26" s="34">
        <v>1.8049911503555478</v>
      </c>
      <c r="G26" s="34">
        <v>1.4678197641398607</v>
      </c>
      <c r="H26" s="34"/>
      <c r="I26" s="34"/>
      <c r="J26" s="34"/>
      <c r="K26" s="34"/>
      <c r="L26" s="34">
        <v>1.3</v>
      </c>
      <c r="M26" s="34"/>
      <c r="N26" s="34"/>
      <c r="O26" s="34"/>
      <c r="P26" s="34"/>
      <c r="Q26" s="68">
        <v>1.1718899023481357</v>
      </c>
      <c r="R26" s="34"/>
      <c r="S26" s="34"/>
      <c r="T26" s="34"/>
      <c r="U26" s="34"/>
      <c r="V26" s="68">
        <v>1.4331941677434947</v>
      </c>
      <c r="W26" s="34"/>
      <c r="X26" s="34"/>
      <c r="Y26" s="34"/>
      <c r="Z26" s="34"/>
      <c r="AA26" s="68">
        <v>1.3143010525244938</v>
      </c>
      <c r="AB26" s="34"/>
      <c r="AC26" s="34"/>
      <c r="AD26" s="34"/>
      <c r="AE26" s="34"/>
      <c r="AF26" s="68">
        <v>1.2228288302647552</v>
      </c>
    </row>
    <row r="27" spans="1:38">
      <c r="B27" s="50">
        <v>261111.80799999999</v>
      </c>
      <c r="D27" s="32"/>
      <c r="E27" s="32"/>
      <c r="F27" s="32"/>
      <c r="G27" s="41"/>
      <c r="H27" s="41"/>
    </row>
    <row r="28" spans="1:38" ht="18" thickBot="1">
      <c r="A28" s="3" t="s">
        <v>91</v>
      </c>
      <c r="B28" s="2" t="s">
        <v>92</v>
      </c>
      <c r="C28" s="16">
        <v>2012</v>
      </c>
      <c r="D28" s="16">
        <v>2013</v>
      </c>
      <c r="E28" s="16">
        <v>2014</v>
      </c>
      <c r="F28" s="16">
        <v>2015</v>
      </c>
      <c r="G28" s="16">
        <v>2016</v>
      </c>
      <c r="H28" s="46" t="s">
        <v>93</v>
      </c>
      <c r="I28" s="46" t="s">
        <v>44</v>
      </c>
      <c r="J28" s="46" t="s">
        <v>94</v>
      </c>
      <c r="K28" s="46" t="s">
        <v>95</v>
      </c>
      <c r="L28" s="46">
        <v>2017</v>
      </c>
      <c r="M28" s="46" t="s">
        <v>96</v>
      </c>
      <c r="N28" s="46" t="s">
        <v>72</v>
      </c>
      <c r="O28" s="46" t="s">
        <v>84</v>
      </c>
      <c r="P28" s="46" t="s">
        <v>50</v>
      </c>
      <c r="Q28" s="46">
        <v>2018</v>
      </c>
      <c r="R28" s="78" t="s">
        <v>97</v>
      </c>
      <c r="S28" s="78" t="s">
        <v>52</v>
      </c>
      <c r="T28" s="78" t="s">
        <v>54</v>
      </c>
      <c r="U28" s="78" t="s">
        <v>55</v>
      </c>
      <c r="V28" s="78">
        <v>2019</v>
      </c>
      <c r="W28" s="78" t="s">
        <v>98</v>
      </c>
      <c r="X28" s="78" t="s">
        <v>99</v>
      </c>
      <c r="Y28" s="78" t="s">
        <v>100</v>
      </c>
      <c r="Z28" s="78" t="s">
        <v>123</v>
      </c>
      <c r="AA28" s="78">
        <v>2020</v>
      </c>
      <c r="AB28" s="78" t="s">
        <v>124</v>
      </c>
      <c r="AC28" s="78" t="s">
        <v>125</v>
      </c>
      <c r="AD28" s="78" t="s">
        <v>129</v>
      </c>
      <c r="AE28" s="78" t="s">
        <v>131</v>
      </c>
      <c r="AF28" s="78">
        <v>2021</v>
      </c>
    </row>
    <row r="29" spans="1:38">
      <c r="B29" s="8" t="s">
        <v>101</v>
      </c>
      <c r="C29" s="17">
        <v>243722.391</v>
      </c>
      <c r="D29" s="17">
        <v>243890.23300000001</v>
      </c>
      <c r="E29" s="17">
        <v>244862.70800000001</v>
      </c>
      <c r="F29" s="17">
        <v>244849.8</v>
      </c>
      <c r="G29" s="29">
        <v>244971.64300000001</v>
      </c>
      <c r="H29" s="29">
        <v>244971.64300000001</v>
      </c>
      <c r="I29" s="29">
        <f>$B$27-I30</f>
        <v>244974.897</v>
      </c>
      <c r="J29" s="29">
        <f t="shared" ref="J29:P29" si="4">$B$27-J30</f>
        <v>245097.05499999999</v>
      </c>
      <c r="K29" s="29">
        <f t="shared" si="4"/>
        <v>245097.05499999999</v>
      </c>
      <c r="L29" s="29">
        <f t="shared" ref="L29:L34" si="5">K29</f>
        <v>245097.05499999999</v>
      </c>
      <c r="M29" s="29">
        <f t="shared" si="4"/>
        <v>245097.05499999999</v>
      </c>
      <c r="N29" s="29">
        <f t="shared" si="4"/>
        <v>245100.247</v>
      </c>
      <c r="O29" s="59">
        <f t="shared" si="4"/>
        <v>245144.76799999998</v>
      </c>
      <c r="P29" s="59">
        <f t="shared" si="4"/>
        <v>245144.76799999998</v>
      </c>
      <c r="Q29" s="71">
        <f>P29</f>
        <v>245144.76799999998</v>
      </c>
      <c r="R29" s="59">
        <f>Q29</f>
        <v>245144.76799999998</v>
      </c>
      <c r="S29" s="59">
        <f>R29</f>
        <v>245144.76799999998</v>
      </c>
      <c r="T29" s="59">
        <f>S29</f>
        <v>245144.76799999998</v>
      </c>
      <c r="U29" s="77">
        <f>B27-U30</f>
        <v>245241.55</v>
      </c>
      <c r="V29" s="71">
        <f>U29</f>
        <v>245241.55</v>
      </c>
      <c r="W29" s="29">
        <f>U29</f>
        <v>245241.55</v>
      </c>
      <c r="X29" s="29">
        <v>245245.326</v>
      </c>
      <c r="Y29" s="29">
        <f>X29+126.699</f>
        <v>245372.02499999999</v>
      </c>
      <c r="Z29" s="29">
        <v>241842.13</v>
      </c>
      <c r="AA29" s="71">
        <f>Z29</f>
        <v>241842.13</v>
      </c>
      <c r="AB29" s="29">
        <f>261111.808-AB30</f>
        <v>234241.24400000001</v>
      </c>
      <c r="AC29" s="29">
        <f>261111.808-AC30</f>
        <v>234241.24400000001</v>
      </c>
      <c r="AD29" s="29">
        <f>261111.808-AD30</f>
        <v>234375.81399999998</v>
      </c>
      <c r="AE29" s="29">
        <v>235808.14600000001</v>
      </c>
      <c r="AF29" s="71">
        <v>235808.14600000001</v>
      </c>
    </row>
    <row r="30" spans="1:38">
      <c r="B30" s="5" t="s">
        <v>102</v>
      </c>
      <c r="C30" s="17">
        <v>17389.417000000001</v>
      </c>
      <c r="D30" s="17">
        <v>17221.575000000001</v>
      </c>
      <c r="E30" s="17">
        <v>16249.1</v>
      </c>
      <c r="F30" s="17">
        <v>16262.008</v>
      </c>
      <c r="G30" s="29">
        <v>16140.165000000001</v>
      </c>
      <c r="H30" s="29">
        <v>16140.165000000001</v>
      </c>
      <c r="I30" s="29">
        <v>16136.911</v>
      </c>
      <c r="J30" s="29">
        <v>16014.753000000001</v>
      </c>
      <c r="K30" s="29">
        <v>16014.753000000001</v>
      </c>
      <c r="L30" s="29">
        <f t="shared" si="5"/>
        <v>16014.753000000001</v>
      </c>
      <c r="M30" s="29">
        <v>16014.753000000001</v>
      </c>
      <c r="N30" s="29">
        <v>16011.561</v>
      </c>
      <c r="O30" s="59">
        <v>15967.04</v>
      </c>
      <c r="P30" s="59">
        <v>15967.04</v>
      </c>
      <c r="Q30" s="71">
        <f t="shared" ref="Q30:Q31" si="6">P30</f>
        <v>15967.04</v>
      </c>
      <c r="R30" s="59">
        <f>Q30</f>
        <v>15967.04</v>
      </c>
      <c r="S30" s="59">
        <v>15962.88</v>
      </c>
      <c r="T30" s="59">
        <v>15870.258</v>
      </c>
      <c r="U30" s="59">
        <v>15870.258</v>
      </c>
      <c r="V30" s="71">
        <f>U30</f>
        <v>15870.258</v>
      </c>
      <c r="W30" s="29">
        <f>U30</f>
        <v>15870.258</v>
      </c>
      <c r="X30" s="29">
        <v>15866.482</v>
      </c>
      <c r="Y30" s="29">
        <f>X30-126.699</f>
        <v>15739.782999999999</v>
      </c>
      <c r="Z30" s="29">
        <v>19269.678</v>
      </c>
      <c r="AA30" s="71">
        <f>Z30</f>
        <v>19269.678</v>
      </c>
      <c r="AB30" s="29">
        <v>26870.563999999998</v>
      </c>
      <c r="AC30" s="29">
        <v>26870.563999999998</v>
      </c>
      <c r="AD30" s="29">
        <v>26735.993999999999</v>
      </c>
      <c r="AE30" s="29">
        <v>25303.662</v>
      </c>
      <c r="AF30" s="71">
        <v>25303.662</v>
      </c>
    </row>
    <row r="31" spans="1:38">
      <c r="B31" s="6" t="s">
        <v>103</v>
      </c>
      <c r="C31" s="18">
        <v>35500</v>
      </c>
      <c r="D31" s="18">
        <v>31550</v>
      </c>
      <c r="E31" s="18">
        <v>31250</v>
      </c>
      <c r="F31" s="18">
        <v>28250</v>
      </c>
      <c r="G31" s="42">
        <v>29400</v>
      </c>
      <c r="H31" s="42">
        <v>31900</v>
      </c>
      <c r="I31" s="42">
        <v>32600</v>
      </c>
      <c r="J31" s="42">
        <v>29150</v>
      </c>
      <c r="K31" s="42">
        <v>30250</v>
      </c>
      <c r="L31" s="42">
        <f t="shared" si="5"/>
        <v>30250</v>
      </c>
      <c r="M31" s="42">
        <v>27550</v>
      </c>
      <c r="N31" s="42">
        <v>27400</v>
      </c>
      <c r="O31" s="60">
        <v>30150</v>
      </c>
      <c r="P31" s="60">
        <v>29800</v>
      </c>
      <c r="Q31" s="72">
        <f t="shared" si="6"/>
        <v>29800</v>
      </c>
      <c r="R31" s="60">
        <v>27400</v>
      </c>
      <c r="S31" s="60">
        <v>28350</v>
      </c>
      <c r="T31" s="60">
        <v>27450</v>
      </c>
      <c r="U31" s="60">
        <v>27000</v>
      </c>
      <c r="V31" s="72">
        <f>U31</f>
        <v>27000</v>
      </c>
      <c r="W31" s="42">
        <v>19850</v>
      </c>
      <c r="X31" s="42">
        <v>23550</v>
      </c>
      <c r="Y31" s="42">
        <v>22950</v>
      </c>
      <c r="Z31" s="42">
        <v>24000</v>
      </c>
      <c r="AA31" s="72">
        <f>Z31</f>
        <v>24000</v>
      </c>
      <c r="AB31" s="42">
        <v>28250</v>
      </c>
      <c r="AC31" s="42">
        <v>31800</v>
      </c>
      <c r="AD31" s="42">
        <v>32600</v>
      </c>
      <c r="AE31" s="42">
        <v>30600</v>
      </c>
      <c r="AF31" s="72">
        <v>30600</v>
      </c>
    </row>
    <row r="32" spans="1:38">
      <c r="B32" s="5" t="s">
        <v>104</v>
      </c>
      <c r="C32" s="17">
        <v>2000</v>
      </c>
      <c r="D32" s="17">
        <v>800</v>
      </c>
      <c r="E32" s="17">
        <v>0</v>
      </c>
      <c r="F32" s="17">
        <v>500</v>
      </c>
      <c r="G32" s="29">
        <v>800</v>
      </c>
      <c r="H32" s="29"/>
      <c r="I32" s="29"/>
      <c r="J32" s="29"/>
      <c r="K32" s="29">
        <v>1000</v>
      </c>
      <c r="L32" s="29">
        <f t="shared" si="5"/>
        <v>1000</v>
      </c>
      <c r="M32" s="29"/>
      <c r="N32" s="29"/>
      <c r="O32" s="29"/>
      <c r="P32" s="29"/>
      <c r="Q32" s="71">
        <v>1100</v>
      </c>
      <c r="R32" s="29"/>
      <c r="S32" s="29"/>
      <c r="T32" s="29"/>
      <c r="U32" s="29"/>
      <c r="V32" s="71">
        <v>1100</v>
      </c>
      <c r="W32" s="29"/>
      <c r="X32" s="29"/>
      <c r="Y32" s="29"/>
      <c r="Z32" s="29"/>
      <c r="AA32" s="71">
        <v>1350</v>
      </c>
      <c r="AB32" s="29"/>
      <c r="AC32" s="29"/>
      <c r="AD32" s="29"/>
      <c r="AE32" s="29"/>
      <c r="AF32" s="71">
        <v>1910</v>
      </c>
    </row>
    <row r="33" spans="1:32">
      <c r="B33" s="4" t="s">
        <v>105</v>
      </c>
      <c r="C33" s="25">
        <v>487.44478200000003</v>
      </c>
      <c r="D33" s="25">
        <v>195.11218640000001</v>
      </c>
      <c r="E33" s="25">
        <v>0</v>
      </c>
      <c r="F33" s="25">
        <v>122.43135400000001</v>
      </c>
      <c r="G33" s="43">
        <v>195.97731440000001</v>
      </c>
      <c r="H33" s="43"/>
      <c r="I33" s="43"/>
      <c r="J33" s="43"/>
      <c r="K33" s="43">
        <v>245.09705500000001</v>
      </c>
      <c r="L33" s="43">
        <f t="shared" si="5"/>
        <v>245.09705500000001</v>
      </c>
      <c r="M33" s="43"/>
      <c r="N33" s="43"/>
      <c r="O33" s="43"/>
      <c r="P33" s="43"/>
      <c r="Q33" s="73">
        <v>269.65924480000001</v>
      </c>
      <c r="R33" s="43"/>
      <c r="S33" s="43"/>
      <c r="T33" s="43"/>
      <c r="U33" s="43"/>
      <c r="V33" s="73">
        <v>269.76570500000003</v>
      </c>
      <c r="W33" s="43"/>
      <c r="X33" s="43"/>
      <c r="Y33" s="43"/>
      <c r="Z33" s="43"/>
      <c r="AA33" s="73">
        <v>326.4868755</v>
      </c>
      <c r="AB33" s="43"/>
      <c r="AC33" s="43"/>
      <c r="AD33" s="43"/>
      <c r="AE33" s="43"/>
      <c r="AF33" s="73">
        <v>450.39355885999998</v>
      </c>
    </row>
    <row r="34" spans="1:32">
      <c r="B34" s="5" t="s">
        <v>106</v>
      </c>
      <c r="C34" s="20">
        <v>487.44478200000003</v>
      </c>
      <c r="D34" s="20">
        <v>195.11218640000001</v>
      </c>
      <c r="E34" s="20">
        <v>0</v>
      </c>
      <c r="F34" s="20">
        <v>122.43135400000001</v>
      </c>
      <c r="G34" s="27">
        <v>195.97731440000001</v>
      </c>
      <c r="H34" s="27"/>
      <c r="I34" s="27"/>
      <c r="J34" s="27"/>
      <c r="K34" s="27">
        <v>245.09705500000001</v>
      </c>
      <c r="L34" s="27">
        <f t="shared" si="5"/>
        <v>245.09705500000001</v>
      </c>
      <c r="M34" s="27"/>
      <c r="N34" s="27"/>
      <c r="O34" s="27"/>
      <c r="P34" s="27"/>
      <c r="Q34" s="74">
        <v>269.65924480000001</v>
      </c>
      <c r="R34" s="27"/>
      <c r="S34" s="27"/>
      <c r="T34" s="27"/>
      <c r="U34" s="27"/>
      <c r="V34" s="74">
        <v>269.76570500000003</v>
      </c>
      <c r="W34" s="27"/>
      <c r="X34" s="27"/>
      <c r="Y34" s="27"/>
      <c r="Z34" s="27"/>
      <c r="AA34" s="74">
        <v>326.4868755</v>
      </c>
      <c r="AB34" s="27"/>
      <c r="AC34" s="27"/>
      <c r="AD34" s="27"/>
      <c r="AE34" s="27"/>
      <c r="AF34" s="74">
        <v>450.39355885999998</v>
      </c>
    </row>
    <row r="35" spans="1:32">
      <c r="B35" s="6" t="s">
        <v>107</v>
      </c>
      <c r="C35" s="18">
        <v>0</v>
      </c>
      <c r="D35" s="18">
        <v>0</v>
      </c>
      <c r="E35" s="18">
        <v>0</v>
      </c>
      <c r="F35" s="18"/>
      <c r="G35" s="47"/>
      <c r="H35" s="42"/>
      <c r="I35" s="42"/>
      <c r="J35" s="42"/>
      <c r="K35" s="42"/>
      <c r="L35" s="42"/>
      <c r="M35" s="42"/>
      <c r="N35" s="42"/>
      <c r="O35" s="42"/>
      <c r="P35" s="42"/>
      <c r="Q35" s="72"/>
      <c r="R35" s="42"/>
      <c r="S35" s="42"/>
      <c r="T35" s="42"/>
      <c r="U35" s="42"/>
      <c r="V35" s="72"/>
      <c r="W35" s="42"/>
      <c r="X35" s="42"/>
      <c r="Y35" s="42"/>
      <c r="Z35" s="42"/>
      <c r="AA35" s="72"/>
      <c r="AB35" s="42"/>
      <c r="AC35" s="42"/>
      <c r="AD35" s="42"/>
      <c r="AE35" s="42"/>
      <c r="AF35" s="72"/>
    </row>
    <row r="36" spans="1:32" ht="17.25" thickBot="1">
      <c r="B36" s="9" t="s">
        <v>108</v>
      </c>
      <c r="C36" s="26">
        <v>0.68759954228603304</v>
      </c>
      <c r="D36" s="26">
        <v>-0.49735454091256692</v>
      </c>
      <c r="E36" s="26">
        <v>0</v>
      </c>
      <c r="F36" s="26">
        <v>0.15893498401319137</v>
      </c>
      <c r="G36" s="26">
        <v>0.24201662522309392</v>
      </c>
      <c r="H36" s="26"/>
      <c r="I36" s="26"/>
      <c r="J36" s="26"/>
      <c r="K36" s="26">
        <v>0.52906109312667993</v>
      </c>
      <c r="L36" s="26">
        <v>0.52906109312667993</v>
      </c>
      <c r="M36" s="26"/>
      <c r="N36" s="26"/>
      <c r="O36" s="26"/>
      <c r="P36" s="26"/>
      <c r="Q36" s="67">
        <v>0.4804838376286259</v>
      </c>
      <c r="R36" s="26"/>
      <c r="S36" s="26"/>
      <c r="T36" s="26"/>
      <c r="U36" s="26"/>
      <c r="V36" s="79">
        <v>0.625</v>
      </c>
      <c r="W36" s="26"/>
      <c r="X36" s="26"/>
      <c r="Y36" s="26"/>
      <c r="Z36" s="26"/>
      <c r="AA36" s="79">
        <v>0.5</v>
      </c>
      <c r="AB36" s="80"/>
      <c r="AC36" s="80"/>
      <c r="AD36" s="80"/>
      <c r="AE36" s="26"/>
      <c r="AF36" s="79">
        <v>0.45</v>
      </c>
    </row>
    <row r="37" spans="1:32">
      <c r="G37" s="35"/>
      <c r="H37" s="29"/>
      <c r="W37" s="35"/>
      <c r="X37" s="35"/>
      <c r="Y37" s="35"/>
      <c r="Z37" s="35"/>
      <c r="AE37" s="35"/>
    </row>
    <row r="38" spans="1:32" ht="18" thickBot="1">
      <c r="A38" s="3" t="s">
        <v>109</v>
      </c>
      <c r="B38" s="2" t="s">
        <v>110</v>
      </c>
      <c r="C38" s="16">
        <v>2012</v>
      </c>
      <c r="D38" s="16">
        <v>2013</v>
      </c>
      <c r="E38" s="16">
        <v>2014</v>
      </c>
      <c r="F38" s="16">
        <v>2015</v>
      </c>
      <c r="G38" s="16">
        <v>2016</v>
      </c>
      <c r="H38" s="16">
        <v>2017</v>
      </c>
      <c r="I38" s="16">
        <v>2018</v>
      </c>
      <c r="R38" s="16">
        <v>2019</v>
      </c>
      <c r="S38" s="78">
        <v>2020</v>
      </c>
      <c r="T38" s="78">
        <v>2021</v>
      </c>
    </row>
    <row r="39" spans="1:32">
      <c r="B39" s="48" t="s">
        <v>111</v>
      </c>
      <c r="C39" s="29">
        <v>2951.3086468940805</v>
      </c>
      <c r="D39" s="29">
        <v>-1608.9962848582882</v>
      </c>
      <c r="E39" s="29">
        <v>-4669.0885336155998</v>
      </c>
      <c r="F39" s="29">
        <v>3146.1063284552424</v>
      </c>
      <c r="G39" s="29">
        <v>3305.398083090251</v>
      </c>
      <c r="H39" s="29">
        <v>1890.6245799849059</v>
      </c>
      <c r="I39" s="29">
        <v>2289.3590041007969</v>
      </c>
      <c r="J39" s="35"/>
      <c r="K39" s="29"/>
      <c r="O39" s="61"/>
      <c r="P39" s="35"/>
      <c r="Q39" s="35"/>
      <c r="R39" s="29">
        <f>V10*10^3/V29</f>
        <v>1746.9418680765964</v>
      </c>
      <c r="S39" s="29">
        <f>AA10*10^3/AA29</f>
        <v>2751.7951483473948</v>
      </c>
      <c r="T39" s="71">
        <f>AF10*10^3/AF29</f>
        <v>4200.4486138489892</v>
      </c>
      <c r="U39" s="62"/>
    </row>
    <row r="40" spans="1:32">
      <c r="B40" s="12" t="s">
        <v>112</v>
      </c>
      <c r="C40" s="27">
        <v>12.028562325177255</v>
      </c>
      <c r="D40" s="27">
        <v>-19.608497730483421</v>
      </c>
      <c r="E40" s="27">
        <v>-6.692955118544508</v>
      </c>
      <c r="F40" s="27">
        <v>8.9793532228997872</v>
      </c>
      <c r="G40" s="27">
        <v>8.8945413717048059</v>
      </c>
      <c r="H40" s="27">
        <v>16.000003554508694</v>
      </c>
      <c r="I40" s="27">
        <v>13.016743964848228</v>
      </c>
      <c r="J40" s="35"/>
      <c r="K40" s="35"/>
      <c r="O40" s="35"/>
      <c r="P40" s="35"/>
      <c r="Q40" s="35"/>
      <c r="R40" s="27">
        <f>U31/R39</f>
        <v>15.455580115969925</v>
      </c>
      <c r="S40" s="27">
        <f>AA31/S39</f>
        <v>8.7215794440270482</v>
      </c>
      <c r="T40" s="74">
        <f>AF31/T39</f>
        <v>7.2849361611307417</v>
      </c>
      <c r="U40" s="35"/>
    </row>
    <row r="41" spans="1:32">
      <c r="B41" s="12" t="s">
        <v>113</v>
      </c>
      <c r="C41" s="27">
        <v>4.0296900692448068</v>
      </c>
      <c r="D41" s="27">
        <v>4.7303628711174373</v>
      </c>
      <c r="E41" s="27">
        <v>7.2419726894235836</v>
      </c>
      <c r="F41" s="27">
        <v>3.7090524389777042</v>
      </c>
      <c r="G41" s="27">
        <v>3.3563156520113537</v>
      </c>
      <c r="H41" s="27">
        <v>3.2618213378384606</v>
      </c>
      <c r="I41" s="27">
        <v>3.2</v>
      </c>
      <c r="J41" s="35"/>
      <c r="K41" s="35"/>
      <c r="O41" s="35"/>
      <c r="P41" s="35"/>
      <c r="Q41" s="35"/>
      <c r="R41" s="27">
        <v>3.0975311154974303</v>
      </c>
      <c r="S41" s="27">
        <v>2.8382569414446635</v>
      </c>
      <c r="T41" s="74">
        <v>3.0870812022679015</v>
      </c>
      <c r="U41" s="35"/>
      <c r="V41" s="35"/>
      <c r="W41" s="35"/>
      <c r="X41" s="35"/>
      <c r="Z41" s="35"/>
      <c r="AA41" s="35"/>
      <c r="AB41" s="35"/>
      <c r="AC41" s="35"/>
      <c r="AD41" s="35"/>
      <c r="AE41" s="35"/>
      <c r="AF41" s="35"/>
    </row>
    <row r="42" spans="1:32">
      <c r="B42" s="12" t="s">
        <v>114</v>
      </c>
      <c r="C42" s="30">
        <v>6.059204588784068E-2</v>
      </c>
      <c r="D42" s="30">
        <v>-3.4237760599942692E-2</v>
      </c>
      <c r="E42" s="30">
        <v>-0.11050597013995321</v>
      </c>
      <c r="F42" s="30">
        <v>7.7071619199248709E-2</v>
      </c>
      <c r="G42" s="30">
        <v>7.5397026928796837E-2</v>
      </c>
      <c r="H42" s="30">
        <v>4.1371344016020148E-2</v>
      </c>
      <c r="I42" s="30">
        <v>4.1955157385205874E-2</v>
      </c>
      <c r="J42" s="35"/>
      <c r="K42" s="35"/>
      <c r="O42" s="35"/>
      <c r="P42" s="35"/>
      <c r="Q42" s="35"/>
      <c r="R42" s="30">
        <v>3.4000000000000002E-2</v>
      </c>
      <c r="S42" s="30">
        <v>5.1001935897905554E-2</v>
      </c>
      <c r="T42" s="66">
        <v>7.3184129265445971E-2</v>
      </c>
      <c r="U42" s="35"/>
      <c r="Z42" s="35"/>
      <c r="AA42" s="35"/>
      <c r="AB42" s="35"/>
      <c r="AC42" s="35"/>
      <c r="AD42" s="35"/>
      <c r="AE42" s="35"/>
      <c r="AF42" s="35"/>
    </row>
    <row r="43" spans="1:32" ht="17.25" thickBot="1">
      <c r="B43" s="28" t="s">
        <v>115</v>
      </c>
      <c r="C43" s="26">
        <v>2.7134410346011561E-2</v>
      </c>
      <c r="D43" s="26">
        <v>-1.5029248475776941E-2</v>
      </c>
      <c r="E43" s="26">
        <v>-4.508603320779711E-2</v>
      </c>
      <c r="F43" s="26">
        <v>3.1350417389766537E-2</v>
      </c>
      <c r="G43" s="26">
        <v>3.3085965686571954E-2</v>
      </c>
      <c r="H43" s="26">
        <v>1.9288662825229497E-2</v>
      </c>
      <c r="I43" s="26">
        <v>2.0196930277131771E-2</v>
      </c>
      <c r="J43" s="35"/>
      <c r="K43" s="35"/>
      <c r="O43" s="35"/>
      <c r="P43" s="35"/>
      <c r="Q43" s="35"/>
      <c r="R43" s="26">
        <v>1.6E-2</v>
      </c>
      <c r="S43" s="26">
        <v>2.3665953080260198E-2</v>
      </c>
      <c r="T43" s="67">
        <v>3.4517699795207184E-2</v>
      </c>
      <c r="U43" s="35"/>
      <c r="V43" s="35"/>
      <c r="Z43" s="35"/>
      <c r="AA43" s="35"/>
      <c r="AB43" s="35"/>
      <c r="AC43" s="35"/>
      <c r="AD43" s="35"/>
      <c r="AE43" s="35"/>
      <c r="AF43" s="35"/>
    </row>
    <row r="44" spans="1:32">
      <c r="B44" s="35"/>
      <c r="C44" s="49"/>
      <c r="D44" s="49"/>
      <c r="E44" s="49"/>
      <c r="F44" s="49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>
      <c r="B46" s="35" t="s">
        <v>116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>
      <c r="B47" s="35" t="s">
        <v>117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>
      <c r="B48" s="35" t="s">
        <v>118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</row>
    <row r="49" spans="2:32">
      <c r="B49" s="35" t="s">
        <v>119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</row>
    <row r="50" spans="2:32">
      <c r="B50" s="35" t="s">
        <v>120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 spans="2:32">
      <c r="B51" s="35" t="s">
        <v>121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spans="2:32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26"/>
  <sheetViews>
    <sheetView showGridLines="0" tabSelected="1" view="pageBreakPreview" zoomScale="80" zoomScaleNormal="80" zoomScaleSheetLayoutView="80" workbookViewId="0">
      <selection activeCell="U21" sqref="U21"/>
    </sheetView>
  </sheetViews>
  <sheetFormatPr defaultColWidth="9" defaultRowHeight="16.5"/>
  <cols>
    <col min="1" max="1" width="3.75" style="1" customWidth="1"/>
    <col min="2" max="2" width="38" style="1" customWidth="1"/>
    <col min="3" max="12" width="9.25" style="1" hidden="1" customWidth="1"/>
    <col min="13" max="22" width="9.25" style="1" customWidth="1"/>
    <col min="23" max="16384" width="9" style="1"/>
  </cols>
  <sheetData>
    <row r="2" spans="1:22" ht="20.25">
      <c r="B2" s="10" t="s">
        <v>9</v>
      </c>
    </row>
    <row r="3" spans="1:22">
      <c r="B3" s="11" t="s">
        <v>12</v>
      </c>
    </row>
    <row r="4" spans="1:22">
      <c r="B4" s="7"/>
      <c r="C4" s="69" t="s">
        <v>28</v>
      </c>
      <c r="D4" s="51"/>
      <c r="E4" s="51"/>
      <c r="F4" s="51"/>
      <c r="G4" s="51"/>
      <c r="H4" s="51"/>
      <c r="I4" s="51"/>
      <c r="J4" s="51"/>
      <c r="K4" s="51"/>
      <c r="L4" s="51"/>
      <c r="M4" s="51"/>
      <c r="R4" s="51"/>
    </row>
    <row r="5" spans="1:22" ht="18" thickBot="1">
      <c r="A5" s="3" t="s">
        <v>7</v>
      </c>
      <c r="B5" s="2" t="s">
        <v>0</v>
      </c>
      <c r="C5" s="46" t="s">
        <v>19</v>
      </c>
      <c r="D5" s="46" t="s">
        <v>20</v>
      </c>
      <c r="E5" s="46" t="s">
        <v>21</v>
      </c>
      <c r="F5" s="46" t="s">
        <v>22</v>
      </c>
      <c r="G5" s="46">
        <v>2018</v>
      </c>
      <c r="H5" s="46" t="s">
        <v>23</v>
      </c>
      <c r="I5" s="46" t="s">
        <v>24</v>
      </c>
      <c r="J5" s="46" t="s">
        <v>25</v>
      </c>
      <c r="K5" s="46" t="s">
        <v>27</v>
      </c>
      <c r="L5" s="46">
        <v>2019</v>
      </c>
      <c r="M5" s="46" t="s">
        <v>29</v>
      </c>
      <c r="N5" s="46" t="s">
        <v>31</v>
      </c>
      <c r="O5" s="46" t="s">
        <v>32</v>
      </c>
      <c r="P5" s="46" t="s">
        <v>122</v>
      </c>
      <c r="Q5" s="46">
        <v>2020</v>
      </c>
      <c r="R5" s="46" t="s">
        <v>124</v>
      </c>
      <c r="S5" s="46" t="s">
        <v>126</v>
      </c>
      <c r="T5" s="46" t="s">
        <v>130</v>
      </c>
      <c r="U5" s="46" t="s">
        <v>131</v>
      </c>
      <c r="V5" s="46">
        <v>2021</v>
      </c>
    </row>
    <row r="6" spans="1:22">
      <c r="B6" s="8" t="s">
        <v>1</v>
      </c>
      <c r="C6" s="38">
        <v>5710200</v>
      </c>
      <c r="D6" s="38">
        <v>5806900</v>
      </c>
      <c r="E6" s="53">
        <v>5948500</v>
      </c>
      <c r="F6" s="53">
        <v>5994500</v>
      </c>
      <c r="G6" s="63">
        <v>23460100</v>
      </c>
      <c r="H6" s="53">
        <v>5834400</v>
      </c>
      <c r="I6" s="53">
        <v>6098500</v>
      </c>
      <c r="J6" s="53">
        <v>6213700</v>
      </c>
      <c r="K6" s="53">
        <v>6195500</v>
      </c>
      <c r="L6" s="63">
        <v>24342000</v>
      </c>
      <c r="M6" s="38">
        <v>5831700</v>
      </c>
      <c r="N6" s="38">
        <v>5876500</v>
      </c>
      <c r="O6" s="38">
        <v>6001200</v>
      </c>
      <c r="P6" s="38">
        <v>6207300</v>
      </c>
      <c r="Q6" s="63">
        <v>23916700</v>
      </c>
      <c r="R6" s="53">
        <v>6029400</v>
      </c>
      <c r="S6" s="38">
        <v>6027600</v>
      </c>
      <c r="T6" s="38">
        <v>6217400</v>
      </c>
      <c r="U6" s="38">
        <v>6623600</v>
      </c>
      <c r="V6" s="63">
        <v>24898000</v>
      </c>
    </row>
    <row r="7" spans="1:22">
      <c r="B7" s="5" t="s">
        <v>2</v>
      </c>
      <c r="C7" s="38">
        <v>4869200</v>
      </c>
      <c r="D7" s="38">
        <v>5180500</v>
      </c>
      <c r="E7" s="53">
        <v>5203500</v>
      </c>
      <c r="F7" s="53">
        <v>5099300</v>
      </c>
      <c r="G7" s="63">
        <v>20352500</v>
      </c>
      <c r="H7" s="53">
        <v>5055500</v>
      </c>
      <c r="I7" s="53">
        <v>5225200</v>
      </c>
      <c r="J7" s="53">
        <v>5199600</v>
      </c>
      <c r="K7" s="53">
        <v>5289800</v>
      </c>
      <c r="L7" s="63">
        <v>20770000</v>
      </c>
      <c r="M7" s="38">
        <v>5107000</v>
      </c>
      <c r="N7" s="38">
        <v>5196600</v>
      </c>
      <c r="O7" s="38">
        <v>5240000</v>
      </c>
      <c r="P7" s="38">
        <v>5302500</v>
      </c>
      <c r="Q7" s="63">
        <v>20846100</v>
      </c>
      <c r="R7" s="53">
        <v>5230400</v>
      </c>
      <c r="S7" s="38">
        <v>5336800</v>
      </c>
      <c r="T7" s="38">
        <v>5402400</v>
      </c>
      <c r="U7" s="38">
        <v>5758100</v>
      </c>
      <c r="V7" s="63">
        <v>21727500</v>
      </c>
    </row>
    <row r="8" spans="1:22">
      <c r="B8" s="5" t="s">
        <v>30</v>
      </c>
      <c r="C8" s="38">
        <v>841000</v>
      </c>
      <c r="D8" s="38">
        <v>626400</v>
      </c>
      <c r="E8" s="53">
        <v>745000</v>
      </c>
      <c r="F8" s="53">
        <v>895200</v>
      </c>
      <c r="G8" s="63">
        <v>3107700</v>
      </c>
      <c r="H8" s="53">
        <v>778900</v>
      </c>
      <c r="I8" s="53">
        <v>873300</v>
      </c>
      <c r="J8" s="53">
        <v>1014100</v>
      </c>
      <c r="K8" s="53">
        <v>905700</v>
      </c>
      <c r="L8" s="63">
        <v>3572000</v>
      </c>
      <c r="M8" s="38">
        <v>724700</v>
      </c>
      <c r="N8" s="38">
        <v>679900</v>
      </c>
      <c r="O8" s="38">
        <v>761200</v>
      </c>
      <c r="P8" s="38">
        <v>904700</v>
      </c>
      <c r="Q8" s="63">
        <v>3070500</v>
      </c>
      <c r="R8" s="53">
        <v>799100</v>
      </c>
      <c r="S8" s="38">
        <v>690900</v>
      </c>
      <c r="T8" s="38">
        <v>815000</v>
      </c>
      <c r="U8" s="38">
        <v>865500</v>
      </c>
      <c r="V8" s="63">
        <v>3170500</v>
      </c>
    </row>
    <row r="9" spans="1:22">
      <c r="B9" s="5" t="s">
        <v>3</v>
      </c>
      <c r="C9" s="38">
        <v>397100</v>
      </c>
      <c r="D9" s="38">
        <v>399100</v>
      </c>
      <c r="E9" s="53">
        <v>369500</v>
      </c>
      <c r="F9" s="53">
        <v>95800</v>
      </c>
      <c r="G9" s="63">
        <v>1261500</v>
      </c>
      <c r="H9" s="53">
        <v>402100</v>
      </c>
      <c r="I9" s="53">
        <v>288200</v>
      </c>
      <c r="J9" s="53">
        <v>312500</v>
      </c>
      <c r="K9" s="53">
        <v>156700</v>
      </c>
      <c r="L9" s="63">
        <v>1159500</v>
      </c>
      <c r="M9" s="38">
        <v>384800</v>
      </c>
      <c r="N9" s="38">
        <v>343500</v>
      </c>
      <c r="O9" s="38">
        <v>294000</v>
      </c>
      <c r="P9" s="38">
        <v>161700</v>
      </c>
      <c r="Q9" s="63">
        <v>1184100</v>
      </c>
      <c r="R9" s="53">
        <v>444200</v>
      </c>
      <c r="S9" s="38">
        <v>475800</v>
      </c>
      <c r="T9" s="38">
        <v>382400</v>
      </c>
      <c r="U9" s="38">
        <v>369400</v>
      </c>
      <c r="V9" s="63">
        <v>1671800</v>
      </c>
    </row>
    <row r="10" spans="1:22">
      <c r="B10" s="5" t="s">
        <v>4</v>
      </c>
      <c r="C10" s="38">
        <v>224100</v>
      </c>
      <c r="D10" s="38">
        <v>280700</v>
      </c>
      <c r="E10" s="53">
        <v>239500</v>
      </c>
      <c r="F10" s="53">
        <v>18100</v>
      </c>
      <c r="G10" s="63">
        <v>762300</v>
      </c>
      <c r="H10" s="53">
        <v>259800</v>
      </c>
      <c r="I10" s="53">
        <v>203000</v>
      </c>
      <c r="J10" s="53">
        <v>213300</v>
      </c>
      <c r="K10" s="53">
        <v>-10200</v>
      </c>
      <c r="L10" s="63">
        <v>665900</v>
      </c>
      <c r="M10" s="38">
        <v>227200</v>
      </c>
      <c r="N10" s="38">
        <v>209100</v>
      </c>
      <c r="O10" s="38">
        <v>229900</v>
      </c>
      <c r="P10" s="38">
        <v>37200</v>
      </c>
      <c r="Q10" s="63">
        <v>703400</v>
      </c>
      <c r="R10" s="53">
        <v>326500</v>
      </c>
      <c r="S10" s="38">
        <v>370800</v>
      </c>
      <c r="T10" s="38">
        <v>337700</v>
      </c>
      <c r="U10" s="38">
        <v>424400</v>
      </c>
      <c r="V10" s="63">
        <v>1459400</v>
      </c>
    </row>
    <row r="11" spans="1:22">
      <c r="B11" s="13" t="s">
        <v>10</v>
      </c>
      <c r="C11" s="39">
        <v>197000</v>
      </c>
      <c r="D11" s="39">
        <v>251000</v>
      </c>
      <c r="E11" s="54">
        <v>222500</v>
      </c>
      <c r="F11" s="54">
        <v>18000</v>
      </c>
      <c r="G11" s="64">
        <v>688500</v>
      </c>
      <c r="H11" s="54">
        <v>231100</v>
      </c>
      <c r="I11" s="54">
        <v>173900</v>
      </c>
      <c r="J11" s="54">
        <v>189700</v>
      </c>
      <c r="K11" s="54">
        <v>21000</v>
      </c>
      <c r="L11" s="64">
        <v>615800</v>
      </c>
      <c r="M11" s="39">
        <v>208900</v>
      </c>
      <c r="N11" s="39">
        <v>178100</v>
      </c>
      <c r="O11" s="39">
        <v>203300</v>
      </c>
      <c r="P11" s="39">
        <v>67700</v>
      </c>
      <c r="Q11" s="64">
        <v>658000</v>
      </c>
      <c r="R11" s="54">
        <v>302600</v>
      </c>
      <c r="S11" s="39">
        <v>338800</v>
      </c>
      <c r="T11" s="39">
        <v>310900</v>
      </c>
      <c r="U11" s="39">
        <v>404600</v>
      </c>
      <c r="V11" s="64">
        <v>1356900</v>
      </c>
    </row>
    <row r="12" spans="1:22" ht="17.25" thickBot="1">
      <c r="B12" s="15" t="s">
        <v>5</v>
      </c>
      <c r="C12" s="44">
        <v>1228900</v>
      </c>
      <c r="D12" s="44">
        <v>1221200</v>
      </c>
      <c r="E12" s="55">
        <v>1184900</v>
      </c>
      <c r="F12" s="55">
        <v>908200</v>
      </c>
      <c r="G12" s="65">
        <v>4543300</v>
      </c>
      <c r="H12" s="55">
        <v>1309500</v>
      </c>
      <c r="I12" s="55">
        <v>1191300</v>
      </c>
      <c r="J12" s="55">
        <v>1209800</v>
      </c>
      <c r="K12" s="55">
        <v>1078400</v>
      </c>
      <c r="L12" s="65">
        <v>4789100</v>
      </c>
      <c r="M12" s="44">
        <v>1297200</v>
      </c>
      <c r="N12" s="44">
        <v>1254700</v>
      </c>
      <c r="O12" s="44">
        <v>1199300</v>
      </c>
      <c r="P12" s="44">
        <v>1067100</v>
      </c>
      <c r="Q12" s="65">
        <v>4818400</v>
      </c>
      <c r="R12" s="55">
        <v>1345300</v>
      </c>
      <c r="S12" s="44">
        <v>1373200</v>
      </c>
      <c r="T12" s="44">
        <v>1277500</v>
      </c>
      <c r="U12" s="44">
        <v>1283500</v>
      </c>
      <c r="V12" s="65">
        <v>5279500</v>
      </c>
    </row>
    <row r="13" spans="1:22"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</row>
    <row r="15" spans="1:22" ht="18" thickBot="1">
      <c r="A15" s="3" t="s">
        <v>7</v>
      </c>
      <c r="B15" s="14" t="s">
        <v>11</v>
      </c>
      <c r="C15" s="46" t="s">
        <v>19</v>
      </c>
      <c r="D15" s="46" t="s">
        <v>20</v>
      </c>
      <c r="E15" s="46" t="s">
        <v>21</v>
      </c>
      <c r="F15" s="46" t="s">
        <v>22</v>
      </c>
      <c r="G15" s="46">
        <v>2018</v>
      </c>
      <c r="H15" s="46" t="s">
        <v>23</v>
      </c>
      <c r="I15" s="46" t="s">
        <v>24</v>
      </c>
      <c r="J15" s="46" t="s">
        <v>26</v>
      </c>
      <c r="K15" s="46" t="s">
        <v>27</v>
      </c>
      <c r="L15" s="46">
        <v>2019</v>
      </c>
      <c r="M15" s="46" t="s">
        <v>29</v>
      </c>
      <c r="N15" s="46" t="s">
        <v>31</v>
      </c>
      <c r="O15" s="46" t="s">
        <v>32</v>
      </c>
      <c r="P15" s="46" t="s">
        <v>122</v>
      </c>
      <c r="Q15" s="46">
        <v>2020</v>
      </c>
      <c r="R15" s="46" t="s">
        <v>124</v>
      </c>
      <c r="S15" s="46" t="s">
        <v>127</v>
      </c>
      <c r="T15" s="46" t="s">
        <v>130</v>
      </c>
      <c r="U15" s="46" t="s">
        <v>131</v>
      </c>
      <c r="V15" s="46">
        <v>2021</v>
      </c>
    </row>
    <row r="16" spans="1:22">
      <c r="B16" s="12" t="s">
        <v>15</v>
      </c>
      <c r="C16" s="30">
        <v>7.0000000000000007E-2</v>
      </c>
      <c r="D16" s="30">
        <v>6.9000000000000006E-2</v>
      </c>
      <c r="E16" s="58">
        <v>6.2E-2</v>
      </c>
      <c r="F16" s="58">
        <v>1.6E-2</v>
      </c>
      <c r="G16" s="66">
        <v>5.3999999999999999E-2</v>
      </c>
      <c r="H16" s="58">
        <v>6.9000000000000006E-2</v>
      </c>
      <c r="I16" s="58">
        <v>4.7E-2</v>
      </c>
      <c r="J16" s="58">
        <v>0.05</v>
      </c>
      <c r="K16" s="58">
        <v>2.5000000000000001E-2</v>
      </c>
      <c r="L16" s="66">
        <v>4.8000000000000001E-2</v>
      </c>
      <c r="M16" s="30">
        <v>6.6000000000000003E-2</v>
      </c>
      <c r="N16" s="30">
        <v>5.8000000000000003E-2</v>
      </c>
      <c r="O16" s="30">
        <v>4.9000000000000002E-2</v>
      </c>
      <c r="P16" s="30">
        <v>2.5999999999999999E-2</v>
      </c>
      <c r="Q16" s="66">
        <v>0.05</v>
      </c>
      <c r="R16" s="58">
        <v>7.3999999999999996E-2</v>
      </c>
      <c r="S16" s="30">
        <v>7.9000000000000001E-2</v>
      </c>
      <c r="T16" s="30">
        <v>6.2E-2</v>
      </c>
      <c r="U16" s="30">
        <v>5.6000000000000001E-2</v>
      </c>
      <c r="V16" s="66">
        <v>6.7000000000000004E-2</v>
      </c>
    </row>
    <row r="17" spans="1:22">
      <c r="B17" s="12" t="s">
        <v>16</v>
      </c>
      <c r="C17" s="30">
        <v>0.215</v>
      </c>
      <c r="D17" s="30">
        <v>0.21</v>
      </c>
      <c r="E17" s="58">
        <v>0.19900000000000001</v>
      </c>
      <c r="F17" s="58">
        <v>0.152</v>
      </c>
      <c r="G17" s="66">
        <v>0.19400000000000001</v>
      </c>
      <c r="H17" s="58">
        <v>0.224</v>
      </c>
      <c r="I17" s="58">
        <v>0.19500000000000001</v>
      </c>
      <c r="J17" s="58">
        <v>0.19500000000000001</v>
      </c>
      <c r="K17" s="58">
        <v>0.17399999999999999</v>
      </c>
      <c r="L17" s="66">
        <v>0.19700000000000001</v>
      </c>
      <c r="M17" s="30">
        <v>0.222</v>
      </c>
      <c r="N17" s="30">
        <v>0.214</v>
      </c>
      <c r="O17" s="30">
        <v>0.2</v>
      </c>
      <c r="P17" s="30">
        <v>0.17199999999999999</v>
      </c>
      <c r="Q17" s="66">
        <v>0.20100000000000001</v>
      </c>
      <c r="R17" s="58">
        <v>0.223</v>
      </c>
      <c r="S17" s="30">
        <v>0.22800000000000001</v>
      </c>
      <c r="T17" s="30">
        <v>0.20499999999999999</v>
      </c>
      <c r="U17" s="30">
        <v>0.19400000000000001</v>
      </c>
      <c r="V17" s="66">
        <v>0.21199999999999999</v>
      </c>
    </row>
    <row r="18" spans="1:22" ht="17.25" thickBot="1">
      <c r="B18" s="9" t="s">
        <v>17</v>
      </c>
      <c r="C18" s="26">
        <v>0.36499999999999999</v>
      </c>
      <c r="D18" s="26">
        <v>0.28299999999999997</v>
      </c>
      <c r="E18" s="56">
        <v>0.28299999999999997</v>
      </c>
      <c r="F18" s="56">
        <v>-0.443</v>
      </c>
      <c r="G18" s="67">
        <v>0.30099999999999999</v>
      </c>
      <c r="H18" s="56">
        <v>0.34699999999999998</v>
      </c>
      <c r="I18" s="56">
        <v>0.28399999999999997</v>
      </c>
      <c r="J18" s="56">
        <v>0.21099999999999999</v>
      </c>
      <c r="K18" s="56">
        <v>1.4119999999999999</v>
      </c>
      <c r="L18" s="67">
        <v>0.318</v>
      </c>
      <c r="M18" s="26">
        <v>0.38200000000000001</v>
      </c>
      <c r="N18" s="26">
        <v>0.32400000000000001</v>
      </c>
      <c r="O18" s="26">
        <v>0.26800000000000002</v>
      </c>
      <c r="P18" s="26">
        <v>3.2839999999999998</v>
      </c>
      <c r="Q18" s="67">
        <v>0.27900000000000003</v>
      </c>
      <c r="R18" s="56">
        <v>0.30299999999999999</v>
      </c>
      <c r="S18" s="26">
        <v>0.29099999999999998</v>
      </c>
      <c r="T18" s="26">
        <v>0.29699999999999999</v>
      </c>
      <c r="U18" s="26">
        <v>0.16300000000000001</v>
      </c>
      <c r="V18" s="67">
        <v>0.26200000000000001</v>
      </c>
    </row>
    <row r="21" spans="1:22" ht="18" thickBot="1">
      <c r="A21" s="3" t="s">
        <v>7</v>
      </c>
      <c r="B21" s="2" t="s">
        <v>8</v>
      </c>
      <c r="C21" s="46" t="s">
        <v>19</v>
      </c>
      <c r="D21" s="46" t="s">
        <v>20</v>
      </c>
      <c r="E21" s="46" t="s">
        <v>21</v>
      </c>
      <c r="F21" s="46" t="s">
        <v>22</v>
      </c>
      <c r="G21" s="46">
        <v>2018</v>
      </c>
      <c r="H21" s="46" t="s">
        <v>23</v>
      </c>
      <c r="I21" s="46" t="s">
        <v>24</v>
      </c>
      <c r="J21" s="46" t="s">
        <v>26</v>
      </c>
      <c r="K21" s="46" t="s">
        <v>27</v>
      </c>
      <c r="L21" s="46">
        <v>2019</v>
      </c>
      <c r="M21" s="46" t="s">
        <v>29</v>
      </c>
      <c r="N21" s="46" t="s">
        <v>31</v>
      </c>
      <c r="O21" s="46" t="s">
        <v>32</v>
      </c>
      <c r="P21" s="46" t="s">
        <v>122</v>
      </c>
      <c r="Q21" s="46">
        <v>2020</v>
      </c>
      <c r="R21" s="46" t="s">
        <v>124</v>
      </c>
      <c r="S21" s="46" t="s">
        <v>128</v>
      </c>
      <c r="T21" s="46" t="s">
        <v>130</v>
      </c>
      <c r="U21" s="46" t="s">
        <v>131</v>
      </c>
      <c r="V21" s="46">
        <v>2021</v>
      </c>
    </row>
    <row r="22" spans="1:22">
      <c r="B22" s="8" t="s">
        <v>18</v>
      </c>
      <c r="C22" s="38">
        <v>6689300</v>
      </c>
      <c r="D22" s="38">
        <v>6604500</v>
      </c>
      <c r="E22" s="53">
        <v>6370200</v>
      </c>
      <c r="F22" s="53">
        <v>6648300</v>
      </c>
      <c r="G22" s="63">
        <v>6683700</v>
      </c>
      <c r="H22" s="53">
        <v>6790100</v>
      </c>
      <c r="I22" s="53">
        <v>6256800</v>
      </c>
      <c r="J22" s="53">
        <v>6408300</v>
      </c>
      <c r="K22" s="53">
        <v>7298900</v>
      </c>
      <c r="L22" s="63">
        <v>7298900</v>
      </c>
      <c r="M22" s="38">
        <v>7286900</v>
      </c>
      <c r="N22" s="38">
        <v>7987600</v>
      </c>
      <c r="O22" s="38">
        <v>7850900</v>
      </c>
      <c r="P22" s="38">
        <v>7316300</v>
      </c>
      <c r="Q22" s="63">
        <v>7316300</v>
      </c>
      <c r="R22" s="53">
        <v>7724600</v>
      </c>
      <c r="S22" s="38">
        <v>7755700</v>
      </c>
      <c r="T22" s="38">
        <v>8396100</v>
      </c>
      <c r="U22" s="38">
        <v>8437700</v>
      </c>
      <c r="V22" s="63">
        <v>8437700</v>
      </c>
    </row>
    <row r="23" spans="1:22">
      <c r="B23" s="6" t="s">
        <v>14</v>
      </c>
      <c r="C23" s="39">
        <v>4911800</v>
      </c>
      <c r="D23" s="39">
        <v>4354800</v>
      </c>
      <c r="E23" s="54">
        <v>3652100</v>
      </c>
      <c r="F23" s="54">
        <v>3944900</v>
      </c>
      <c r="G23" s="64">
        <v>4755500</v>
      </c>
      <c r="H23" s="54">
        <v>4025100</v>
      </c>
      <c r="I23" s="54">
        <v>4006700</v>
      </c>
      <c r="J23" s="54">
        <v>4279900</v>
      </c>
      <c r="K23" s="54">
        <v>4993000</v>
      </c>
      <c r="L23" s="64">
        <v>4993000</v>
      </c>
      <c r="M23" s="39">
        <v>5659800</v>
      </c>
      <c r="N23" s="39">
        <v>5045400</v>
      </c>
      <c r="O23" s="39">
        <v>4860000</v>
      </c>
      <c r="P23" s="39">
        <v>4681700</v>
      </c>
      <c r="Q23" s="64">
        <v>4681700</v>
      </c>
      <c r="R23" s="54">
        <v>4971600</v>
      </c>
      <c r="S23" s="39">
        <v>4658700</v>
      </c>
      <c r="T23" s="39">
        <v>5307200</v>
      </c>
      <c r="U23" s="39">
        <v>5418100</v>
      </c>
      <c r="V23" s="64">
        <v>5418100</v>
      </c>
    </row>
    <row r="24" spans="1:22">
      <c r="B24" s="5" t="s">
        <v>6</v>
      </c>
      <c r="C24" s="30">
        <v>0.34699999999999998</v>
      </c>
      <c r="D24" s="30">
        <v>0.30199999999999999</v>
      </c>
      <c r="E24" s="58">
        <v>0.248</v>
      </c>
      <c r="F24" s="58">
        <v>0.26800000000000002</v>
      </c>
      <c r="G24" s="66">
        <v>0.33400000000000002</v>
      </c>
      <c r="H24" s="58">
        <v>0.27300000000000002</v>
      </c>
      <c r="I24" s="58">
        <v>0.26700000000000002</v>
      </c>
      <c r="J24" s="58">
        <v>0.28100000000000003</v>
      </c>
      <c r="K24" s="58">
        <v>0.32900000000000001</v>
      </c>
      <c r="L24" s="66">
        <v>0.32900000000000001</v>
      </c>
      <c r="M24" s="30">
        <v>0.376</v>
      </c>
      <c r="N24" s="30">
        <v>0.32800000000000001</v>
      </c>
      <c r="O24" s="30">
        <v>0.31</v>
      </c>
      <c r="P24" s="30">
        <v>0.30099999999999999</v>
      </c>
      <c r="Q24" s="66">
        <v>0.30099999999999999</v>
      </c>
      <c r="R24" s="58">
        <v>0.32400000000000001</v>
      </c>
      <c r="S24" s="30">
        <v>0.29699999999999999</v>
      </c>
      <c r="T24" s="30">
        <v>0.33</v>
      </c>
      <c r="U24" s="30">
        <v>0.32700000000000001</v>
      </c>
      <c r="V24" s="66">
        <v>0.32700000000000001</v>
      </c>
    </row>
    <row r="25" spans="1:22" ht="17.25" thickBot="1">
      <c r="B25" s="9" t="s">
        <v>13</v>
      </c>
      <c r="C25" s="34"/>
      <c r="D25" s="34"/>
      <c r="E25" s="34"/>
      <c r="F25" s="34"/>
      <c r="G25" s="68">
        <f>G23/G12</f>
        <v>1.0467061387097485</v>
      </c>
      <c r="H25" s="34"/>
      <c r="I25" s="34"/>
      <c r="J25" s="34"/>
      <c r="K25" s="34"/>
      <c r="L25" s="68">
        <v>1.0425758493245076</v>
      </c>
      <c r="M25" s="34"/>
      <c r="N25" s="34"/>
      <c r="O25" s="34"/>
      <c r="P25" s="34"/>
      <c r="Q25" s="68">
        <v>0.97162614968708882</v>
      </c>
      <c r="R25" s="34"/>
      <c r="S25" s="34"/>
      <c r="T25" s="34"/>
      <c r="U25" s="34"/>
      <c r="V25" s="68">
        <v>1.0262622088034821</v>
      </c>
    </row>
    <row r="26" spans="1:22"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R26" s="35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9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Separate</vt:lpstr>
      <vt:lpstr>Consolidated</vt:lpstr>
      <vt:lpstr>Consolidated!Print_Area</vt:lpstr>
      <vt:lpstr>Separate!Print_Area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유옥동(IR1팀)</cp:lastModifiedBy>
  <cp:lastPrinted>2021-05-10T04:59:32Z</cp:lastPrinted>
  <dcterms:created xsi:type="dcterms:W3CDTF">2012-01-10T00:01:55Z</dcterms:created>
  <dcterms:modified xsi:type="dcterms:W3CDTF">2022-02-09T01:29:49Z</dcterms:modified>
</cp:coreProperties>
</file>