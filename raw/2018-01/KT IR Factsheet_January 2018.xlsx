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Factsheet\"/>
    </mc:Choice>
  </mc:AlternateContent>
  <bookViews>
    <workbookView xWindow="12348" yWindow="72" windowWidth="11688" windowHeight="9912"/>
  </bookViews>
  <sheets>
    <sheet name="Fixed(M)" sheetId="1" r:id="rId1"/>
    <sheet name="Wireless(Q)" sheetId="2" r:id="rId2"/>
  </sheets>
  <definedNames>
    <definedName name="_xlnm.Print_Area" localSheetId="0">'Fixed(M)'!$A$1:$FB$41</definedName>
    <definedName name="_xlnm.Print_Area" localSheetId="1">'Wireless(Q)'!$A$1:$AO$43</definedName>
  </definedNames>
  <calcPr calcId="152511"/>
  <fileRecoveryPr repairLoad="1"/>
</workbook>
</file>

<file path=xl/calcChain.xml><?xml version="1.0" encoding="utf-8"?>
<calcChain xmlns="http://schemas.openxmlformats.org/spreadsheetml/2006/main">
  <c r="AO5" i="2" l="1"/>
  <c r="AN5" i="2" l="1"/>
  <c r="AK17" i="2" l="1"/>
  <c r="AJ17" i="2"/>
  <c r="AI17" i="2"/>
  <c r="AH17" i="2"/>
  <c r="AG17" i="2"/>
  <c r="AF17" i="2"/>
  <c r="AE17" i="2"/>
  <c r="AD17" i="2"/>
  <c r="AC17" i="2"/>
  <c r="AB17" i="2"/>
  <c r="AA17" i="2"/>
  <c r="Z17" i="2"/>
  <c r="Y17" i="2"/>
  <c r="AK5" i="2"/>
  <c r="AJ5" i="2"/>
</calcChain>
</file>

<file path=xl/sharedStrings.xml><?xml version="1.0" encoding="utf-8"?>
<sst xmlns="http://schemas.openxmlformats.org/spreadsheetml/2006/main" count="203" uniqueCount="120">
  <si>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</si>
  <si>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</si>
  <si>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</si>
  <si>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</si>
  <si>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</si>
  <si>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</si>
  <si>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</si>
  <si>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</si>
  <si>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</si>
  <si>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</si>
  <si>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</si>
  <si>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</si>
  <si>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</si>
  <si>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</si>
  <si>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</si>
  <si>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</si>
  <si>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</si>
  <si>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</si>
  <si>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</si>
  <si>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MSIP</t>
    </r>
    <phoneticPr fontId="5" type="noConversion"/>
  </si>
  <si>
    <t>Net add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</si>
  <si>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</si>
  <si>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</si>
  <si>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</si>
  <si>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Broadband subscribers are not classified according to the service lineup. Lite and Special pricing plans are unified into "Olleh Internet" in August, 2014</t>
    <phoneticPr fontId="5" type="noConversion"/>
  </si>
  <si>
    <t xml:space="preserve"> 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</si>
  <si>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</si>
  <si>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</si>
  <si>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</si>
  <si>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</si>
  <si>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</si>
  <si>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</si>
  <si>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</si>
  <si>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</si>
  <si>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</si>
  <si>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</si>
  <si>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</si>
  <si>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</si>
  <si>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</si>
  <si>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Note 1) Subscribers : Based on MSIP’s new guidelines for subscriber disclosure (Retroactively applied from 1Q14, MVNO included)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</si>
  <si>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</si>
  <si>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</si>
  <si>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</si>
  <si>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</si>
  <si>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</si>
  <si>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</si>
  <si>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</si>
  <si>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</si>
  <si>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</si>
  <si>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</si>
  <si>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</si>
  <si>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</si>
  <si>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</si>
  <si>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</si>
  <si>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</si>
  <si>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</si>
  <si>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</si>
  <si>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</si>
  <si>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</si>
  <si>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</si>
  <si>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</si>
  <si>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</si>
  <si>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</si>
  <si>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</si>
  <si>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</si>
  <si>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</si>
  <si>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</si>
  <si>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</si>
  <si>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</si>
  <si>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</si>
  <si>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</si>
  <si>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</si>
  <si>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</si>
  <si>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</si>
  <si>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</si>
  <si>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</si>
  <si>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</si>
  <si>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</si>
  <si>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</si>
  <si>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</si>
  <si>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</si>
  <si>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</si>
  <si>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</si>
  <si>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</si>
  <si>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</si>
  <si>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</si>
  <si>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</si>
  <si>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Activation fee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</si>
  <si>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</si>
  <si>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</si>
  <si>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</si>
  <si>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</si>
  <si>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</si>
  <si>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※ Broadband</t>
    <phoneticPr fontId="5" type="noConversion"/>
  </si>
  <si>
    <t xml:space="preserve">   - 2008.5.19 상품체계 개편에 따라 Lite, Special 두가지로 통합. 기존의 Lite, Premium→Lite(최대속도50M), Special, Ntopia→Special(최대속도100M) </t>
    <phoneticPr fontId="5" type="noConversion"/>
  </si>
  <si>
    <t xml:space="preserve">   - Reorganized service lineup into 2 price packages- Lite and Special in May 19, 2008. Previous Lite, Premium→Lite(50M), Special, Ntopia→Special(100M)</t>
    <phoneticPr fontId="5" type="noConversion"/>
  </si>
  <si>
    <t xml:space="preserve">   - 인터넷요금제 Lite와 Special은 2014년 8월부터 Olleh Internet으로 상품 일원화 되어 구분하지 않기로 함</t>
    <phoneticPr fontId="5" type="noConversion"/>
  </si>
  <si>
    <t>※ Fixed-Line</t>
    <phoneticPr fontId="5" type="noConversion"/>
  </si>
  <si>
    <t xml:space="preserve">   - PSTN : 2008년 1월부터 방송통신위원회에서 제공되는 가입자와 동일한 산정방법에 따라, 시내전화 가입자수에 집단전화 가입자수를 포함하여 제공, 단 별도 DID 가입자 포함</t>
    <phoneticPr fontId="5" type="noConversion"/>
  </si>
  <si>
    <t xml:space="preserve">   - Local : 기존에 제공되던 Household 가입자 현황  /  - Group : 기존에 제공되던 Business 가입자 현황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</si>
  <si>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</si>
  <si>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</si>
  <si>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</si>
  <si>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</si>
  <si>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</si>
  <si>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</si>
  <si>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</si>
  <si>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</si>
  <si>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</si>
  <si>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</si>
  <si>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</si>
  <si>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</si>
  <si>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※ LGU+, 2017년 3월부터 IPTV 가입자를 STB 기준으로 발표. The number of IPTV subscribers are indicated based on STB from March, 2017</t>
    <phoneticPr fontId="2" type="noConversion"/>
  </si>
  <si>
    <t>Note 2) ARPU : Calculation based on billed subscribers (Retroactively applied from 1Q14). Handset insurance revenue and etc. retroactively adjusted from 1Q15.</t>
    <phoneticPr fontId="5" type="noConversion"/>
  </si>
  <si>
    <t>2Q 17</t>
    <phoneticPr fontId="5" type="noConversion"/>
  </si>
  <si>
    <t>3Q 17</t>
    <phoneticPr fontId="5" type="noConversion"/>
  </si>
  <si>
    <t>※ 미래부(또는 정부) 유료방송 가입자수 및 시장점유율 산정 기준에 따른 가입자 통계와는 차이가 있음. Olleh TV Subscriber and Market share of IR factsheet is different from that of MSIP's subscriber disclosure.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</si>
  <si>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2017.</t>
    </r>
    <phoneticPr fontId="2" type="noConversion"/>
  </si>
  <si>
    <t>4Q 17</t>
    <phoneticPr fontId="5" type="noConversion"/>
  </si>
  <si>
    <t>KT Monthly Factsheet (January 2018)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</si>
</sst>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.000_ "/>
    <numFmt numFmtId="186" formatCode="#,##0_ ;[Red]\-#,##0\ 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7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  <font>
      <sz val="16"/>
      <color theme="1" tint="0.49998474074526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</cellStyleXfs>
  <cellXfs count="198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180" fontId="21" fillId="0" borderId="0" xfId="2" applyNumberFormat="1" applyFont="1" applyFill="1" applyBorder="1" applyAlignment="1">
      <alignment horizontal="center" vertical="center"/>
    </xf>
    <xf numFmtId="181" fontId="21" fillId="0" borderId="0" xfId="3" applyNumberFormat="1" applyFont="1" applyFill="1" applyBorder="1" applyAlignment="1">
      <alignment horizontal="center" vertical="center"/>
    </xf>
    <xf numFmtId="181" fontId="23" fillId="0" borderId="0" xfId="3" applyNumberFormat="1" applyFont="1" applyFill="1" applyBorder="1" applyAlignment="1">
      <alignment horizontal="center" vertical="center"/>
    </xf>
    <xf numFmtId="180" fontId="6" fillId="0" borderId="0" xfId="3" applyNumberFormat="1" applyFont="1" applyFill="1" applyBorder="1" applyAlignment="1">
      <alignment horizontal="center" vertical="center"/>
    </xf>
    <xf numFmtId="185" fontId="6" fillId="0" borderId="0" xfId="3" applyNumberFormat="1" applyFont="1" applyFill="1" applyBorder="1" applyAlignment="1">
      <alignment horizontal="center" vertical="center"/>
    </xf>
    <xf numFmtId="180" fontId="18" fillId="0" borderId="0" xfId="2" applyNumberFormat="1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Border="1" applyAlignment="1">
      <alignment horizontal="left" vertical="center"/>
    </xf>
    <xf numFmtId="176" fontId="25" fillId="10" borderId="0" xfId="3" applyNumberFormat="1" applyFont="1" applyFill="1" applyBorder="1" applyAlignment="1">
      <alignment horizontal="left" vertical="center"/>
    </xf>
    <xf numFmtId="0" fontId="26" fillId="10" borderId="0" xfId="3" applyFont="1" applyFill="1" applyBorder="1" applyAlignment="1">
      <alignment horizontal="center" vertical="center"/>
    </xf>
    <xf numFmtId="177" fontId="26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7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7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8" fillId="7" borderId="4" xfId="0" applyNumberFormat="1" applyFont="1" applyFill="1" applyBorder="1" applyAlignment="1">
      <alignment horizontal="right" vertical="center"/>
    </xf>
    <xf numFmtId="186" fontId="28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8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8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8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8" fillId="7" borderId="3" xfId="0" applyNumberFormat="1" applyFont="1" applyFill="1" applyBorder="1" applyAlignment="1">
      <alignment horizontal="right" vertical="center"/>
    </xf>
    <xf numFmtId="9" fontId="29" fillId="2" borderId="0" xfId="2" applyFont="1" applyFill="1" applyBorder="1" applyAlignment="1">
      <alignment horizontal="right" vertical="center"/>
    </xf>
    <xf numFmtId="41" fontId="30" fillId="2" borderId="0" xfId="1" applyFont="1" applyFill="1" applyBorder="1" applyAlignment="1">
      <alignment horizontal="right" vertical="center"/>
    </xf>
    <xf numFmtId="179" fontId="30" fillId="2" borderId="0" xfId="1" applyNumberFormat="1" applyFont="1" applyFill="1" applyBorder="1" applyAlignment="1">
      <alignment horizontal="right" vertical="center"/>
    </xf>
    <xf numFmtId="41" fontId="30" fillId="2" borderId="0" xfId="1" applyNumberFormat="1" applyFont="1" applyFill="1" applyBorder="1" applyAlignment="1">
      <alignment horizontal="right" vertical="center"/>
    </xf>
    <xf numFmtId="186" fontId="30" fillId="2" borderId="0" xfId="1" applyNumberFormat="1" applyFont="1" applyFill="1" applyBorder="1" applyAlignment="1">
      <alignment horizontal="right" vertical="center"/>
    </xf>
    <xf numFmtId="9" fontId="31" fillId="2" borderId="1" xfId="2" applyFont="1" applyFill="1" applyBorder="1" applyAlignment="1">
      <alignment horizontal="right" vertical="center"/>
    </xf>
    <xf numFmtId="180" fontId="31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8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7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8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3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9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6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9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5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6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7" fillId="0" borderId="0" xfId="4" applyFont="1" applyFill="1" applyBorder="1" applyAlignment="1">
      <alignment horizontal="left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0" fontId="37" fillId="0" borderId="0" xfId="4" applyNumberFormat="1" applyFont="1" applyFill="1" applyBorder="1" applyAlignment="1">
      <alignment horizontal="left" vertical="center"/>
    </xf>
    <xf numFmtId="0" fontId="37" fillId="0" borderId="0" xfId="3" applyFont="1" applyFill="1" applyBorder="1" applyAlignment="1">
      <alignment vertical="center"/>
    </xf>
    <xf numFmtId="181" fontId="18" fillId="2" borderId="0" xfId="1" applyNumberFormat="1" applyFont="1" applyFill="1" applyBorder="1" applyAlignment="1">
      <alignment horizontal="right" vertical="center"/>
    </xf>
    <xf numFmtId="181" fontId="18" fillId="0" borderId="0" xfId="1" applyNumberFormat="1" applyFont="1" applyFill="1" applyBorder="1" applyAlignment="1">
      <alignment horizontal="right" vertical="center"/>
    </xf>
    <xf numFmtId="181" fontId="39" fillId="0" borderId="0" xfId="1" applyNumberFormat="1" applyFont="1" applyFill="1" applyBorder="1" applyAlignment="1">
      <alignment horizontal="right" vertical="center"/>
    </xf>
    <xf numFmtId="181" fontId="21" fillId="2" borderId="0" xfId="1" applyNumberFormat="1" applyFont="1" applyFill="1" applyBorder="1" applyAlignment="1">
      <alignment horizontal="left" vertical="center"/>
    </xf>
  </cellXfs>
  <cellStyles count="5">
    <cellStyle name="9" xfId="3"/>
    <cellStyle name="백분율" xfId="2" builtinId="5"/>
    <cellStyle name="쉼표 [0]" xfId="1" builtinId="6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157</xdr:col>
      <xdr:colOff>78122</xdr:colOff>
      <xdr:row>0</xdr:row>
      <xdr:rowOff>126093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5186022" y="12609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41</xdr:col>
      <xdr:colOff>424997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40</xdr:col>
      <xdr:colOff>332016</xdr:colOff>
      <xdr:row>0</xdr:row>
      <xdr:rowOff>48078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1566073" y="48078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B55"/>
  <sheetViews>
    <sheetView showGridLines="0" tabSelected="1" view="pageBreakPreview" zoomScale="60" zoomScaleNormal="30" workbookViewId="0">
      <pane xSplit="133" topLeftCell="EH1" activePane="topRight" state="frozen"/>
      <selection pane="topRight" activeCell="FB33" sqref="FB33"/>
    </sheetView>
  </sheetViews>
  <sheetFormatPr defaultColWidth="9" defaultRowHeight="30.75" customHeight="1" x14ac:dyDescent="0.4"/>
  <cols>
    <col min="1" max="1" width="35.8984375" style="115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33" width="12.59765625" style="6" hidden="1" customWidth="1"/>
    <col min="134" max="147" width="12.59765625" style="6" customWidth="1"/>
    <col min="148" max="148" width="11.69921875" style="6" bestFit="1" customWidth="1"/>
    <col min="149" max="156" width="11.69921875" style="6" customWidth="1"/>
    <col min="157" max="157" width="11.3984375" style="6" customWidth="1"/>
    <col min="158" max="158" width="11.69921875" style="6" customWidth="1"/>
    <col min="159" max="16384" width="9" style="6"/>
  </cols>
  <sheetData>
    <row r="1" spans="1:158" ht="44.25" customHeight="1" x14ac:dyDescent="0.4">
      <c r="A1" s="1" t="s">
        <v>119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58" ht="29.25" customHeight="1" x14ac:dyDescent="0.4">
      <c r="A2" s="6"/>
    </row>
    <row r="3" spans="1:158" s="9" customFormat="1" ht="24.75" customHeight="1" x14ac:dyDescent="0.4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</row>
    <row r="4" spans="1:158" s="17" customFormat="1" ht="29.25" customHeight="1" x14ac:dyDescent="0.4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</row>
    <row r="5" spans="1:158" s="17" customFormat="1" ht="29.25" customHeight="1" x14ac:dyDescent="0.4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</row>
    <row r="6" spans="1:158" s="17" customFormat="1" ht="29.25" customHeight="1" x14ac:dyDescent="0.4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</row>
    <row r="7" spans="1:158" s="17" customFormat="1" ht="29.25" customHeight="1" x14ac:dyDescent="0.4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</row>
    <row r="8" spans="1:158" s="17" customFormat="1" ht="29.25" customHeight="1" x14ac:dyDescent="0.4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</row>
    <row r="9" spans="1:158" s="31" customFormat="1" ht="29.25" customHeight="1" x14ac:dyDescent="0.4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</row>
    <row r="10" spans="1:158" s="31" customFormat="1" ht="29.25" customHeight="1" x14ac:dyDescent="0.4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</row>
    <row r="11" spans="1:158" s="17" customFormat="1" ht="29.25" customHeight="1" x14ac:dyDescent="0.4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</row>
    <row r="12" spans="1:158" s="17" customFormat="1" ht="29.25" customHeight="1" x14ac:dyDescent="0.4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</row>
    <row r="13" spans="1:158" s="17" customFormat="1" ht="20.100000000000001" customHeight="1" x14ac:dyDescent="0.4">
      <c r="A13" s="197" t="s">
        <v>117</v>
      </c>
      <c r="B13" s="194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  <c r="AV13" s="194"/>
      <c r="AW13" s="194"/>
      <c r="AX13" s="194"/>
      <c r="AY13" s="194"/>
      <c r="AZ13" s="194"/>
      <c r="BA13" s="194"/>
      <c r="BB13" s="194"/>
      <c r="BC13" s="194"/>
      <c r="BD13" s="194"/>
      <c r="BE13" s="194"/>
      <c r="BF13" s="194"/>
      <c r="BG13" s="194"/>
      <c r="BH13" s="194"/>
      <c r="BI13" s="194"/>
      <c r="BJ13" s="194"/>
      <c r="BK13" s="194"/>
      <c r="BL13" s="194"/>
      <c r="BM13" s="194"/>
      <c r="BN13" s="194"/>
      <c r="BO13" s="194"/>
      <c r="BP13" s="194"/>
      <c r="BQ13" s="194"/>
      <c r="BR13" s="194"/>
      <c r="BS13" s="194"/>
      <c r="BT13" s="194"/>
      <c r="BU13" s="194"/>
      <c r="BV13" s="194"/>
      <c r="BW13" s="194"/>
      <c r="BX13" s="194"/>
      <c r="BY13" s="194"/>
      <c r="BZ13" s="194"/>
      <c r="CA13" s="194"/>
      <c r="CB13" s="194"/>
      <c r="CC13" s="194"/>
      <c r="CD13" s="194"/>
      <c r="CE13" s="194"/>
      <c r="CF13" s="194"/>
      <c r="CG13" s="194"/>
      <c r="CH13" s="194"/>
      <c r="CI13" s="194"/>
      <c r="CJ13" s="194"/>
      <c r="CK13" s="194"/>
      <c r="CL13" s="194"/>
      <c r="CM13" s="194"/>
      <c r="CN13" s="194"/>
      <c r="CO13" s="194"/>
      <c r="CP13" s="194"/>
      <c r="CQ13" s="194"/>
      <c r="CR13" s="194"/>
      <c r="CS13" s="195"/>
      <c r="CT13" s="195"/>
      <c r="CU13" s="195"/>
      <c r="CV13" s="195"/>
      <c r="CW13" s="195"/>
      <c r="CX13" s="195"/>
      <c r="CY13" s="195"/>
      <c r="CZ13" s="195"/>
      <c r="DA13" s="195"/>
      <c r="DB13" s="195"/>
      <c r="DC13" s="195"/>
      <c r="DD13" s="195"/>
      <c r="DE13" s="195"/>
      <c r="DF13" s="195"/>
      <c r="DG13" s="195"/>
      <c r="DH13" s="195"/>
      <c r="DI13" s="195"/>
      <c r="DJ13" s="195"/>
      <c r="DK13" s="195"/>
      <c r="DL13" s="195"/>
      <c r="DM13" s="195"/>
      <c r="DN13" s="195"/>
      <c r="DO13" s="195"/>
      <c r="DP13" s="195"/>
      <c r="DQ13" s="195"/>
      <c r="DR13" s="195"/>
      <c r="DS13" s="195"/>
      <c r="DT13" s="195"/>
      <c r="DU13" s="195"/>
      <c r="DV13" s="195"/>
      <c r="DW13" s="195"/>
      <c r="DX13" s="195"/>
      <c r="DY13" s="195"/>
      <c r="DZ13" s="195"/>
      <c r="EA13" s="195"/>
      <c r="EB13" s="195"/>
      <c r="EC13" s="195"/>
      <c r="ED13" s="195"/>
      <c r="EE13" s="195"/>
      <c r="EF13" s="195"/>
      <c r="EG13" s="195"/>
      <c r="EH13" s="195"/>
      <c r="EI13" s="195"/>
      <c r="EJ13" s="195"/>
      <c r="EK13" s="195"/>
      <c r="EL13" s="195"/>
      <c r="EM13" s="195"/>
      <c r="EN13" s="195"/>
      <c r="EO13" s="195"/>
      <c r="EP13" s="195"/>
      <c r="EQ13" s="195"/>
      <c r="ER13" s="195"/>
      <c r="ES13" s="195"/>
      <c r="ET13" s="195"/>
      <c r="EU13" s="195"/>
      <c r="EV13" s="195"/>
      <c r="EW13" s="195"/>
      <c r="EX13" s="195"/>
      <c r="EY13" s="196"/>
      <c r="EZ13" s="195"/>
      <c r="FA13" s="196"/>
      <c r="FB13" s="196"/>
    </row>
    <row r="14" spans="1:158" s="17" customFormat="1" ht="24.75" customHeight="1" x14ac:dyDescent="0.4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7"/>
      <c r="BH14" s="37"/>
      <c r="BI14" s="37"/>
      <c r="BJ14" s="37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/>
      <c r="EQ14"/>
      <c r="ER14"/>
      <c r="ES14"/>
      <c r="ET14"/>
      <c r="EU14"/>
      <c r="EV14"/>
      <c r="EW14"/>
      <c r="EX14"/>
      <c r="EY14" s="36"/>
      <c r="EZ14"/>
      <c r="FA14" s="36"/>
      <c r="FB14" s="36"/>
    </row>
    <row r="15" spans="1:158" s="39" customFormat="1" ht="24.75" customHeight="1" x14ac:dyDescent="0.4">
      <c r="A15" s="38"/>
      <c r="AL15" s="8">
        <v>2008</v>
      </c>
      <c r="AR15" s="9"/>
      <c r="AX15" s="8">
        <v>2009</v>
      </c>
      <c r="BD15" s="9"/>
      <c r="BJ15" s="8">
        <v>2010</v>
      </c>
      <c r="BK15" s="40"/>
      <c r="BL15" s="40"/>
      <c r="BM15" s="40"/>
      <c r="BN15" s="40"/>
      <c r="BO15" s="40"/>
      <c r="BP15" s="6"/>
      <c r="BQ15" s="40"/>
      <c r="BR15" s="40"/>
      <c r="BS15" s="40"/>
      <c r="BT15" s="40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</row>
    <row r="16" spans="1:158" s="41" customFormat="1" ht="29.25" customHeight="1" x14ac:dyDescent="0.4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</row>
    <row r="17" spans="1:158" s="43" customFormat="1" ht="29.25" customHeight="1" x14ac:dyDescent="0.4">
      <c r="A17" s="42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</row>
    <row r="18" spans="1:158" s="43" customFormat="1" ht="29.25" customHeight="1" x14ac:dyDescent="0.4">
      <c r="A18" s="44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</row>
    <row r="19" spans="1:158" s="47" customFormat="1" ht="29.25" hidden="1" customHeight="1" x14ac:dyDescent="0.4">
      <c r="A19" s="45" t="s">
        <v>9</v>
      </c>
      <c r="B19" s="46">
        <v>4876437</v>
      </c>
      <c r="C19" s="46">
        <v>4868216</v>
      </c>
      <c r="D19" s="46">
        <v>4862075</v>
      </c>
      <c r="E19" s="46">
        <v>4854558</v>
      </c>
      <c r="F19" s="46">
        <v>4831436</v>
      </c>
      <c r="G19" s="46">
        <v>4821986</v>
      </c>
      <c r="H19" s="46">
        <v>4823780</v>
      </c>
      <c r="I19" s="46">
        <v>4837908</v>
      </c>
      <c r="J19" s="46">
        <v>4837269</v>
      </c>
      <c r="K19" s="46">
        <v>4820625</v>
      </c>
      <c r="L19" s="46">
        <v>4810788</v>
      </c>
      <c r="M19" s="46">
        <v>4788942</v>
      </c>
      <c r="N19" s="46">
        <v>4787601</v>
      </c>
      <c r="O19" s="46">
        <v>4778547</v>
      </c>
      <c r="P19" s="46">
        <v>4724684</v>
      </c>
      <c r="Q19" s="46">
        <v>4728481</v>
      </c>
      <c r="R19" s="46">
        <v>4740265</v>
      </c>
      <c r="S19" s="46">
        <v>4772280</v>
      </c>
      <c r="T19" s="46">
        <v>4778874</v>
      </c>
      <c r="U19" s="46">
        <v>4784952</v>
      </c>
      <c r="V19" s="46">
        <v>4834732</v>
      </c>
      <c r="W19" s="46">
        <v>4872555</v>
      </c>
      <c r="X19" s="46">
        <v>4900224</v>
      </c>
      <c r="Y19" s="46">
        <v>4937187</v>
      </c>
      <c r="Z19" s="46">
        <v>5585070</v>
      </c>
      <c r="AA19" s="46">
        <v>5629537</v>
      </c>
      <c r="AB19" s="46">
        <v>5686454</v>
      </c>
      <c r="AC19" s="46">
        <v>5682919</v>
      </c>
      <c r="AD19" s="46">
        <v>5699599</v>
      </c>
      <c r="AE19" s="46">
        <v>5694737</v>
      </c>
      <c r="AF19" s="46">
        <v>5671453</v>
      </c>
      <c r="AG19" s="46">
        <v>5653174</v>
      </c>
      <c r="AH19" s="46">
        <v>5639452</v>
      </c>
      <c r="AI19" s="46">
        <v>5618010</v>
      </c>
      <c r="AJ19" s="46">
        <v>5592588</v>
      </c>
      <c r="AK19" s="46">
        <v>5573114</v>
      </c>
      <c r="AL19" s="46">
        <v>5554600</v>
      </c>
      <c r="AM19" s="46">
        <v>5565964</v>
      </c>
      <c r="AN19" s="46">
        <v>5599970</v>
      </c>
      <c r="AO19" s="46">
        <v>5600582</v>
      </c>
      <c r="AP19" s="46">
        <v>5613366</v>
      </c>
      <c r="AQ19" s="46">
        <v>5596844</v>
      </c>
      <c r="AR19" s="46">
        <v>5629828</v>
      </c>
      <c r="AS19" s="46">
        <v>5662337</v>
      </c>
      <c r="AT19" s="46">
        <v>5611047</v>
      </c>
      <c r="AU19" s="46">
        <v>5624066</v>
      </c>
      <c r="AV19" s="46">
        <v>5600155</v>
      </c>
      <c r="AW19" s="46">
        <v>5552393</v>
      </c>
      <c r="AX19" s="46">
        <v>5518916</v>
      </c>
      <c r="AY19" s="46">
        <v>5512777</v>
      </c>
      <c r="AZ19" s="46">
        <v>5533193</v>
      </c>
      <c r="BA19" s="46">
        <v>5566298</v>
      </c>
      <c r="BB19" s="46">
        <v>5565764</v>
      </c>
      <c r="BC19" s="46">
        <v>5562167</v>
      </c>
      <c r="BD19" s="46">
        <v>5580583</v>
      </c>
      <c r="BE19" s="46">
        <v>5587144</v>
      </c>
      <c r="BF19" s="46">
        <v>5627214</v>
      </c>
      <c r="BG19" s="46">
        <v>5669424</v>
      </c>
      <c r="BH19" s="46">
        <v>5741276</v>
      </c>
      <c r="BI19" s="46">
        <v>5762476</v>
      </c>
      <c r="BJ19" s="46">
        <v>5776365</v>
      </c>
      <c r="BK19" s="46">
        <v>5821668</v>
      </c>
      <c r="BL19" s="46">
        <v>5895038</v>
      </c>
      <c r="BM19" s="46">
        <v>5940203</v>
      </c>
      <c r="BN19" s="46">
        <v>5982488</v>
      </c>
      <c r="BO19" s="46">
        <v>6014640</v>
      </c>
      <c r="BP19" s="46">
        <v>6056154</v>
      </c>
      <c r="BQ19" s="46">
        <v>6103488</v>
      </c>
      <c r="BR19" s="46">
        <v>6158367</v>
      </c>
      <c r="BS19" s="46">
        <v>6211503</v>
      </c>
      <c r="BT19" s="46">
        <v>6255845</v>
      </c>
      <c r="BU19" s="46">
        <v>6286709</v>
      </c>
      <c r="BV19" s="46">
        <v>6325407</v>
      </c>
      <c r="BW19" s="46">
        <v>6372847</v>
      </c>
      <c r="BX19" s="46">
        <v>6436728</v>
      </c>
      <c r="BY19" s="46">
        <v>6486004</v>
      </c>
      <c r="BZ19" s="46">
        <v>6509264</v>
      </c>
      <c r="CA19" s="46">
        <v>6546514</v>
      </c>
      <c r="CB19" s="46">
        <v>6582697</v>
      </c>
      <c r="CC19" s="46">
        <v>6621618</v>
      </c>
      <c r="CD19" s="46">
        <v>6665455</v>
      </c>
      <c r="CE19" s="46">
        <v>6708038</v>
      </c>
      <c r="CF19" s="46">
        <v>6748153</v>
      </c>
      <c r="CG19" s="46">
        <v>6786677</v>
      </c>
      <c r="CH19" s="46">
        <v>6809185</v>
      </c>
      <c r="CI19" s="46">
        <v>6842053</v>
      </c>
      <c r="CJ19" s="46">
        <v>6876224</v>
      </c>
      <c r="CK19" s="46">
        <v>6889842</v>
      </c>
      <c r="CL19" s="46">
        <v>6905673</v>
      </c>
      <c r="CM19" s="46">
        <v>6919201</v>
      </c>
      <c r="CN19" s="46">
        <v>6926623</v>
      </c>
      <c r="CO19" s="46">
        <v>6941065</v>
      </c>
      <c r="CP19" s="46">
        <v>6944042</v>
      </c>
      <c r="CQ19" s="46">
        <v>6944897</v>
      </c>
      <c r="CR19" s="46">
        <v>6947645</v>
      </c>
      <c r="CS19" s="46">
        <v>6940795</v>
      </c>
      <c r="CT19" s="46">
        <v>6941083</v>
      </c>
      <c r="CU19" s="46">
        <v>6934192</v>
      </c>
      <c r="CV19" s="46">
        <v>6928346</v>
      </c>
      <c r="CW19" s="46">
        <v>6914711</v>
      </c>
      <c r="CX19" s="46">
        <v>6903918</v>
      </c>
      <c r="CY19" s="46">
        <v>6906018</v>
      </c>
      <c r="CZ19" s="46">
        <v>6882501</v>
      </c>
      <c r="DA19" s="46">
        <v>6815467</v>
      </c>
      <c r="DB19" s="46">
        <v>6892779</v>
      </c>
      <c r="DC19" s="46">
        <v>6900664</v>
      </c>
      <c r="DD19" s="46">
        <v>6838915</v>
      </c>
      <c r="DE19" s="46">
        <v>6899113</v>
      </c>
      <c r="DF19" s="46">
        <v>6884214</v>
      </c>
      <c r="DG19" s="46">
        <v>6876219</v>
      </c>
      <c r="DH19" s="46">
        <v>6881640</v>
      </c>
      <c r="DI19" s="46">
        <v>6861461</v>
      </c>
      <c r="DJ19" s="46">
        <v>6872357</v>
      </c>
      <c r="DK19" s="46">
        <v>6884441</v>
      </c>
      <c r="DL19" s="46">
        <v>6896204</v>
      </c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</row>
    <row r="20" spans="1:158" s="47" customFormat="1" ht="29.25" hidden="1" customHeight="1" x14ac:dyDescent="0.4">
      <c r="A20" s="45" t="s">
        <v>10</v>
      </c>
      <c r="B20" s="46">
        <v>668649</v>
      </c>
      <c r="C20" s="46">
        <v>677503</v>
      </c>
      <c r="D20" s="46">
        <v>688997</v>
      </c>
      <c r="E20" s="46">
        <v>695798</v>
      </c>
      <c r="F20" s="46">
        <v>712800</v>
      </c>
      <c r="G20" s="46">
        <v>717099</v>
      </c>
      <c r="H20" s="46">
        <v>718277</v>
      </c>
      <c r="I20" s="46">
        <v>721371</v>
      </c>
      <c r="J20" s="46">
        <v>724032</v>
      </c>
      <c r="K20" s="46">
        <v>722302</v>
      </c>
      <c r="L20" s="46">
        <v>721421</v>
      </c>
      <c r="M20" s="46">
        <v>717866</v>
      </c>
      <c r="N20" s="46">
        <v>717065</v>
      </c>
      <c r="O20" s="46">
        <v>710695</v>
      </c>
      <c r="P20" s="46">
        <v>689726</v>
      </c>
      <c r="Q20" s="46">
        <v>681112</v>
      </c>
      <c r="R20" s="46">
        <v>675793</v>
      </c>
      <c r="S20" s="46">
        <v>671292</v>
      </c>
      <c r="T20" s="46">
        <v>670890</v>
      </c>
      <c r="U20" s="46">
        <v>663125</v>
      </c>
      <c r="V20" s="46">
        <v>646839</v>
      </c>
      <c r="W20" s="46">
        <v>635543</v>
      </c>
      <c r="X20" s="46">
        <v>622950</v>
      </c>
      <c r="Y20" s="46">
        <v>604485</v>
      </c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>
        <v>6903918</v>
      </c>
      <c r="CY20" s="46">
        <v>1132255</v>
      </c>
      <c r="CZ20" s="46">
        <v>1151965</v>
      </c>
      <c r="DA20" s="46">
        <v>1224531</v>
      </c>
      <c r="DB20" s="46">
        <v>1148565</v>
      </c>
      <c r="DC20" s="46"/>
      <c r="DD20" s="46"/>
      <c r="DE20" s="46"/>
      <c r="DF20" s="46"/>
      <c r="DG20" s="46"/>
      <c r="DH20" s="46">
        <v>1155259</v>
      </c>
      <c r="DI20" s="46">
        <v>1154082</v>
      </c>
      <c r="DJ20" s="46">
        <v>1154083</v>
      </c>
      <c r="DK20" s="46">
        <v>1154324</v>
      </c>
      <c r="DL20" s="48">
        <v>1151373</v>
      </c>
      <c r="DM20" s="48">
        <v>1144629</v>
      </c>
      <c r="DN20" s="48"/>
      <c r="DO20" s="48"/>
      <c r="DP20" s="48"/>
      <c r="DQ20" s="48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</row>
    <row r="21" spans="1:158" s="47" customFormat="1" ht="29.25" hidden="1" customHeight="1" x14ac:dyDescent="0.4">
      <c r="A21" s="45" t="s">
        <v>11</v>
      </c>
      <c r="B21" s="46">
        <v>3144</v>
      </c>
      <c r="C21" s="46">
        <v>4111</v>
      </c>
      <c r="D21" s="46">
        <v>4970</v>
      </c>
      <c r="E21" s="46">
        <v>5267</v>
      </c>
      <c r="F21" s="46">
        <v>5616</v>
      </c>
      <c r="G21" s="46">
        <v>5973</v>
      </c>
      <c r="H21" s="46">
        <v>6379</v>
      </c>
      <c r="I21" s="46">
        <v>6804</v>
      </c>
      <c r="J21" s="46">
        <v>7206</v>
      </c>
      <c r="K21" s="46">
        <v>7518</v>
      </c>
      <c r="L21" s="46">
        <v>7844</v>
      </c>
      <c r="M21" s="46">
        <v>8196</v>
      </c>
      <c r="N21" s="46">
        <v>8553</v>
      </c>
      <c r="O21" s="46">
        <v>8866</v>
      </c>
      <c r="P21" s="46">
        <v>8992</v>
      </c>
      <c r="Q21" s="46">
        <v>9035</v>
      </c>
      <c r="R21" s="46">
        <v>9069</v>
      </c>
      <c r="S21" s="46">
        <v>9035</v>
      </c>
      <c r="T21" s="46">
        <v>9011</v>
      </c>
      <c r="U21" s="46">
        <v>8900</v>
      </c>
      <c r="V21" s="46">
        <v>8730</v>
      </c>
      <c r="W21" s="46">
        <v>8529</v>
      </c>
      <c r="X21" s="46">
        <v>8352</v>
      </c>
      <c r="Y21" s="46">
        <v>8204</v>
      </c>
      <c r="Z21" s="46">
        <v>797376</v>
      </c>
      <c r="AA21" s="46">
        <v>783858</v>
      </c>
      <c r="AB21" s="46">
        <v>763275</v>
      </c>
      <c r="AC21" s="46">
        <v>809402</v>
      </c>
      <c r="AD21" s="46">
        <v>815409</v>
      </c>
      <c r="AE21" s="46">
        <v>827894</v>
      </c>
      <c r="AF21" s="46">
        <v>841395</v>
      </c>
      <c r="AG21" s="46">
        <v>858605</v>
      </c>
      <c r="AH21" s="46">
        <v>882628</v>
      </c>
      <c r="AI21" s="46">
        <v>902012</v>
      </c>
      <c r="AJ21" s="46">
        <v>920705</v>
      </c>
      <c r="AK21" s="46">
        <v>942427</v>
      </c>
      <c r="AL21" s="46">
        <v>964221</v>
      </c>
      <c r="AM21" s="46">
        <v>989198</v>
      </c>
      <c r="AN21" s="46">
        <v>1027205</v>
      </c>
      <c r="AO21" s="46">
        <v>1047465</v>
      </c>
      <c r="AP21" s="46">
        <v>1070864</v>
      </c>
      <c r="AQ21" s="46">
        <v>1090303</v>
      </c>
      <c r="AR21" s="46">
        <v>1112118</v>
      </c>
      <c r="AS21" s="46">
        <v>1148770</v>
      </c>
      <c r="AT21" s="46">
        <v>1142980</v>
      </c>
      <c r="AU21" s="46">
        <v>1169090</v>
      </c>
      <c r="AV21" s="46">
        <v>1171219</v>
      </c>
      <c r="AW21" s="46">
        <v>1159145</v>
      </c>
      <c r="AX21" s="46">
        <v>1165063</v>
      </c>
      <c r="AY21" s="46">
        <v>1170016</v>
      </c>
      <c r="AZ21" s="46">
        <v>1181212</v>
      </c>
      <c r="BA21" s="46">
        <v>1190189</v>
      </c>
      <c r="BB21" s="46">
        <v>1183598</v>
      </c>
      <c r="BC21" s="46">
        <v>1175927</v>
      </c>
      <c r="BD21" s="46">
        <v>1176118</v>
      </c>
      <c r="BE21" s="46">
        <v>1182436</v>
      </c>
      <c r="BF21" s="46">
        <v>1190866</v>
      </c>
      <c r="BG21" s="46">
        <v>1192732</v>
      </c>
      <c r="BH21" s="46">
        <v>1197297</v>
      </c>
      <c r="BI21" s="46">
        <v>1190357</v>
      </c>
      <c r="BJ21" s="46">
        <v>1190537</v>
      </c>
      <c r="BK21" s="46">
        <v>1192432</v>
      </c>
      <c r="BL21" s="46">
        <v>1195184</v>
      </c>
      <c r="BM21" s="46">
        <v>1190755</v>
      </c>
      <c r="BN21" s="46">
        <v>1183249</v>
      </c>
      <c r="BO21" s="46">
        <v>1174000</v>
      </c>
      <c r="BP21" s="46">
        <v>1166215</v>
      </c>
      <c r="BQ21" s="46">
        <v>1160052</v>
      </c>
      <c r="BR21" s="46">
        <v>1156401</v>
      </c>
      <c r="BS21" s="46">
        <v>1151547</v>
      </c>
      <c r="BT21" s="46">
        <v>1145753</v>
      </c>
      <c r="BU21" s="46">
        <v>1136898</v>
      </c>
      <c r="BV21" s="46">
        <v>1130854</v>
      </c>
      <c r="BW21" s="46">
        <v>1124743</v>
      </c>
      <c r="BX21" s="46">
        <v>1115452</v>
      </c>
      <c r="BY21" s="46">
        <v>1101672</v>
      </c>
      <c r="BZ21" s="46">
        <v>1092533</v>
      </c>
      <c r="CA21" s="46">
        <v>1082634</v>
      </c>
      <c r="CB21" s="46">
        <v>1074737</v>
      </c>
      <c r="CC21" s="46">
        <v>1066659</v>
      </c>
      <c r="CD21" s="46">
        <v>1058977</v>
      </c>
      <c r="CE21" s="46">
        <v>1051170</v>
      </c>
      <c r="CF21" s="46">
        <v>1043631</v>
      </c>
      <c r="CG21" s="46">
        <v>1036167</v>
      </c>
      <c r="CH21" s="46">
        <v>1036735</v>
      </c>
      <c r="CI21" s="46">
        <v>1038989</v>
      </c>
      <c r="CJ21" s="46">
        <v>1045316</v>
      </c>
      <c r="CK21" s="46">
        <v>1046025</v>
      </c>
      <c r="CL21" s="46">
        <v>1039159</v>
      </c>
      <c r="CM21" s="46">
        <v>1047480</v>
      </c>
      <c r="CN21" s="46">
        <v>1053694</v>
      </c>
      <c r="CO21" s="46">
        <v>1060234</v>
      </c>
      <c r="CP21" s="46">
        <v>1065373</v>
      </c>
      <c r="CQ21" s="46">
        <v>1072277</v>
      </c>
      <c r="CR21" s="46">
        <v>1084050</v>
      </c>
      <c r="CS21" s="46">
        <v>1095844</v>
      </c>
      <c r="CT21" s="46">
        <v>1105793</v>
      </c>
      <c r="CU21" s="46">
        <v>1113067</v>
      </c>
      <c r="CV21" s="46">
        <v>1121577</v>
      </c>
      <c r="CW21" s="46">
        <v>1124659</v>
      </c>
      <c r="CX21" s="46">
        <v>1127252</v>
      </c>
      <c r="CY21" s="46">
        <v>1132255</v>
      </c>
      <c r="CZ21" s="46">
        <v>1151965</v>
      </c>
      <c r="DA21" s="46">
        <v>1224531</v>
      </c>
      <c r="DB21" s="46">
        <v>1148565</v>
      </c>
      <c r="DC21" s="46">
        <v>1152550</v>
      </c>
      <c r="DD21" s="46">
        <v>1157905</v>
      </c>
      <c r="DE21" s="46">
        <v>1167515</v>
      </c>
      <c r="DF21" s="46">
        <v>1156526</v>
      </c>
      <c r="DG21" s="46">
        <v>1155957</v>
      </c>
      <c r="DH21" s="46">
        <v>1155259</v>
      </c>
      <c r="DI21" s="46">
        <v>1154082</v>
      </c>
      <c r="DJ21" s="46">
        <v>1154306</v>
      </c>
      <c r="DK21" s="46">
        <v>1154324</v>
      </c>
      <c r="DL21" s="46">
        <v>1151373</v>
      </c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</row>
    <row r="22" spans="1:158" s="54" customFormat="1" ht="29.25" hidden="1" customHeight="1" x14ac:dyDescent="0.4">
      <c r="A22" s="49" t="s">
        <v>12</v>
      </c>
      <c r="B22" s="50">
        <v>539363</v>
      </c>
      <c r="C22" s="50">
        <v>557441</v>
      </c>
      <c r="D22" s="50">
        <v>577251</v>
      </c>
      <c r="E22" s="50">
        <v>592298</v>
      </c>
      <c r="F22" s="50">
        <v>608706</v>
      </c>
      <c r="G22" s="50">
        <v>627417</v>
      </c>
      <c r="H22" s="50">
        <v>644839</v>
      </c>
      <c r="I22" s="50">
        <v>662676</v>
      </c>
      <c r="J22" s="50">
        <v>675533</v>
      </c>
      <c r="K22" s="50">
        <v>689740</v>
      </c>
      <c r="L22" s="50">
        <v>705242</v>
      </c>
      <c r="M22" s="50">
        <v>726785</v>
      </c>
      <c r="N22" s="50">
        <v>756063</v>
      </c>
      <c r="O22" s="50">
        <v>789458</v>
      </c>
      <c r="P22" s="50">
        <v>817203</v>
      </c>
      <c r="Q22" s="50">
        <v>841821</v>
      </c>
      <c r="R22" s="50">
        <v>860346</v>
      </c>
      <c r="S22" s="50">
        <v>867653</v>
      </c>
      <c r="T22" s="50">
        <v>861115</v>
      </c>
      <c r="U22" s="50">
        <v>849580</v>
      </c>
      <c r="V22" s="50">
        <v>842818</v>
      </c>
      <c r="W22" s="50">
        <v>831991</v>
      </c>
      <c r="X22" s="50">
        <v>816199</v>
      </c>
      <c r="Y22" s="50">
        <v>802666</v>
      </c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3"/>
      <c r="DA22" s="52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</row>
    <row r="23" spans="1:158" s="54" customFormat="1" ht="29.25" customHeight="1" x14ac:dyDescent="0.4">
      <c r="A23" s="55" t="s">
        <v>13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60"/>
      <c r="DA23" s="59"/>
      <c r="DB23" s="60"/>
      <c r="DC23" s="60"/>
      <c r="DD23" s="60"/>
      <c r="DE23" s="60"/>
      <c r="DF23" s="60"/>
      <c r="DG23" s="60"/>
      <c r="DH23" s="60"/>
      <c r="DI23" s="60"/>
      <c r="DJ23" s="60"/>
      <c r="DK23" s="60"/>
      <c r="DL23" s="60"/>
      <c r="DM23" s="60"/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0"/>
      <c r="DY23" s="60"/>
      <c r="DZ23" s="60"/>
      <c r="EA23" s="60"/>
      <c r="EB23" s="60"/>
      <c r="EC23" s="60"/>
      <c r="ED23" s="60"/>
      <c r="EE23" s="60"/>
      <c r="EF23" s="60"/>
      <c r="EG23" s="60"/>
      <c r="EH23" s="60"/>
      <c r="EI23" s="60"/>
      <c r="EJ23" s="60"/>
      <c r="EK23" s="60"/>
      <c r="EL23" s="60"/>
      <c r="EM23" s="60"/>
      <c r="EN23" s="60"/>
      <c r="EO23" s="60"/>
      <c r="EP23" s="60"/>
      <c r="EQ23" s="60"/>
      <c r="ER23" s="60"/>
      <c r="ES23" s="60"/>
      <c r="ET23" s="60"/>
      <c r="EU23" s="60"/>
      <c r="EV23" s="60"/>
      <c r="EW23" s="60"/>
      <c r="EX23" s="60"/>
      <c r="EY23" s="60"/>
      <c r="EZ23" s="60"/>
      <c r="FA23" s="60"/>
      <c r="FB23" s="60"/>
    </row>
    <row r="24" spans="1:158" s="54" customFormat="1" ht="29.25" customHeight="1" x14ac:dyDescent="0.4">
      <c r="A24" s="61" t="s">
        <v>14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4"/>
      <c r="BE24" s="64"/>
      <c r="BF24" s="64"/>
      <c r="BG24" s="64"/>
      <c r="BH24" s="64"/>
      <c r="BI24" s="64"/>
      <c r="BJ24" s="65">
        <v>0.42474098939888399</v>
      </c>
      <c r="BK24" s="65">
        <v>0.42578328073542054</v>
      </c>
      <c r="BL24" s="65">
        <v>0.42679990753961472</v>
      </c>
      <c r="BM24" s="65">
        <v>0.42774203242544839</v>
      </c>
      <c r="BN24" s="65">
        <v>0.43019807127789966</v>
      </c>
      <c r="BO24" s="65">
        <v>0.42815144085922369</v>
      </c>
      <c r="BP24" s="65">
        <v>0.4288325964522714</v>
      </c>
      <c r="BQ24" s="65">
        <v>0.42961551412423832</v>
      </c>
      <c r="BR24" s="65">
        <v>0.4309070855330272</v>
      </c>
      <c r="BS24" s="65">
        <v>0.43050446325964914</v>
      </c>
      <c r="BT24" s="65">
        <v>0.4314783401207517</v>
      </c>
      <c r="BU24" s="65">
        <v>0.43112079919532248</v>
      </c>
      <c r="BV24" s="65">
        <v>0.43203282639238794</v>
      </c>
      <c r="BW24" s="65">
        <v>0.43298035439110438</v>
      </c>
      <c r="BX24" s="65">
        <v>0.43405758068784073</v>
      </c>
      <c r="BY24" s="65">
        <v>0.43347227547071143</v>
      </c>
      <c r="BZ24" s="65">
        <v>0.43318646844788827</v>
      </c>
      <c r="CA24" s="65">
        <v>0.43334822862052469</v>
      </c>
      <c r="CB24" s="65">
        <v>0.43409155122160054</v>
      </c>
      <c r="CC24" s="65">
        <v>0.43468025268667437</v>
      </c>
      <c r="CD24" s="65">
        <v>0.43506134759756104</v>
      </c>
      <c r="CE24" s="65">
        <v>0.43615716211682831</v>
      </c>
      <c r="CF24" s="65">
        <v>0.4370349609055445</v>
      </c>
      <c r="CG24" s="65">
        <v>0.43802090559870527</v>
      </c>
      <c r="CH24" s="65">
        <v>0.43897762713108579</v>
      </c>
      <c r="CI24" s="66">
        <v>0.43979181177970594</v>
      </c>
      <c r="CJ24" s="65">
        <v>0.44098457611138797</v>
      </c>
      <c r="CK24" s="65">
        <v>0.44124604277233709</v>
      </c>
      <c r="CL24" s="65">
        <v>0.44217163233961992</v>
      </c>
      <c r="CM24" s="65">
        <v>0.44232931828587224</v>
      </c>
      <c r="CN24" s="65">
        <v>0.44252254224536114</v>
      </c>
      <c r="CO24" s="65">
        <v>0.44183167366883785</v>
      </c>
      <c r="CP24" s="65">
        <v>0.44157256744245588</v>
      </c>
      <c r="CQ24" s="65">
        <v>0.44138431236272074</v>
      </c>
      <c r="CR24" s="65">
        <v>0.44132602626758843</v>
      </c>
      <c r="CS24" s="66">
        <v>0.44111275402240507</v>
      </c>
      <c r="CT24" s="66">
        <v>0.43944694255826067</v>
      </c>
      <c r="CU24" s="66">
        <v>0.43839219023484088</v>
      </c>
      <c r="CV24" s="66">
        <v>0.43711602315966014</v>
      </c>
      <c r="CW24" s="66">
        <v>0.43574541476159906</v>
      </c>
      <c r="CX24" s="66">
        <v>0.43440515528641382</v>
      </c>
      <c r="CY24" s="66">
        <v>0.43379169159210623</v>
      </c>
      <c r="CZ24" s="66">
        <v>0.43316352122863366</v>
      </c>
      <c r="DA24" s="66">
        <v>0.43213523987435398</v>
      </c>
      <c r="DB24" s="66">
        <v>0.4313285272914521</v>
      </c>
      <c r="DC24" s="66">
        <v>0.43076271162869018</v>
      </c>
      <c r="DD24" s="66">
        <v>0.43045593382409425</v>
      </c>
      <c r="DE24" s="66">
        <v>0.43050684311696846</v>
      </c>
      <c r="DF24" s="66">
        <v>0.42854734593981564</v>
      </c>
      <c r="DG24" s="66">
        <v>0.42754418613861006</v>
      </c>
      <c r="DH24" s="66">
        <v>0.42630290695346068</v>
      </c>
      <c r="DI24" s="66">
        <v>0.42485400906216081</v>
      </c>
      <c r="DJ24" s="66">
        <v>0.42436808294468303</v>
      </c>
      <c r="DK24" s="66">
        <v>0.42396852362292037</v>
      </c>
      <c r="DL24" s="66">
        <v>0.4236080968563869</v>
      </c>
      <c r="DM24" s="66">
        <v>0.42372230729342963</v>
      </c>
      <c r="DN24" s="66">
        <v>0.42407558557018921</v>
      </c>
      <c r="DO24" s="66">
        <v>0.42446386399391822</v>
      </c>
      <c r="DP24" s="66">
        <v>0.42454270013877043</v>
      </c>
      <c r="DQ24" s="66">
        <v>0.42343403024355414</v>
      </c>
      <c r="DR24" s="66">
        <v>0.42304057364630526</v>
      </c>
      <c r="DS24" s="66">
        <v>0.42278720490262078</v>
      </c>
      <c r="DT24" s="66">
        <v>0.42243708070830205</v>
      </c>
      <c r="DU24" s="66">
        <v>0.42266904450452381</v>
      </c>
      <c r="DV24" s="66">
        <v>0.42252520148108702</v>
      </c>
      <c r="DW24" s="66">
        <v>0.42267794803606706</v>
      </c>
      <c r="DX24" s="66">
        <v>0.42261591781204177</v>
      </c>
      <c r="DY24" s="66">
        <v>0.41575216012528071</v>
      </c>
      <c r="DZ24" s="66">
        <v>0.41572100151773533</v>
      </c>
      <c r="EA24" s="66">
        <v>0.41608277182620962</v>
      </c>
      <c r="EB24" s="66">
        <v>0.41596055208146349</v>
      </c>
      <c r="EC24" s="66">
        <v>0.41548140113354665</v>
      </c>
      <c r="ED24" s="66">
        <v>0.41518437646711259</v>
      </c>
      <c r="EE24" s="66">
        <v>0.41672536100000002</v>
      </c>
      <c r="EF24" s="66">
        <v>0.41517010300000001</v>
      </c>
      <c r="EG24" s="66">
        <v>0.41517449400000001</v>
      </c>
      <c r="EH24" s="66">
        <v>0.41519741799999998</v>
      </c>
      <c r="EI24" s="66">
        <v>0.41518228099999999</v>
      </c>
      <c r="EJ24" s="66">
        <v>0.41498642099999999</v>
      </c>
      <c r="EK24" s="66">
        <v>0.41497197000000002</v>
      </c>
      <c r="EL24" s="66">
        <v>0.4151146</v>
      </c>
      <c r="EM24" s="66">
        <v>0.414989</v>
      </c>
      <c r="EN24" s="66">
        <v>0.41473500000000002</v>
      </c>
      <c r="EO24" s="66">
        <v>0.4143135</v>
      </c>
      <c r="EP24" s="66">
        <v>0.41379595000000002</v>
      </c>
      <c r="EQ24" s="66">
        <v>0.41240796299999999</v>
      </c>
      <c r="ER24" s="66">
        <v>0.4122981</v>
      </c>
      <c r="ES24" s="66">
        <v>0.41229844999999998</v>
      </c>
      <c r="ET24" s="66">
        <v>0.41254277700000003</v>
      </c>
      <c r="EU24" s="66">
        <v>0.41253130599999999</v>
      </c>
      <c r="EV24" s="66">
        <v>0.412240312</v>
      </c>
      <c r="EW24" s="66">
        <v>0.41246322800000002</v>
      </c>
      <c r="EX24" s="66">
        <v>0.41244865400000003</v>
      </c>
      <c r="EY24" s="66">
        <v>0.41249981800000002</v>
      </c>
      <c r="EZ24" s="66">
        <v>0.41299999999999998</v>
      </c>
      <c r="FA24" s="66">
        <v>0.41399999999999998</v>
      </c>
      <c r="FB24" s="66"/>
    </row>
    <row r="25" spans="1:158" s="54" customFormat="1" ht="29.25" customHeight="1" x14ac:dyDescent="0.4">
      <c r="A25" s="49" t="s">
        <v>15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2"/>
      <c r="BE25" s="52"/>
      <c r="BF25" s="52"/>
      <c r="BG25" s="52"/>
      <c r="BH25" s="52"/>
      <c r="BI25" s="52"/>
      <c r="BJ25" s="67">
        <v>0.23391712111909332</v>
      </c>
      <c r="BK25" s="67">
        <v>0.23384584024042632</v>
      </c>
      <c r="BL25" s="67">
        <v>0.23348901912533437</v>
      </c>
      <c r="BM25" s="67">
        <v>0.23286237044621658</v>
      </c>
      <c r="BN25" s="67">
        <v>0.22969541867265036</v>
      </c>
      <c r="BO25" s="67">
        <v>0.23283950806991827</v>
      </c>
      <c r="BP25" s="67">
        <v>0.23218210548422269</v>
      </c>
      <c r="BQ25" s="67">
        <v>0.23166324906306954</v>
      </c>
      <c r="BR25" s="67">
        <v>0.23125021980492927</v>
      </c>
      <c r="BS25" s="67">
        <v>0.23141536312246513</v>
      </c>
      <c r="BT25" s="67">
        <v>0.23221143843465938</v>
      </c>
      <c r="BU25" s="67">
        <v>0.23240795803783193</v>
      </c>
      <c r="BV25" s="67">
        <v>0.23304284160107985</v>
      </c>
      <c r="BW25" s="67">
        <v>0.23314241039449912</v>
      </c>
      <c r="BX25" s="67">
        <v>0.23293732270561321</v>
      </c>
      <c r="BY25" s="67">
        <v>0.23206827491290907</v>
      </c>
      <c r="BZ25" s="67">
        <v>0.23288235225735951</v>
      </c>
      <c r="CA25" s="67">
        <v>0.23351268077055534</v>
      </c>
      <c r="CB25" s="67">
        <v>0.23332824644889358</v>
      </c>
      <c r="CC25" s="67">
        <v>0.23353977828374314</v>
      </c>
      <c r="CD25" s="67">
        <v>0.23381927298465752</v>
      </c>
      <c r="CE25" s="67">
        <v>0.23369853607118091</v>
      </c>
      <c r="CF25" s="67">
        <v>0.23408980655562761</v>
      </c>
      <c r="CG25" s="67">
        <v>0.23471468049368846</v>
      </c>
      <c r="CH25" s="67">
        <v>0.23504772461689216</v>
      </c>
      <c r="CI25" s="68">
        <v>0.23552308049280082</v>
      </c>
      <c r="CJ25" s="67">
        <v>0.23612437890045171</v>
      </c>
      <c r="CK25" s="67">
        <v>0.23679040611829916</v>
      </c>
      <c r="CL25" s="67">
        <v>0.23827939337555562</v>
      </c>
      <c r="CM25" s="67">
        <v>0.23888349766300629</v>
      </c>
      <c r="CN25" s="67">
        <v>0.23951590400547951</v>
      </c>
      <c r="CO25" s="67">
        <v>0.2390895923952793</v>
      </c>
      <c r="CP25" s="67">
        <v>0.23971368129771614</v>
      </c>
      <c r="CQ25" s="67">
        <v>0.24019715362020874</v>
      </c>
      <c r="CR25" s="67">
        <v>0.24069100257453621</v>
      </c>
      <c r="CS25" s="68">
        <v>0.24118337255700953</v>
      </c>
      <c r="CT25" s="68">
        <v>0.24083013773245052</v>
      </c>
      <c r="CU25" s="68">
        <v>0.24082003231478935</v>
      </c>
      <c r="CV25" s="68">
        <v>0.2408875505830885</v>
      </c>
      <c r="CW25" s="68">
        <v>0.24090132655309479</v>
      </c>
      <c r="CX25" s="68">
        <v>0.24069944510797722</v>
      </c>
      <c r="CY25" s="68">
        <v>0.24073481949664507</v>
      </c>
      <c r="CZ25" s="68">
        <v>0.24083168826284437</v>
      </c>
      <c r="DA25" s="68">
        <v>0.24103230469712847</v>
      </c>
      <c r="DB25" s="68">
        <v>0.24151502960865087</v>
      </c>
      <c r="DC25" s="68">
        <v>0.24207857356662474</v>
      </c>
      <c r="DD25" s="68">
        <v>0.24292456242046551</v>
      </c>
      <c r="DE25" s="68">
        <v>0.24384798324900517</v>
      </c>
      <c r="DF25" s="68">
        <v>0.24465221866630538</v>
      </c>
      <c r="DG25" s="68">
        <v>0.24530305203011438</v>
      </c>
      <c r="DH25" s="68">
        <v>0.24570637772970294</v>
      </c>
      <c r="DI25" s="68">
        <v>0.24594067966312075</v>
      </c>
      <c r="DJ25" s="68">
        <v>0.2464682311440248</v>
      </c>
      <c r="DK25" s="68">
        <v>0.24693673918855252</v>
      </c>
      <c r="DL25" s="68">
        <v>0.24738276129723955</v>
      </c>
      <c r="DM25" s="68">
        <v>0.24775118570982788</v>
      </c>
      <c r="DN25" s="68">
        <v>0.24802624210673394</v>
      </c>
      <c r="DO25" s="68">
        <v>0.24841867345739929</v>
      </c>
      <c r="DP25" s="68">
        <v>0.24920138052395599</v>
      </c>
      <c r="DQ25" s="68">
        <v>0.25056042174008203</v>
      </c>
      <c r="DR25" s="68">
        <v>0.25175248935876859</v>
      </c>
      <c r="DS25" s="68">
        <v>0.2525178513395655</v>
      </c>
      <c r="DT25" s="68">
        <v>0.25295233593090966</v>
      </c>
      <c r="DU25" s="68">
        <v>0.25326544763231423</v>
      </c>
      <c r="DV25" s="68">
        <v>0.25363357860928476</v>
      </c>
      <c r="DW25" s="68">
        <v>0.25386203983419403</v>
      </c>
      <c r="DX25" s="68">
        <v>0.25416850384934409</v>
      </c>
      <c r="DY25" s="68">
        <v>0.25031941380809891</v>
      </c>
      <c r="DZ25" s="68">
        <v>0.25050697756509233</v>
      </c>
      <c r="EA25" s="68">
        <v>0.25073365231659067</v>
      </c>
      <c r="EB25" s="68">
        <v>0.25092313088035495</v>
      </c>
      <c r="EC25" s="68">
        <v>0.25123472036510236</v>
      </c>
      <c r="ED25" s="68">
        <v>0.25151123947890702</v>
      </c>
      <c r="EE25" s="68">
        <v>0.252855897</v>
      </c>
      <c r="EF25" s="68">
        <v>0.252446214</v>
      </c>
      <c r="EG25" s="68">
        <v>0.25284403300000002</v>
      </c>
      <c r="EH25" s="68">
        <v>0.25304415299999999</v>
      </c>
      <c r="EI25" s="68">
        <v>0.25328477399999999</v>
      </c>
      <c r="EJ25" s="68">
        <v>0.25362881199999998</v>
      </c>
      <c r="EK25" s="68">
        <v>0.25359995899999999</v>
      </c>
      <c r="EL25" s="68">
        <v>0.25369439999999999</v>
      </c>
      <c r="EM25" s="68">
        <v>0.2538299</v>
      </c>
      <c r="EN25" s="68">
        <v>0.25355240000000001</v>
      </c>
      <c r="EO25" s="68">
        <v>0.25333600000000001</v>
      </c>
      <c r="EP25" s="68">
        <v>0.25313282999999998</v>
      </c>
      <c r="EQ25" s="68">
        <v>0.25542105900000001</v>
      </c>
      <c r="ER25" s="68">
        <v>0.25536666000000002</v>
      </c>
      <c r="ES25" s="68">
        <v>0.25530814000000002</v>
      </c>
      <c r="ET25" s="68">
        <v>0.25517731900000001</v>
      </c>
      <c r="EU25" s="68">
        <v>0.25516199899999997</v>
      </c>
      <c r="EV25" s="68">
        <v>0.25552569400000003</v>
      </c>
      <c r="EW25" s="68">
        <v>0.25573752500000002</v>
      </c>
      <c r="EX25" s="68">
        <v>0.25590607399999998</v>
      </c>
      <c r="EY25" s="68">
        <v>0.25603351499999999</v>
      </c>
      <c r="EZ25" s="68">
        <v>0.25600000000000001</v>
      </c>
      <c r="FA25" s="68">
        <v>0.25700000000000001</v>
      </c>
      <c r="FB25" s="68"/>
    </row>
    <row r="26" spans="1:158" s="54" customFormat="1" ht="29.25" customHeight="1" x14ac:dyDescent="0.4">
      <c r="A26" s="49" t="s">
        <v>16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2"/>
      <c r="BE26" s="52"/>
      <c r="BF26" s="52"/>
      <c r="BG26" s="52"/>
      <c r="BH26" s="52"/>
      <c r="BI26" s="52"/>
      <c r="BJ26" s="67">
        <v>0.15526461577348177</v>
      </c>
      <c r="BK26" s="67">
        <v>0.15543284193115156</v>
      </c>
      <c r="BL26" s="67">
        <v>0.15574235576541068</v>
      </c>
      <c r="BM26" s="67">
        <v>0.1562431299792186</v>
      </c>
      <c r="BN26" s="67">
        <v>0.1568097703092641</v>
      </c>
      <c r="BO26" s="67">
        <v>0.15726773884396419</v>
      </c>
      <c r="BP26" s="67">
        <v>0.15846389585612244</v>
      </c>
      <c r="BQ26" s="67">
        <v>0.15868721436137578</v>
      </c>
      <c r="BR26" s="67">
        <v>0.15943325585399803</v>
      </c>
      <c r="BS26" s="67">
        <v>0.15912437284789427</v>
      </c>
      <c r="BT26" s="67">
        <v>0.15989274365232733</v>
      </c>
      <c r="BU26" s="67">
        <v>0.16106721984375691</v>
      </c>
      <c r="BV26" s="67">
        <v>0.16051166980868384</v>
      </c>
      <c r="BW26" s="67">
        <v>0.16022333028956176</v>
      </c>
      <c r="BX26" s="67">
        <v>0.16017751106556066</v>
      </c>
      <c r="BY26" s="67">
        <v>0.15968119803416386</v>
      </c>
      <c r="BZ26" s="67">
        <v>0.16029455642960025</v>
      </c>
      <c r="CA26" s="67">
        <v>0.16012295513333877</v>
      </c>
      <c r="CB26" s="67">
        <v>0.15990749731181211</v>
      </c>
      <c r="CC26" s="67">
        <v>0.1595667398137218</v>
      </c>
      <c r="CD26" s="67">
        <v>0.1595619350721334</v>
      </c>
      <c r="CE26" s="67">
        <v>0.15954380049484157</v>
      </c>
      <c r="CF26" s="67">
        <v>0.15863911437839448</v>
      </c>
      <c r="CG26" s="67">
        <v>0.15732167971796782</v>
      </c>
      <c r="CH26" s="67">
        <v>0.15633755094089094</v>
      </c>
      <c r="CI26" s="68">
        <v>0.15531532530971925</v>
      </c>
      <c r="CJ26" s="67">
        <v>0.15393014559014309</v>
      </c>
      <c r="CK26" s="67">
        <v>0.15320768619452216</v>
      </c>
      <c r="CL26" s="67">
        <v>0.15335443112651351</v>
      </c>
      <c r="CM26" s="67">
        <v>0.15298933203544152</v>
      </c>
      <c r="CN26" s="67">
        <v>0.15237469900790165</v>
      </c>
      <c r="CO26" s="67">
        <v>0.15092833367100358</v>
      </c>
      <c r="CP26" s="67">
        <v>0.15083224866331846</v>
      </c>
      <c r="CQ26" s="67">
        <v>0.15077101014198427</v>
      </c>
      <c r="CR26" s="67">
        <v>0.15066064597154372</v>
      </c>
      <c r="CS26" s="68">
        <v>0.15056529132505697</v>
      </c>
      <c r="CT26" s="68">
        <v>0.15048316152842953</v>
      </c>
      <c r="CU26" s="68">
        <v>0.15111127236364233</v>
      </c>
      <c r="CV26" s="68">
        <v>0.15213460999945319</v>
      </c>
      <c r="CW26" s="68">
        <v>0.15301277338189059</v>
      </c>
      <c r="CX26" s="68">
        <v>0.15389868345732449</v>
      </c>
      <c r="CY26" s="68">
        <v>0.15454517245166219</v>
      </c>
      <c r="CZ26" s="68">
        <v>0.15493426259508666</v>
      </c>
      <c r="DA26" s="68">
        <v>0.15534013405440456</v>
      </c>
      <c r="DB26" s="68">
        <v>0.15562859380363886</v>
      </c>
      <c r="DC26" s="68">
        <v>0.15595699098658461</v>
      </c>
      <c r="DD26" s="68">
        <v>0.15625672101378391</v>
      </c>
      <c r="DE26" s="68">
        <v>0.15627243827542972</v>
      </c>
      <c r="DF26" s="68">
        <v>0.15671312264423914</v>
      </c>
      <c r="DG26" s="68">
        <v>0.15691576424989198</v>
      </c>
      <c r="DH26" s="68">
        <v>0.15716522243271536</v>
      </c>
      <c r="DI26" s="68">
        <v>0.15781226297375964</v>
      </c>
      <c r="DJ26" s="68">
        <v>0.1577507473278677</v>
      </c>
      <c r="DK26" s="68">
        <v>0.15785227795996984</v>
      </c>
      <c r="DL26" s="68">
        <v>0.1577577783914195</v>
      </c>
      <c r="DM26" s="68">
        <v>0.15772075943347821</v>
      </c>
      <c r="DN26" s="68">
        <v>0.15747414020791409</v>
      </c>
      <c r="DO26" s="68">
        <v>0.15720345340723674</v>
      </c>
      <c r="DP26" s="68">
        <v>0.15685774182453735</v>
      </c>
      <c r="DQ26" s="68">
        <v>0.15699809166488099</v>
      </c>
      <c r="DR26" s="68">
        <v>0.15715740142336612</v>
      </c>
      <c r="DS26" s="68">
        <v>0.15721210284759229</v>
      </c>
      <c r="DT26" s="68">
        <v>0.15775189568594067</v>
      </c>
      <c r="DU26" s="68">
        <v>0.15814981617817922</v>
      </c>
      <c r="DV26" s="68">
        <v>0.15839619675039737</v>
      </c>
      <c r="DW26" s="68">
        <v>0.15855540028138365</v>
      </c>
      <c r="DX26" s="68">
        <v>0.15880383235708495</v>
      </c>
      <c r="DY26" s="68">
        <v>0.17278815082496024</v>
      </c>
      <c r="DZ26" s="68">
        <v>0.17280701389223602</v>
      </c>
      <c r="EA26" s="68">
        <v>0.1731104671167065</v>
      </c>
      <c r="EB26" s="68">
        <v>0.17338638020715491</v>
      </c>
      <c r="EC26" s="68">
        <v>0.17376924691349219</v>
      </c>
      <c r="ED26" s="68">
        <v>0.17417500650612242</v>
      </c>
      <c r="EE26" s="68">
        <v>0.17512564799999999</v>
      </c>
      <c r="EF26" s="68">
        <v>0.174484949</v>
      </c>
      <c r="EG26" s="68">
        <v>0.174408337</v>
      </c>
      <c r="EH26" s="68">
        <v>0.17438800199999999</v>
      </c>
      <c r="EI26" s="68">
        <v>0.17455639000000001</v>
      </c>
      <c r="EJ26" s="68">
        <v>0.17465952100000001</v>
      </c>
      <c r="EK26" s="68">
        <v>0.174916188</v>
      </c>
      <c r="EL26" s="68">
        <v>0.17468520000000001</v>
      </c>
      <c r="EM26" s="68">
        <v>0.17489759999999999</v>
      </c>
      <c r="EN26" s="68">
        <v>0.1753034</v>
      </c>
      <c r="EO26" s="68">
        <v>0.1756789</v>
      </c>
      <c r="EP26" s="68">
        <v>0.17624574000000001</v>
      </c>
      <c r="EQ26" s="68">
        <v>0.17624392699999999</v>
      </c>
      <c r="ER26" s="68">
        <v>0.17658981000000001</v>
      </c>
      <c r="ES26" s="68">
        <v>0.17694269000000001</v>
      </c>
      <c r="ET26" s="68">
        <v>0.177178209</v>
      </c>
      <c r="EU26" s="68">
        <v>0.17758480500000001</v>
      </c>
      <c r="EV26" s="68">
        <v>0.17794673799999999</v>
      </c>
      <c r="EW26" s="68">
        <v>0.17809933450000001</v>
      </c>
      <c r="EX26" s="68">
        <v>0.17847246899999999</v>
      </c>
      <c r="EY26" s="68">
        <v>0.17866389599999999</v>
      </c>
      <c r="EZ26" s="68">
        <v>0.17899999999999999</v>
      </c>
      <c r="FA26" s="68">
        <v>0.18</v>
      </c>
      <c r="FB26" s="68"/>
    </row>
    <row r="27" spans="1:158" s="54" customFormat="1" ht="29.25" customHeight="1" x14ac:dyDescent="0.4">
      <c r="A27" s="69" t="s">
        <v>17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2"/>
      <c r="BE27" s="72"/>
      <c r="BF27" s="72"/>
      <c r="BG27" s="72"/>
      <c r="BH27" s="72"/>
      <c r="BI27" s="72"/>
      <c r="BJ27" s="73">
        <v>0.18607727370854091</v>
      </c>
      <c r="BK27" s="73">
        <v>0.18493803709300155</v>
      </c>
      <c r="BL27" s="73">
        <v>0.18396871756964026</v>
      </c>
      <c r="BM27" s="73">
        <v>0.18315246714911645</v>
      </c>
      <c r="BN27" s="73">
        <v>0.1832967397401859</v>
      </c>
      <c r="BO27" s="73">
        <v>0.18174131222689388</v>
      </c>
      <c r="BP27" s="73">
        <v>0.18052140220738347</v>
      </c>
      <c r="BQ27" s="73">
        <v>0.18003402245131639</v>
      </c>
      <c r="BR27" s="73">
        <v>0.17840943880804552</v>
      </c>
      <c r="BS27" s="73">
        <v>0.17895580076999143</v>
      </c>
      <c r="BT27" s="73">
        <v>0.17641747779226158</v>
      </c>
      <c r="BU27" s="73">
        <v>0.17540402292308871</v>
      </c>
      <c r="BV27" s="73">
        <v>0.17441266219784834</v>
      </c>
      <c r="BW27" s="73">
        <v>0.17365390492483471</v>
      </c>
      <c r="BX27" s="73">
        <v>0.1728275855409854</v>
      </c>
      <c r="BY27" s="73">
        <v>0.17477825158221566</v>
      </c>
      <c r="BZ27" s="73">
        <v>0.17363662286515197</v>
      </c>
      <c r="CA27" s="73">
        <v>0.17301613547558123</v>
      </c>
      <c r="CB27" s="73">
        <v>0.17267270501769375</v>
      </c>
      <c r="CC27" s="73">
        <v>0.17221322921586066</v>
      </c>
      <c r="CD27" s="73">
        <v>0.17155744434564807</v>
      </c>
      <c r="CE27" s="73">
        <v>0.17060050131714921</v>
      </c>
      <c r="CF27" s="73">
        <v>0.17023611816043341</v>
      </c>
      <c r="CG27" s="73">
        <v>0.16994273418963846</v>
      </c>
      <c r="CH27" s="73">
        <v>0.16963709731113111</v>
      </c>
      <c r="CI27" s="74">
        <v>0.16936978241777398</v>
      </c>
      <c r="CJ27" s="73">
        <v>0.1689608993980172</v>
      </c>
      <c r="CK27" s="73">
        <v>0.1687558649148416</v>
      </c>
      <c r="CL27" s="73">
        <v>0.16619454315831092</v>
      </c>
      <c r="CM27" s="73">
        <v>0.16579785201567998</v>
      </c>
      <c r="CN27" s="73">
        <v>0.1655868547412577</v>
      </c>
      <c r="CO27" s="73">
        <v>0.16815040026487926</v>
      </c>
      <c r="CP27" s="73">
        <v>0.16788150259650952</v>
      </c>
      <c r="CQ27" s="73">
        <v>0.16764752387508627</v>
      </c>
      <c r="CR27" s="73">
        <v>0.16732232518633161</v>
      </c>
      <c r="CS27" s="74">
        <v>0.16713858209552845</v>
      </c>
      <c r="CT27" s="74">
        <v>0.16923975818085932</v>
      </c>
      <c r="CU27" s="74">
        <v>0.16967650508672744</v>
      </c>
      <c r="CV27" s="74">
        <v>0.16986181625779817</v>
      </c>
      <c r="CW27" s="74">
        <v>0.17034048530341558</v>
      </c>
      <c r="CX27" s="74">
        <v>0.17099671614828443</v>
      </c>
      <c r="CY27" s="74">
        <v>0.17092831645958653</v>
      </c>
      <c r="CZ27" s="74">
        <v>0.1710705279134353</v>
      </c>
      <c r="DA27" s="74">
        <v>0.17149232137411299</v>
      </c>
      <c r="DB27" s="74">
        <v>0.17152784929625817</v>
      </c>
      <c r="DC27" s="74">
        <v>0.17120172381810048</v>
      </c>
      <c r="DD27" s="74">
        <v>0.17036278274165637</v>
      </c>
      <c r="DE27" s="74">
        <v>0.16937273535859668</v>
      </c>
      <c r="DF27" s="74">
        <v>0.17008731274963984</v>
      </c>
      <c r="DG27" s="74">
        <v>0.17023699758138358</v>
      </c>
      <c r="DH27" s="74">
        <v>0.17082549288412102</v>
      </c>
      <c r="DI27" s="74">
        <v>0.17139304830095881</v>
      </c>
      <c r="DJ27" s="74">
        <v>0.17141293858342449</v>
      </c>
      <c r="DK27" s="74">
        <v>0.17124245922855724</v>
      </c>
      <c r="DL27" s="74">
        <v>0.17125136345495406</v>
      </c>
      <c r="DM27" s="74">
        <v>0.17080574756326428</v>
      </c>
      <c r="DN27" s="74">
        <v>0.17042403211516274</v>
      </c>
      <c r="DO27" s="74">
        <v>0.16991400914144572</v>
      </c>
      <c r="DP27" s="74">
        <v>0.16939817751273623</v>
      </c>
      <c r="DQ27" s="74">
        <v>0.16900745635148284</v>
      </c>
      <c r="DR27" s="74">
        <v>0.16804953557155999</v>
      </c>
      <c r="DS27" s="74">
        <v>0.16748284091022142</v>
      </c>
      <c r="DT27" s="74">
        <v>0.16685868767484766</v>
      </c>
      <c r="DU27" s="74">
        <v>0.16591569168498274</v>
      </c>
      <c r="DV27" s="74">
        <v>0.16544502315923085</v>
      </c>
      <c r="DW27" s="74">
        <v>0.16490461184835525</v>
      </c>
      <c r="DX27" s="74">
        <v>0.16441174598152919</v>
      </c>
      <c r="DY27" s="74">
        <v>0.16114027524166016</v>
      </c>
      <c r="DZ27" s="74">
        <v>0.16096500702493632</v>
      </c>
      <c r="EA27" s="74">
        <v>0.16007310874049324</v>
      </c>
      <c r="EB27" s="74">
        <v>0.15972993683102668</v>
      </c>
      <c r="EC27" s="74">
        <v>0.15951463158785881</v>
      </c>
      <c r="ED27" s="74">
        <v>0.159129377547858</v>
      </c>
      <c r="EE27" s="74">
        <v>0.15529309399999999</v>
      </c>
      <c r="EF27" s="74">
        <v>0.15789873400000001</v>
      </c>
      <c r="EG27" s="74">
        <v>0.157573136</v>
      </c>
      <c r="EH27" s="74">
        <v>0.15737042700000001</v>
      </c>
      <c r="EI27" s="74">
        <v>0.15697655599999999</v>
      </c>
      <c r="EJ27" s="74">
        <v>0.15672524600000001</v>
      </c>
      <c r="EK27" s="74">
        <v>0.15651188299999999</v>
      </c>
      <c r="EL27" s="74">
        <v>0.1565057</v>
      </c>
      <c r="EM27" s="74">
        <v>0.15628339999999999</v>
      </c>
      <c r="EN27" s="74">
        <v>0.1564091</v>
      </c>
      <c r="EO27" s="74">
        <v>0.1566717</v>
      </c>
      <c r="EP27" s="74">
        <v>0.15682547999999999</v>
      </c>
      <c r="EQ27" s="74">
        <v>0.15592705200000001</v>
      </c>
      <c r="ER27" s="74">
        <v>0.15574542999999999</v>
      </c>
      <c r="ES27" s="74">
        <v>0.15545071999999999</v>
      </c>
      <c r="ET27" s="74">
        <v>0.15510169500000001</v>
      </c>
      <c r="EU27" s="74">
        <v>0.15472189</v>
      </c>
      <c r="EV27" s="74">
        <v>0.15428725600000001</v>
      </c>
      <c r="EW27" s="74">
        <v>0.15370590200000001</v>
      </c>
      <c r="EX27" s="74">
        <v>0.153172802</v>
      </c>
      <c r="EY27" s="74">
        <v>0.152802771</v>
      </c>
      <c r="EZ27" s="74">
        <v>0.151</v>
      </c>
      <c r="FA27" s="74">
        <v>0.14899999999999999</v>
      </c>
      <c r="FB27" s="74"/>
    </row>
    <row r="28" spans="1:158" s="39" customFormat="1" ht="20.100000000000001" customHeight="1" x14ac:dyDescent="0.4">
      <c r="A28" s="75" t="s">
        <v>18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6"/>
      <c r="BK28" s="76"/>
      <c r="BL28" s="76"/>
      <c r="BM28" s="79"/>
      <c r="BN28" s="79"/>
      <c r="BO28" s="79"/>
      <c r="BP28" s="79"/>
      <c r="BQ28" s="79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>
        <v>0.16579785201567998</v>
      </c>
      <c r="CN28" s="76"/>
      <c r="CO28" s="76"/>
      <c r="CP28" s="76"/>
      <c r="CQ28" s="76"/>
      <c r="CR28" s="76"/>
      <c r="CS28" s="76">
        <v>0.16713858209552845</v>
      </c>
      <c r="CT28" s="76"/>
      <c r="CU28" s="76"/>
      <c r="CV28" s="76"/>
      <c r="CW28" s="76"/>
      <c r="CX28" s="76"/>
      <c r="CY28" s="76"/>
      <c r="CZ28" s="76">
        <v>0.1710705279134353</v>
      </c>
      <c r="DA28" s="39">
        <v>0.17149232137411299</v>
      </c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  <c r="FA28" s="76"/>
      <c r="FB28" s="76"/>
    </row>
    <row r="29" spans="1:158" s="39" customFormat="1" ht="20.100000000000001" customHeight="1" x14ac:dyDescent="0.4">
      <c r="A29" s="75" t="s">
        <v>19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6"/>
      <c r="BK29" s="76"/>
      <c r="BL29" s="76"/>
      <c r="BM29" s="79"/>
      <c r="BN29" s="79"/>
      <c r="BO29" s="79"/>
      <c r="BP29" s="79"/>
      <c r="BQ29" s="79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80"/>
      <c r="CR29" s="80"/>
      <c r="CS29" s="76"/>
      <c r="CT29" s="76"/>
      <c r="CU29" s="76"/>
      <c r="CV29" s="76"/>
      <c r="CW29" s="76"/>
      <c r="CX29" s="76"/>
      <c r="CY29" s="76"/>
      <c r="CZ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>
        <v>0.16900745635148284</v>
      </c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76"/>
      <c r="EQ29" s="76"/>
      <c r="ER29" s="76"/>
      <c r="ES29" s="76"/>
      <c r="ET29" s="76"/>
      <c r="EU29" s="76"/>
      <c r="EV29" s="76"/>
      <c r="EW29" s="76"/>
      <c r="EX29" s="76"/>
      <c r="EY29" s="76"/>
      <c r="EZ29" s="76"/>
      <c r="FA29" s="76"/>
      <c r="FB29" s="76"/>
    </row>
    <row r="30" spans="1:158" s="39" customFormat="1" ht="24.75" customHeight="1" x14ac:dyDescent="0.4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6"/>
      <c r="BK30" s="76"/>
      <c r="BL30" s="76"/>
      <c r="BM30" s="79"/>
      <c r="BN30" s="79"/>
      <c r="BO30" s="79"/>
      <c r="BP30" s="79"/>
      <c r="BQ30" s="79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76"/>
      <c r="DX30" s="76"/>
      <c r="DY30" s="76"/>
      <c r="DZ30" s="76"/>
      <c r="EA30" s="76"/>
      <c r="EB30" s="76"/>
      <c r="EC30" s="76"/>
      <c r="ED30" s="76"/>
      <c r="EE30" s="76"/>
      <c r="EF30" s="76"/>
      <c r="EG30" s="76"/>
      <c r="EH30" s="76"/>
      <c r="EI30" s="76"/>
      <c r="EJ30" s="76"/>
      <c r="EK30" s="76"/>
      <c r="EL30" s="76"/>
      <c r="EM30" s="76"/>
      <c r="EN30" s="76"/>
      <c r="EO30" s="76"/>
      <c r="EP30" s="76"/>
      <c r="EQ30" s="76"/>
      <c r="ER30" s="76"/>
      <c r="ES30" s="76"/>
      <c r="ET30" s="76"/>
      <c r="EU30" s="76"/>
      <c r="EV30" s="76"/>
      <c r="EW30" s="76"/>
      <c r="EX30" s="76"/>
      <c r="EY30" s="76"/>
      <c r="EZ30" s="76"/>
      <c r="FA30" s="76"/>
      <c r="FB30" s="76"/>
    </row>
    <row r="31" spans="1:158" s="39" customFormat="1" ht="24.75" customHeight="1" x14ac:dyDescent="0.4">
      <c r="A31" s="38"/>
      <c r="AL31" s="8">
        <v>2008</v>
      </c>
      <c r="AR31" s="9"/>
      <c r="AX31" s="8">
        <v>2009</v>
      </c>
      <c r="BD31" s="9"/>
      <c r="BG31" s="81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8">
        <v>2017</v>
      </c>
      <c r="EQ31"/>
      <c r="ER31"/>
      <c r="ES31"/>
      <c r="ET31"/>
      <c r="EU31"/>
      <c r="EV31"/>
      <c r="EW31"/>
      <c r="EX31"/>
      <c r="EY31"/>
      <c r="EZ31"/>
      <c r="FA31"/>
      <c r="FB31" s="8">
        <v>2018</v>
      </c>
    </row>
    <row r="32" spans="1:158" s="41" customFormat="1" ht="29.25" customHeight="1" x14ac:dyDescent="0.4">
      <c r="A32" s="13" t="s">
        <v>89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5">
        <v>42370</v>
      </c>
      <c r="EE32" s="15">
        <v>42401</v>
      </c>
      <c r="EF32" s="15">
        <v>42430</v>
      </c>
      <c r="EG32" s="15">
        <v>42461</v>
      </c>
      <c r="EH32" s="15">
        <v>42491</v>
      </c>
      <c r="EI32" s="15">
        <v>42522</v>
      </c>
      <c r="EJ32" s="15">
        <v>42552</v>
      </c>
      <c r="EK32" s="15">
        <v>42583</v>
      </c>
      <c r="EL32" s="15">
        <v>42614</v>
      </c>
      <c r="EM32" s="15">
        <v>42644</v>
      </c>
      <c r="EN32" s="15">
        <v>42675</v>
      </c>
      <c r="EO32" s="15">
        <v>42705</v>
      </c>
      <c r="EP32" s="16">
        <v>42736</v>
      </c>
      <c r="EQ32" s="16">
        <v>42767</v>
      </c>
      <c r="ER32" s="16">
        <v>42795</v>
      </c>
      <c r="ES32" s="16">
        <v>42826</v>
      </c>
      <c r="ET32" s="16">
        <v>42856</v>
      </c>
      <c r="EU32" s="16">
        <v>42887</v>
      </c>
      <c r="EV32" s="16">
        <v>42917</v>
      </c>
      <c r="EW32" s="16">
        <v>42948</v>
      </c>
      <c r="EX32" s="16">
        <v>42979</v>
      </c>
      <c r="EY32" s="16">
        <v>43009</v>
      </c>
      <c r="EZ32" s="16">
        <v>43040</v>
      </c>
      <c r="FA32" s="16">
        <v>43070</v>
      </c>
      <c r="FB32" s="15">
        <v>43101</v>
      </c>
    </row>
    <row r="33" spans="1:158" s="43" customFormat="1" ht="29.25" customHeight="1" x14ac:dyDescent="0.4">
      <c r="A33" s="42" t="s">
        <v>90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  <c r="EL33" s="20">
        <v>6927977</v>
      </c>
      <c r="EM33" s="20">
        <v>6976029</v>
      </c>
      <c r="EN33" s="20">
        <v>7012593</v>
      </c>
      <c r="EO33" s="20">
        <v>7041704</v>
      </c>
      <c r="EP33" s="20">
        <v>7073745</v>
      </c>
      <c r="EQ33" s="20">
        <v>7115334</v>
      </c>
      <c r="ER33" s="20">
        <v>7160934</v>
      </c>
      <c r="ES33" s="20">
        <v>7203809</v>
      </c>
      <c r="ET33" s="20">
        <v>7242794</v>
      </c>
      <c r="EU33" s="20">
        <v>7280289</v>
      </c>
      <c r="EV33" s="20">
        <v>7312613</v>
      </c>
      <c r="EW33" s="20">
        <v>7350398</v>
      </c>
      <c r="EX33" s="20">
        <v>7396593</v>
      </c>
      <c r="EY33" s="20">
        <v>7428406</v>
      </c>
      <c r="EZ33" s="20">
        <v>7462081</v>
      </c>
      <c r="FA33" s="20">
        <v>7472147</v>
      </c>
      <c r="FB33" s="20">
        <v>7513024</v>
      </c>
    </row>
    <row r="34" spans="1:158" s="43" customFormat="1" ht="29.25" customHeight="1" x14ac:dyDescent="0.4">
      <c r="A34" s="82" t="s">
        <v>20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  <c r="EL34" s="24">
        <v>36247</v>
      </c>
      <c r="EM34" s="24">
        <v>48052</v>
      </c>
      <c r="EN34" s="24">
        <v>36564</v>
      </c>
      <c r="EO34" s="24">
        <v>29111</v>
      </c>
      <c r="EP34" s="24">
        <v>32038</v>
      </c>
      <c r="EQ34" s="24">
        <v>41589</v>
      </c>
      <c r="ER34" s="24">
        <v>45600</v>
      </c>
      <c r="ES34" s="24">
        <v>42875</v>
      </c>
      <c r="ET34" s="24">
        <v>38985</v>
      </c>
      <c r="EU34" s="24">
        <v>37495</v>
      </c>
      <c r="EV34" s="24">
        <v>32324</v>
      </c>
      <c r="EW34" s="24">
        <v>37785</v>
      </c>
      <c r="EX34" s="24">
        <v>46195</v>
      </c>
      <c r="EY34" s="24">
        <v>31813</v>
      </c>
      <c r="EZ34" s="24">
        <v>33675</v>
      </c>
      <c r="FA34" s="24">
        <v>10066</v>
      </c>
      <c r="FB34" s="24">
        <v>40877</v>
      </c>
    </row>
    <row r="35" spans="1:158" s="43" customFormat="1" ht="29.25" customHeight="1" x14ac:dyDescent="0.4">
      <c r="A35" s="83" t="s">
        <v>91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</row>
    <row r="36" spans="1:158" s="43" customFormat="1" ht="29.25" customHeight="1" x14ac:dyDescent="0.4">
      <c r="A36" s="85" t="s">
        <v>14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7">
        <v>0.48808037780740726</v>
      </c>
      <c r="BK36" s="87">
        <v>0.49602692104190965</v>
      </c>
      <c r="BL36" s="87">
        <v>0.50915866783154495</v>
      </c>
      <c r="BM36" s="87">
        <v>0.52561450772629248</v>
      </c>
      <c r="BN36" s="87">
        <v>0.53674856430340179</v>
      </c>
      <c r="BO36" s="87">
        <v>0.53939634737126829</v>
      </c>
      <c r="BP36" s="87">
        <v>0.54673785069221759</v>
      </c>
      <c r="BQ36" s="87">
        <v>0.55405041184713311</v>
      </c>
      <c r="BR36" s="87">
        <v>0.55839205851280571</v>
      </c>
      <c r="BS36" s="87">
        <v>0.56442779535550114</v>
      </c>
      <c r="BT36" s="87">
        <v>0.5698274884721497</v>
      </c>
      <c r="BU36" s="87">
        <v>0.57192255557390204</v>
      </c>
      <c r="BV36" s="87">
        <v>0.58164246646802986</v>
      </c>
      <c r="BW36" s="87">
        <v>0.59072905188084857</v>
      </c>
      <c r="BX36" s="87">
        <v>0.60084933578487243</v>
      </c>
      <c r="BY36" s="87">
        <v>0.60747395430162165</v>
      </c>
      <c r="BZ36" s="87">
        <v>0.60928790139904498</v>
      </c>
      <c r="CA36" s="87">
        <v>0.61242831346550519</v>
      </c>
      <c r="CB36" s="87">
        <v>0.61636458137756389</v>
      </c>
      <c r="CC36" s="87">
        <v>0.6191226322645893</v>
      </c>
      <c r="CD36" s="87">
        <v>0.62121361156613275</v>
      </c>
      <c r="CE36" s="87">
        <v>0.62332327950254351</v>
      </c>
      <c r="CF36" s="87">
        <v>0.62503888070335556</v>
      </c>
      <c r="CG36" s="87">
        <v>0.62529783550170726</v>
      </c>
      <c r="CH36" s="87">
        <v>0.62654177979725145</v>
      </c>
      <c r="CI36" s="87">
        <v>0.62816731703817841</v>
      </c>
      <c r="CJ36" s="87">
        <v>0.6285948751312268</v>
      </c>
      <c r="CK36" s="87">
        <v>0.62860430988387039</v>
      </c>
      <c r="CL36" s="87">
        <v>0.62742373640812998</v>
      </c>
      <c r="CM36" s="87">
        <v>0.6269937206754137</v>
      </c>
      <c r="CN36" s="87">
        <v>0.62592132583368887</v>
      </c>
      <c r="CO36" s="87">
        <v>0.62489746776945398</v>
      </c>
      <c r="CP36" s="87">
        <v>0.62322330864848385</v>
      </c>
      <c r="CQ36" s="87">
        <v>0.62175833629287502</v>
      </c>
      <c r="CR36" s="87">
        <v>0.61961141678884535</v>
      </c>
      <c r="CS36" s="88">
        <v>0.61718790318221173</v>
      </c>
      <c r="CT36" s="88">
        <v>0.61387785476613532</v>
      </c>
      <c r="CU36" s="88">
        <v>0.61116857575162842</v>
      </c>
      <c r="CV36" s="88">
        <v>0.60607645625483875</v>
      </c>
      <c r="CW36" s="88">
        <v>0.60213191554060475</v>
      </c>
      <c r="CX36" s="88">
        <v>0.59800186779552411</v>
      </c>
      <c r="CY36" s="88">
        <v>0.59487832776214822</v>
      </c>
      <c r="CZ36" s="88">
        <v>0.59162349371373524</v>
      </c>
      <c r="DA36" s="88">
        <v>0.58793406564187367</v>
      </c>
      <c r="DB36" s="88">
        <v>0.58512710755048014</v>
      </c>
      <c r="DC36" s="88">
        <v>0.58204752298273144</v>
      </c>
      <c r="DD36" s="88">
        <v>0.57898082359993019</v>
      </c>
      <c r="DE36" s="88">
        <v>0.57679329077881458</v>
      </c>
      <c r="DF36" s="88">
        <v>0.57296563097130015</v>
      </c>
      <c r="DG36" s="88">
        <v>0.57009734670887913</v>
      </c>
      <c r="DH36" s="88">
        <v>0.56697211263540381</v>
      </c>
      <c r="DI36" s="88">
        <v>0.56402176694949413</v>
      </c>
      <c r="DJ36" s="88">
        <v>0.56196856940665674</v>
      </c>
      <c r="DK36" s="88">
        <v>0.56033757345193547</v>
      </c>
      <c r="DL36" s="88">
        <v>0.5589035830634258</v>
      </c>
      <c r="DM36" s="88">
        <v>0.55744333785507605</v>
      </c>
      <c r="DN36" s="88">
        <v>0.55655664128784454</v>
      </c>
      <c r="DO36" s="88">
        <v>0.55557122881578846</v>
      </c>
      <c r="DP36" s="88">
        <v>0.55382815174075706</v>
      </c>
      <c r="DQ36" s="88">
        <v>0.550821633064283</v>
      </c>
      <c r="DR36" s="88">
        <v>0.53453231995031336</v>
      </c>
      <c r="DS36" s="88">
        <v>0.53256409246082337</v>
      </c>
      <c r="DT36" s="88">
        <v>0.52992701792580488</v>
      </c>
      <c r="DU36" s="88">
        <v>0.52773086931400137</v>
      </c>
      <c r="DV36" s="88">
        <v>0.52570845186344684</v>
      </c>
      <c r="DW36" s="88">
        <v>0.52419255497598949</v>
      </c>
      <c r="DX36" s="88">
        <v>0.5225493730387949</v>
      </c>
      <c r="DY36" s="88">
        <v>0.52142594430694755</v>
      </c>
      <c r="DZ36" s="88">
        <v>0.52037708892365309</v>
      </c>
      <c r="EA36" s="88">
        <v>0.51927414471509992</v>
      </c>
      <c r="EB36" s="88">
        <v>0.51805067509643299</v>
      </c>
      <c r="EC36" s="88">
        <v>0.51594288335037974</v>
      </c>
      <c r="ED36" s="88">
        <v>0.51416106304853204</v>
      </c>
      <c r="EE36" s="88">
        <v>0.51256438574685304</v>
      </c>
      <c r="EF36" s="88">
        <v>0.51078539365940823</v>
      </c>
      <c r="EG36" s="88">
        <v>0.50946634168148675</v>
      </c>
      <c r="EH36" s="88">
        <v>0.50831296543413917</v>
      </c>
      <c r="EI36" s="88">
        <v>0.50712373735493999</v>
      </c>
      <c r="EJ36" s="88">
        <v>0.50554258068328362</v>
      </c>
      <c r="EK36" s="88">
        <v>0.50464977712747106</v>
      </c>
      <c r="EL36" s="88">
        <v>0.50392686751603744</v>
      </c>
      <c r="EM36" s="88">
        <v>0.50304696936373039</v>
      </c>
      <c r="EN36" s="88">
        <v>0.50185226652800341</v>
      </c>
      <c r="EO36" s="88">
        <v>0.50044666830219997</v>
      </c>
      <c r="EP36" s="88">
        <v>0.49889096081935602</v>
      </c>
      <c r="EQ36" s="88">
        <v>0.49760496454267739</v>
      </c>
      <c r="ER36" s="88">
        <v>0.49632700079117792</v>
      </c>
      <c r="ES36" s="88">
        <v>0.49517027800000002</v>
      </c>
      <c r="ET36" s="88">
        <v>0.49438586798450218</v>
      </c>
      <c r="EU36" s="88">
        <v>0.49323836300000001</v>
      </c>
      <c r="EV36" s="88">
        <v>0.49164227799999999</v>
      </c>
      <c r="EW36" s="88">
        <v>0.49055109600000002</v>
      </c>
      <c r="EX36" s="88">
        <v>0.48942332199999999</v>
      </c>
      <c r="EY36" s="88">
        <v>0.48868111800000003</v>
      </c>
      <c r="EZ36" s="88">
        <v>0.48799999999999999</v>
      </c>
      <c r="FA36" s="88">
        <v>0.48599999999999999</v>
      </c>
      <c r="FB36" s="88"/>
    </row>
    <row r="37" spans="1:158" s="43" customFormat="1" ht="29.25" customHeight="1" x14ac:dyDescent="0.4">
      <c r="A37" s="83" t="s">
        <v>15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78">
        <v>0.36212213994515563</v>
      </c>
      <c r="BK37" s="78">
        <v>0.35656212403434612</v>
      </c>
      <c r="BL37" s="78">
        <v>0.34286039197817519</v>
      </c>
      <c r="BM37" s="78">
        <v>0.32518265358439313</v>
      </c>
      <c r="BN37" s="78">
        <v>0.31400565354256771</v>
      </c>
      <c r="BO37" s="78">
        <v>0.30687731760657511</v>
      </c>
      <c r="BP37" s="78">
        <v>0.29329109670778325</v>
      </c>
      <c r="BQ37" s="78">
        <v>0.28266273520271773</v>
      </c>
      <c r="BR37" s="78">
        <v>0.27613553894145537</v>
      </c>
      <c r="BS37" s="78">
        <v>0.26981016058742763</v>
      </c>
      <c r="BT37" s="78">
        <v>0.26392187648586973</v>
      </c>
      <c r="BU37" s="78">
        <v>0.25992452821908429</v>
      </c>
      <c r="BV37" s="78">
        <v>0.24934338892391525</v>
      </c>
      <c r="BW37" s="78">
        <v>0.23994619309094731</v>
      </c>
      <c r="BX37" s="78">
        <v>0.2289865208864503</v>
      </c>
      <c r="BY37" s="78">
        <v>0.22119711525409552</v>
      </c>
      <c r="BZ37" s="78">
        <v>0.21577249673454085</v>
      </c>
      <c r="CA37" s="78">
        <v>0.21286164469642288</v>
      </c>
      <c r="CB37" s="78">
        <v>0.20757861620819615</v>
      </c>
      <c r="CC37" s="78">
        <v>0.20420398275353496</v>
      </c>
      <c r="CD37" s="78">
        <v>0.20215944745144893</v>
      </c>
      <c r="CE37" s="78">
        <v>0.19987009918437398</v>
      </c>
      <c r="CF37" s="78">
        <v>0.19857549453123335</v>
      </c>
      <c r="CG37" s="78">
        <v>0.19948687531785719</v>
      </c>
      <c r="CH37" s="78">
        <v>0.1999896414548975</v>
      </c>
      <c r="CI37" s="78">
        <v>0.20057434093386389</v>
      </c>
      <c r="CJ37" s="78">
        <v>0.20220643014184436</v>
      </c>
      <c r="CK37" s="78">
        <v>0.20405848136342286</v>
      </c>
      <c r="CL37" s="78">
        <v>0.20630682939690781</v>
      </c>
      <c r="CM37" s="78">
        <v>0.2083492540668109</v>
      </c>
      <c r="CN37" s="78">
        <v>0.21090338213595666</v>
      </c>
      <c r="CO37" s="78">
        <v>0.21319837617893131</v>
      </c>
      <c r="CP37" s="78">
        <v>0.21527599528818669</v>
      </c>
      <c r="CQ37" s="78">
        <v>0.21707776002142135</v>
      </c>
      <c r="CR37" s="78">
        <v>0.21905542390339572</v>
      </c>
      <c r="CS37" s="89">
        <v>0.22133967404079674</v>
      </c>
      <c r="CT37" s="89">
        <v>0.22271471773093005</v>
      </c>
      <c r="CU37" s="89">
        <v>0.22307001499292128</v>
      </c>
      <c r="CV37" s="89">
        <v>0.22485233224531675</v>
      </c>
      <c r="CW37" s="89">
        <v>0.22639755771172143</v>
      </c>
      <c r="CX37" s="89">
        <v>0.22792122538293216</v>
      </c>
      <c r="CY37" s="89">
        <v>0.22953964772109384</v>
      </c>
      <c r="CZ37" s="89">
        <v>0.23166321814881591</v>
      </c>
      <c r="DA37" s="89">
        <v>0.2341336983269508</v>
      </c>
      <c r="DB37" s="89">
        <v>0.23624564133255027</v>
      </c>
      <c r="DC37" s="89">
        <v>0.23855837982011294</v>
      </c>
      <c r="DD37" s="89">
        <v>0.24086704004940221</v>
      </c>
      <c r="DE37" s="89">
        <v>0.24330783328368305</v>
      </c>
      <c r="DF37" s="89">
        <v>0.24568783390098997</v>
      </c>
      <c r="DG37" s="89">
        <v>0.2474726822228194</v>
      </c>
      <c r="DH37" s="89">
        <v>0.24926866301101674</v>
      </c>
      <c r="DI37" s="89">
        <v>0.25041028113388558</v>
      </c>
      <c r="DJ37" s="89">
        <v>0.25200682017882975</v>
      </c>
      <c r="DK37" s="89">
        <v>0.25333923698750732</v>
      </c>
      <c r="DL37" s="89">
        <v>0.25474975800367156</v>
      </c>
      <c r="DM37" s="89">
        <v>0.25653574943709634</v>
      </c>
      <c r="DN37" s="89">
        <v>0.25821446928683151</v>
      </c>
      <c r="DO37" s="89">
        <v>0.26010683888823927</v>
      </c>
      <c r="DP37" s="89">
        <v>0.2627983599041992</v>
      </c>
      <c r="DQ37" s="89">
        <v>0.26593622379983778</v>
      </c>
      <c r="DR37" s="89">
        <v>0.26224228796321464</v>
      </c>
      <c r="DS37" s="89">
        <v>0.26414633502030044</v>
      </c>
      <c r="DT37" s="89">
        <v>0.26566599332824026</v>
      </c>
      <c r="DU37" s="89">
        <v>0.26708804611843867</v>
      </c>
      <c r="DV37" s="89">
        <v>0.26857529745392145</v>
      </c>
      <c r="DW37" s="89">
        <v>0.26967603551480746</v>
      </c>
      <c r="DX37" s="89">
        <v>0.27067648202372635</v>
      </c>
      <c r="DY37" s="89">
        <v>0.27155883297362005</v>
      </c>
      <c r="DZ37" s="89">
        <v>0.27225668425895766</v>
      </c>
      <c r="EA37" s="89">
        <v>0.27292907072972883</v>
      </c>
      <c r="EB37" s="89">
        <v>0.27368540786816165</v>
      </c>
      <c r="EC37" s="89">
        <v>0.27475980900007907</v>
      </c>
      <c r="ED37" s="89">
        <v>0.27576999495964871</v>
      </c>
      <c r="EE37" s="89">
        <v>0.27652648708242172</v>
      </c>
      <c r="EF37" s="89">
        <v>0.27785371622634947</v>
      </c>
      <c r="EG37" s="89">
        <v>0.27878833494514643</v>
      </c>
      <c r="EH37" s="89">
        <v>0.27953490640057804</v>
      </c>
      <c r="EI37" s="89">
        <v>0.28031866667659167</v>
      </c>
      <c r="EJ37" s="89">
        <v>0.28130720614791327</v>
      </c>
      <c r="EK37" s="89">
        <v>0.28192816572316942</v>
      </c>
      <c r="EL37" s="89">
        <v>0.2821121879641818</v>
      </c>
      <c r="EM37" s="89">
        <v>0.28218748084557116</v>
      </c>
      <c r="EN37" s="89">
        <v>0.28213312974682436</v>
      </c>
      <c r="EO37" s="89">
        <v>0.28197334857809525</v>
      </c>
      <c r="EP37" s="89">
        <v>0.28200408493159573</v>
      </c>
      <c r="EQ37" s="89">
        <v>0.28213289701872041</v>
      </c>
      <c r="ER37" s="89">
        <v>0.2822803528313807</v>
      </c>
      <c r="ES37" s="89">
        <v>0.28246501499999999</v>
      </c>
      <c r="ET37" s="89">
        <v>0.28242877531820126</v>
      </c>
      <c r="EU37" s="89">
        <v>0.282519784</v>
      </c>
      <c r="EV37" s="89">
        <v>0.28312940399999997</v>
      </c>
      <c r="EW37" s="89">
        <v>0.28346758799999999</v>
      </c>
      <c r="EX37" s="89">
        <v>0.283656768</v>
      </c>
      <c r="EY37" s="89">
        <v>0.28374506399999999</v>
      </c>
      <c r="EZ37" s="89">
        <v>0.28399999999999997</v>
      </c>
      <c r="FA37" s="89">
        <v>0.28399999999999997</v>
      </c>
      <c r="FB37" s="89"/>
    </row>
    <row r="38" spans="1:158" s="43" customFormat="1" ht="29.25" customHeight="1" x14ac:dyDescent="0.4">
      <c r="A38" s="90" t="s">
        <v>16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2">
        <v>0.14979748224743711</v>
      </c>
      <c r="BK38" s="92">
        <v>0.14741095492374426</v>
      </c>
      <c r="BL38" s="92">
        <v>0.14798094019027982</v>
      </c>
      <c r="BM38" s="92">
        <v>0.14920283868931444</v>
      </c>
      <c r="BN38" s="92">
        <v>0.14924578215403053</v>
      </c>
      <c r="BO38" s="92">
        <v>0.15372633502215657</v>
      </c>
      <c r="BP38" s="92">
        <v>0.15997105259999919</v>
      </c>
      <c r="BQ38" s="92">
        <v>0.16328685295014916</v>
      </c>
      <c r="BR38" s="92">
        <v>0.16547240254573886</v>
      </c>
      <c r="BS38" s="92">
        <v>0.16576204405707121</v>
      </c>
      <c r="BT38" s="92">
        <v>0.16625063504198059</v>
      </c>
      <c r="BU38" s="92">
        <v>0.16815291620701364</v>
      </c>
      <c r="BV38" s="92">
        <v>0.16901414460805492</v>
      </c>
      <c r="BW38" s="92">
        <v>0.16932475502820415</v>
      </c>
      <c r="BX38" s="92">
        <v>0.17016414332867727</v>
      </c>
      <c r="BY38" s="92">
        <v>0.17132893044428285</v>
      </c>
      <c r="BZ38" s="92">
        <v>0.17493960186641419</v>
      </c>
      <c r="CA38" s="92">
        <v>0.17471004183807196</v>
      </c>
      <c r="CB38" s="92">
        <v>0.17605680241423999</v>
      </c>
      <c r="CC38" s="92">
        <v>0.17667338498187579</v>
      </c>
      <c r="CD38" s="92">
        <v>0.17662694098241832</v>
      </c>
      <c r="CE38" s="92">
        <v>0.17680662131308253</v>
      </c>
      <c r="CF38" s="92">
        <v>0.17638562476541106</v>
      </c>
      <c r="CG38" s="92">
        <v>0.17521528918043558</v>
      </c>
      <c r="CH38" s="92">
        <v>0.1734685787478511</v>
      </c>
      <c r="CI38" s="92">
        <v>0.1712583420279577</v>
      </c>
      <c r="CJ38" s="92">
        <v>0.16919869472692883</v>
      </c>
      <c r="CK38" s="92">
        <v>0.16733720875270677</v>
      </c>
      <c r="CL38" s="92">
        <v>0.16626943419496221</v>
      </c>
      <c r="CM38" s="92">
        <v>0.1646570252577754</v>
      </c>
      <c r="CN38" s="92">
        <v>0.1631752920303545</v>
      </c>
      <c r="CO38" s="92">
        <v>0.16190415605161465</v>
      </c>
      <c r="CP38" s="92">
        <v>0.1615006960633294</v>
      </c>
      <c r="CQ38" s="92">
        <v>0.16116390368570357</v>
      </c>
      <c r="CR38" s="92">
        <v>0.16133315930775891</v>
      </c>
      <c r="CS38" s="93">
        <v>0.16147242277699159</v>
      </c>
      <c r="CT38" s="93">
        <v>0.1634074275029346</v>
      </c>
      <c r="CU38" s="93">
        <v>0.16576140925545027</v>
      </c>
      <c r="CV38" s="93">
        <v>0.16907121149984455</v>
      </c>
      <c r="CW38" s="93">
        <v>0.17147052674767382</v>
      </c>
      <c r="CX38" s="93">
        <v>0.17407690682154373</v>
      </c>
      <c r="CY38" s="93">
        <v>0.17558202451675795</v>
      </c>
      <c r="CZ38" s="93">
        <v>0.17671328813744883</v>
      </c>
      <c r="DA38" s="93">
        <v>0.17793223603117556</v>
      </c>
      <c r="DB38" s="93">
        <v>0.17862725111696964</v>
      </c>
      <c r="DC38" s="93">
        <v>0.17939409719715568</v>
      </c>
      <c r="DD38" s="93">
        <v>0.18015213635066757</v>
      </c>
      <c r="DE38" s="93">
        <v>0.17989887593750239</v>
      </c>
      <c r="DF38" s="93">
        <v>0.1813465351277099</v>
      </c>
      <c r="DG38" s="93">
        <v>0.1824299710683015</v>
      </c>
      <c r="DH38" s="93">
        <v>0.18375922435357944</v>
      </c>
      <c r="DI38" s="93">
        <v>0.18556795191662026</v>
      </c>
      <c r="DJ38" s="93">
        <v>0.18602461041451346</v>
      </c>
      <c r="DK38" s="93">
        <v>0.18632318956055718</v>
      </c>
      <c r="DL38" s="93">
        <v>0.18634665893290259</v>
      </c>
      <c r="DM38" s="93">
        <v>0.18602091270782761</v>
      </c>
      <c r="DN38" s="93">
        <v>0.18522888942532395</v>
      </c>
      <c r="DO38" s="93">
        <v>0.18432193229597235</v>
      </c>
      <c r="DP38" s="93">
        <v>0.18337348835504372</v>
      </c>
      <c r="DQ38" s="93">
        <v>0.18324214313587925</v>
      </c>
      <c r="DR38" s="93">
        <v>0.20322539208647197</v>
      </c>
      <c r="DS38" s="93">
        <v>0.20328957251887619</v>
      </c>
      <c r="DT38" s="93">
        <v>0.20440698874595489</v>
      </c>
      <c r="DU38" s="93">
        <v>0.20518108456755996</v>
      </c>
      <c r="DV38" s="93">
        <v>0.20571625068263175</v>
      </c>
      <c r="DW38" s="93">
        <v>0.20613140950920311</v>
      </c>
      <c r="DX38" s="93">
        <v>0.20677414493747873</v>
      </c>
      <c r="DY38" s="93">
        <v>0.20701522271943235</v>
      </c>
      <c r="DZ38" s="93">
        <v>0.20736622681738928</v>
      </c>
      <c r="EA38" s="93">
        <v>0.2077967845551712</v>
      </c>
      <c r="EB38" s="93">
        <v>0.20826391703540537</v>
      </c>
      <c r="EC38" s="93">
        <v>0.20929730764954116</v>
      </c>
      <c r="ED38" s="93">
        <v>0.21006894199181925</v>
      </c>
      <c r="EE38" s="93">
        <v>0.21090912717072527</v>
      </c>
      <c r="EF38" s="93">
        <v>0.21136089011424231</v>
      </c>
      <c r="EG38" s="93">
        <v>0.21174532337336679</v>
      </c>
      <c r="EH38" s="93">
        <v>0.21215212816528273</v>
      </c>
      <c r="EI38" s="93">
        <v>0.21255759596846829</v>
      </c>
      <c r="EJ38" s="93">
        <v>0.21315021316880314</v>
      </c>
      <c r="EK38" s="93">
        <v>0.21342205714935955</v>
      </c>
      <c r="EL38" s="93">
        <v>0.21396094451978076</v>
      </c>
      <c r="EM38" s="93">
        <v>0.21476554979069842</v>
      </c>
      <c r="EN38" s="93">
        <v>0.21601460372517223</v>
      </c>
      <c r="EO38" s="93">
        <v>0.21757998311970483</v>
      </c>
      <c r="EP38" s="93">
        <v>0.21910495424904824</v>
      </c>
      <c r="EQ38" s="93">
        <v>0.22026213843860221</v>
      </c>
      <c r="ER38" s="93">
        <v>0.22139264637744141</v>
      </c>
      <c r="ES38" s="93">
        <v>0.22236470699999999</v>
      </c>
      <c r="ET38" s="93">
        <v>0.22318535669729653</v>
      </c>
      <c r="EU38" s="93">
        <v>0.22424185199999999</v>
      </c>
      <c r="EV38" s="93">
        <v>0.22522831900000001</v>
      </c>
      <c r="EW38" s="93">
        <v>0.22598131599999999</v>
      </c>
      <c r="EX38" s="93">
        <v>0.226919909</v>
      </c>
      <c r="EY38" s="93">
        <v>0.22757381800000001</v>
      </c>
      <c r="EZ38" s="93">
        <v>0.22900000000000001</v>
      </c>
      <c r="FA38" s="93">
        <v>0.23</v>
      </c>
      <c r="FB38" s="93"/>
    </row>
    <row r="39" spans="1:158" s="43" customFormat="1" ht="20.100000000000001" customHeight="1" x14ac:dyDescent="0.4">
      <c r="A39" s="189" t="s">
        <v>116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</row>
    <row r="40" spans="1:158" s="43" customFormat="1" ht="20.100000000000001" customHeight="1" x14ac:dyDescent="0.4">
      <c r="A40" s="189" t="s">
        <v>112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</row>
    <row r="41" spans="1:158" s="43" customFormat="1" ht="24.75" customHeight="1" x14ac:dyDescent="0.4">
      <c r="A41" s="189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</row>
    <row r="42" spans="1:158" s="41" customFormat="1" ht="29.25" customHeight="1" x14ac:dyDescent="0.4">
      <c r="A42" s="94" t="s">
        <v>21</v>
      </c>
      <c r="B42" s="95">
        <v>38355</v>
      </c>
      <c r="C42" s="95">
        <v>38385</v>
      </c>
      <c r="D42" s="95">
        <v>38413</v>
      </c>
      <c r="E42" s="95">
        <v>38444</v>
      </c>
      <c r="F42" s="95">
        <v>38474</v>
      </c>
      <c r="G42" s="95">
        <v>38505</v>
      </c>
      <c r="H42" s="95">
        <v>38535</v>
      </c>
      <c r="I42" s="95">
        <v>38566</v>
      </c>
      <c r="J42" s="95">
        <v>38597</v>
      </c>
      <c r="K42" s="95">
        <v>38627</v>
      </c>
      <c r="L42" s="95">
        <v>38658</v>
      </c>
      <c r="M42" s="95">
        <v>38688</v>
      </c>
      <c r="N42" s="95">
        <v>38719</v>
      </c>
      <c r="O42" s="95">
        <v>38750</v>
      </c>
      <c r="P42" s="95">
        <v>38778</v>
      </c>
      <c r="Q42" s="95">
        <v>38809</v>
      </c>
      <c r="R42" s="95">
        <v>38839</v>
      </c>
      <c r="S42" s="95">
        <v>38870</v>
      </c>
      <c r="T42" s="95">
        <v>38900</v>
      </c>
      <c r="U42" s="95">
        <v>38931</v>
      </c>
      <c r="V42" s="95">
        <v>38962</v>
      </c>
      <c r="W42" s="95">
        <v>38992</v>
      </c>
      <c r="X42" s="95">
        <v>39023</v>
      </c>
      <c r="Y42" s="95">
        <v>39053</v>
      </c>
      <c r="Z42" s="95">
        <v>39084</v>
      </c>
      <c r="AA42" s="95">
        <v>39115</v>
      </c>
      <c r="AB42" s="95">
        <v>39143</v>
      </c>
      <c r="AC42" s="95">
        <v>39174</v>
      </c>
      <c r="AD42" s="95">
        <v>39204</v>
      </c>
      <c r="AE42" s="95">
        <v>39235</v>
      </c>
      <c r="AF42" s="95">
        <v>39264</v>
      </c>
      <c r="AG42" s="95">
        <v>39324</v>
      </c>
      <c r="AH42" s="95">
        <v>39332</v>
      </c>
      <c r="AI42" s="95">
        <v>39362</v>
      </c>
      <c r="AJ42" s="95">
        <v>39393</v>
      </c>
      <c r="AK42" s="95">
        <v>39417</v>
      </c>
      <c r="AL42" s="95">
        <v>39448</v>
      </c>
      <c r="AM42" s="95">
        <v>39480</v>
      </c>
      <c r="AN42" s="95">
        <v>39509</v>
      </c>
      <c r="AO42" s="95">
        <v>39541</v>
      </c>
      <c r="AP42" s="95">
        <v>39569</v>
      </c>
      <c r="AQ42" s="95">
        <v>39600</v>
      </c>
      <c r="AR42" s="95">
        <v>39630</v>
      </c>
      <c r="AS42" s="95">
        <v>39661</v>
      </c>
      <c r="AT42" s="95">
        <v>39692</v>
      </c>
      <c r="AU42" s="95">
        <v>39722</v>
      </c>
      <c r="AV42" s="95">
        <v>39753</v>
      </c>
      <c r="AW42" s="95">
        <v>39783</v>
      </c>
      <c r="AX42" s="95">
        <v>39814</v>
      </c>
      <c r="AY42" s="95">
        <v>39845</v>
      </c>
      <c r="AZ42" s="95">
        <v>39873</v>
      </c>
      <c r="BA42" s="95">
        <v>39904</v>
      </c>
      <c r="BB42" s="95">
        <v>39934</v>
      </c>
      <c r="BC42" s="95">
        <v>39965</v>
      </c>
      <c r="BD42" s="95">
        <v>39995</v>
      </c>
      <c r="BE42" s="95">
        <v>40027</v>
      </c>
      <c r="BF42" s="95">
        <v>40057</v>
      </c>
      <c r="BG42" s="95">
        <v>40087</v>
      </c>
      <c r="BH42" s="95">
        <v>40118</v>
      </c>
      <c r="BI42" s="95">
        <v>40148</v>
      </c>
      <c r="BJ42" s="95">
        <v>40179</v>
      </c>
      <c r="BK42" s="95">
        <v>40210</v>
      </c>
      <c r="BL42" s="95">
        <v>40238</v>
      </c>
      <c r="BM42" s="95">
        <v>40269</v>
      </c>
      <c r="BN42" s="95">
        <v>40299</v>
      </c>
      <c r="BO42" s="95">
        <v>40330</v>
      </c>
      <c r="BP42" s="95">
        <v>40360</v>
      </c>
      <c r="BQ42" s="95">
        <v>40391</v>
      </c>
      <c r="BR42" s="95">
        <v>40422</v>
      </c>
      <c r="BS42" s="95">
        <v>40452</v>
      </c>
      <c r="BT42" s="95">
        <v>40483</v>
      </c>
      <c r="BU42" s="95">
        <v>40513</v>
      </c>
      <c r="BV42" s="95">
        <v>40544</v>
      </c>
      <c r="BW42" s="95">
        <v>40575</v>
      </c>
      <c r="BX42" s="95">
        <v>40603</v>
      </c>
      <c r="BY42" s="95">
        <v>40634</v>
      </c>
      <c r="BZ42" s="95">
        <v>40664</v>
      </c>
      <c r="CA42" s="95">
        <v>40695</v>
      </c>
      <c r="CB42" s="95">
        <v>40725</v>
      </c>
      <c r="CC42" s="95">
        <v>40756</v>
      </c>
      <c r="CD42" s="95">
        <v>40787</v>
      </c>
      <c r="CE42" s="95">
        <v>40817</v>
      </c>
      <c r="CF42" s="95">
        <v>40849</v>
      </c>
      <c r="CG42" s="95">
        <v>40880</v>
      </c>
      <c r="CH42" s="95">
        <v>40909</v>
      </c>
      <c r="CI42" s="95">
        <v>40940</v>
      </c>
      <c r="CJ42" s="95">
        <v>40969</v>
      </c>
      <c r="CK42" s="95">
        <v>41000</v>
      </c>
      <c r="CL42" s="95">
        <v>41030</v>
      </c>
      <c r="CM42" s="95">
        <v>41061</v>
      </c>
      <c r="CN42" s="95">
        <v>41091</v>
      </c>
      <c r="CO42" s="95">
        <v>41122</v>
      </c>
      <c r="CP42" s="95">
        <v>41153</v>
      </c>
      <c r="CQ42" s="95">
        <v>41183</v>
      </c>
      <c r="CR42" s="95">
        <v>41214</v>
      </c>
      <c r="CS42" s="95">
        <v>41244</v>
      </c>
      <c r="CT42" s="95">
        <v>41287</v>
      </c>
      <c r="CU42" s="95">
        <v>41306</v>
      </c>
      <c r="CV42" s="95">
        <v>41334</v>
      </c>
      <c r="CW42" s="95">
        <v>41365</v>
      </c>
      <c r="CX42" s="95">
        <v>41395</v>
      </c>
      <c r="CY42" s="95">
        <v>41426</v>
      </c>
      <c r="CZ42" s="95">
        <v>41468</v>
      </c>
      <c r="DA42" s="95">
        <v>41487</v>
      </c>
      <c r="DB42" s="95">
        <v>41518</v>
      </c>
      <c r="DC42" s="95">
        <v>41548</v>
      </c>
      <c r="DD42" s="95">
        <v>41579</v>
      </c>
      <c r="DE42" s="95">
        <v>41609</v>
      </c>
      <c r="DF42" s="95">
        <v>41640</v>
      </c>
      <c r="DG42" s="95">
        <v>41671</v>
      </c>
      <c r="DH42" s="95">
        <v>41699</v>
      </c>
      <c r="DI42" s="95">
        <v>41730</v>
      </c>
      <c r="DJ42" s="95">
        <v>41760</v>
      </c>
      <c r="DK42" s="95">
        <v>41791</v>
      </c>
      <c r="DL42" s="95">
        <v>41822</v>
      </c>
      <c r="DM42" s="95">
        <v>41854</v>
      </c>
      <c r="DN42" s="95">
        <v>41886</v>
      </c>
      <c r="DO42" s="95">
        <v>41913</v>
      </c>
      <c r="DP42" s="95">
        <v>41945</v>
      </c>
      <c r="DQ42" s="95">
        <v>41976</v>
      </c>
      <c r="DR42" s="95">
        <v>42005</v>
      </c>
      <c r="DS42" s="95">
        <v>42037</v>
      </c>
      <c r="DT42" s="95">
        <v>42066</v>
      </c>
      <c r="DU42" s="95">
        <v>42095</v>
      </c>
      <c r="DV42" s="95">
        <v>42126</v>
      </c>
      <c r="DW42" s="95">
        <v>42158</v>
      </c>
      <c r="DX42" s="95">
        <v>42189</v>
      </c>
      <c r="DY42" s="95">
        <v>42221</v>
      </c>
      <c r="DZ42" s="95">
        <v>42253</v>
      </c>
      <c r="EA42" s="95">
        <v>42283</v>
      </c>
      <c r="EB42" s="95">
        <v>42314</v>
      </c>
      <c r="EC42" s="95">
        <v>42339</v>
      </c>
      <c r="ED42" s="95">
        <v>42370</v>
      </c>
      <c r="EE42" s="95">
        <v>42401</v>
      </c>
      <c r="EF42" s="95">
        <v>42430</v>
      </c>
      <c r="EG42" s="95">
        <v>42461</v>
      </c>
      <c r="EH42" s="95">
        <v>42491</v>
      </c>
      <c r="EI42" s="95">
        <v>42522</v>
      </c>
      <c r="EJ42" s="95">
        <v>42552</v>
      </c>
      <c r="EK42" s="95">
        <v>42583</v>
      </c>
      <c r="EL42" s="95">
        <v>42614</v>
      </c>
      <c r="EM42" s="95">
        <v>42644</v>
      </c>
      <c r="EN42" s="95">
        <v>42675</v>
      </c>
      <c r="EO42" s="95">
        <v>42705</v>
      </c>
      <c r="EP42" s="95">
        <v>42736</v>
      </c>
      <c r="EQ42" s="95">
        <v>42767</v>
      </c>
      <c r="ER42" s="95">
        <v>42795</v>
      </c>
      <c r="ES42" s="95">
        <v>42826</v>
      </c>
      <c r="ET42" s="95">
        <v>42856</v>
      </c>
      <c r="EU42" s="95">
        <v>42887</v>
      </c>
      <c r="EV42" s="95">
        <v>42917</v>
      </c>
      <c r="EW42" s="95">
        <v>42948</v>
      </c>
      <c r="EX42" s="95">
        <v>42979</v>
      </c>
      <c r="EY42" s="95">
        <v>43009</v>
      </c>
      <c r="EZ42" s="95">
        <v>43040</v>
      </c>
      <c r="FA42" s="95">
        <v>43070</v>
      </c>
      <c r="FB42" s="95">
        <v>43101</v>
      </c>
    </row>
    <row r="43" spans="1:158" s="100" customFormat="1" ht="29.25" customHeight="1" x14ac:dyDescent="0.4">
      <c r="A43" s="96" t="s">
        <v>22</v>
      </c>
      <c r="B43" s="97">
        <v>48294</v>
      </c>
      <c r="C43" s="97">
        <v>48294</v>
      </c>
      <c r="D43" s="97">
        <v>48294</v>
      </c>
      <c r="E43" s="97">
        <v>48294</v>
      </c>
      <c r="F43" s="97">
        <v>48294</v>
      </c>
      <c r="G43" s="97">
        <v>48294</v>
      </c>
      <c r="H43" s="97">
        <v>48294</v>
      </c>
      <c r="I43" s="97">
        <v>48294</v>
      </c>
      <c r="J43" s="97">
        <v>48294</v>
      </c>
      <c r="K43" s="97">
        <v>48294</v>
      </c>
      <c r="L43" s="97">
        <v>48294</v>
      </c>
      <c r="M43" s="97">
        <v>48294</v>
      </c>
      <c r="N43" s="97">
        <v>48311.061000000002</v>
      </c>
      <c r="O43" s="97">
        <v>48327.98</v>
      </c>
      <c r="P43" s="97">
        <v>48343.898000000001</v>
      </c>
      <c r="Q43" s="97">
        <v>48361.817000000003</v>
      </c>
      <c r="R43" s="97">
        <v>48480.56</v>
      </c>
      <c r="S43" s="97">
        <v>48498.455000000002</v>
      </c>
      <c r="T43" s="97">
        <v>48514</v>
      </c>
      <c r="U43" s="97">
        <v>48530</v>
      </c>
      <c r="V43" s="97">
        <v>48547</v>
      </c>
      <c r="W43" s="97">
        <v>48563</v>
      </c>
      <c r="X43" s="97">
        <v>48364</v>
      </c>
      <c r="Y43" s="97">
        <v>48378</v>
      </c>
      <c r="Z43" s="97">
        <v>48391</v>
      </c>
      <c r="AA43" s="97">
        <v>48405</v>
      </c>
      <c r="AB43" s="97">
        <v>48417.5</v>
      </c>
      <c r="AC43" s="97">
        <v>48430.59</v>
      </c>
      <c r="AD43" s="97">
        <v>48443.65</v>
      </c>
      <c r="AE43" s="97">
        <v>48457.34</v>
      </c>
      <c r="AF43" s="97">
        <v>48457.34</v>
      </c>
      <c r="AG43" s="97">
        <v>48457.34</v>
      </c>
      <c r="AH43" s="97">
        <v>48457.34</v>
      </c>
      <c r="AI43" s="97">
        <v>48457.34</v>
      </c>
      <c r="AJ43" s="97">
        <v>48457.34</v>
      </c>
      <c r="AK43" s="97">
        <v>48457.34</v>
      </c>
      <c r="AL43" s="98">
        <v>48443520</v>
      </c>
      <c r="AM43" s="98">
        <v>48481440.337036274</v>
      </c>
      <c r="AN43" s="98">
        <v>48493980.869603455</v>
      </c>
      <c r="AO43" s="98">
        <v>48506524.64598839</v>
      </c>
      <c r="AP43" s="98">
        <v>48519071.667030148</v>
      </c>
      <c r="AQ43" s="98">
        <v>48531621.933568016</v>
      </c>
      <c r="AR43" s="98">
        <v>48544175.446441494</v>
      </c>
      <c r="AS43" s="98">
        <v>48556732.206490308</v>
      </c>
      <c r="AT43" s="98">
        <v>48569292</v>
      </c>
      <c r="AU43" s="98">
        <v>48581855.47147388</v>
      </c>
      <c r="AV43" s="98">
        <v>48594421.978089169</v>
      </c>
      <c r="AW43" s="98">
        <v>48606991.735240802</v>
      </c>
      <c r="AX43" s="98">
        <v>48618000</v>
      </c>
      <c r="AY43" s="98">
        <v>48630104.851361401</v>
      </c>
      <c r="AZ43" s="98">
        <v>48641767.97150825</v>
      </c>
      <c r="BA43" s="98">
        <v>48653433.888860099</v>
      </c>
      <c r="BB43" s="98">
        <v>48654433.888860099</v>
      </c>
      <c r="BC43" s="98">
        <v>48676774.117862299</v>
      </c>
      <c r="BD43" s="98">
        <v>48688448.430854902</v>
      </c>
      <c r="BE43" s="98">
        <v>48700125.543736912</v>
      </c>
      <c r="BF43" s="98">
        <v>48711805.457179815</v>
      </c>
      <c r="BG43" s="98">
        <v>48723488.171855293</v>
      </c>
      <c r="BH43" s="98">
        <v>48735173.688435175</v>
      </c>
      <c r="BI43" s="98">
        <v>48746862.007591501</v>
      </c>
      <c r="BJ43" s="98">
        <v>48757501.756958872</v>
      </c>
      <c r="BK43" s="98">
        <v>48768141.506326243</v>
      </c>
      <c r="BL43" s="98">
        <v>48778781.255693614</v>
      </c>
      <c r="BM43" s="98">
        <v>48789421.005060986</v>
      </c>
      <c r="BN43" s="98">
        <v>48800060.754428357</v>
      </c>
      <c r="BO43" s="98">
        <v>48810700.503795728</v>
      </c>
      <c r="BP43" s="98">
        <v>48821340.253163099</v>
      </c>
      <c r="BQ43" s="98">
        <v>48831980.00253047</v>
      </c>
      <c r="BR43" s="98">
        <v>48842619.751897842</v>
      </c>
      <c r="BS43" s="98">
        <v>48853259.501265213</v>
      </c>
      <c r="BT43" s="98">
        <v>48863899.250632584</v>
      </c>
      <c r="BU43" s="98">
        <v>48874539</v>
      </c>
      <c r="BV43" s="98">
        <v>48884063.5</v>
      </c>
      <c r="BW43" s="98">
        <v>48893588</v>
      </c>
      <c r="BX43" s="98">
        <v>48903112.5</v>
      </c>
      <c r="BY43" s="98">
        <v>48912637</v>
      </c>
      <c r="BZ43" s="98">
        <v>48922161.5</v>
      </c>
      <c r="CA43" s="98">
        <v>48931686</v>
      </c>
      <c r="CB43" s="98">
        <v>48941210</v>
      </c>
      <c r="CC43" s="98">
        <v>48950735</v>
      </c>
      <c r="CD43" s="98">
        <v>48960259.5</v>
      </c>
      <c r="CE43" s="98">
        <v>48969784</v>
      </c>
      <c r="CF43" s="98">
        <v>48979309</v>
      </c>
      <c r="CG43" s="98">
        <v>49779440</v>
      </c>
      <c r="CH43" s="98">
        <v>49798190.083333336</v>
      </c>
      <c r="CI43" s="98">
        <v>49816940.166666672</v>
      </c>
      <c r="CJ43" s="98">
        <v>49835690.250000007</v>
      </c>
      <c r="CK43" s="98">
        <v>49854440.333333343</v>
      </c>
      <c r="CL43" s="98">
        <v>49873190.416666679</v>
      </c>
      <c r="CM43" s="98">
        <v>49891940.500000015</v>
      </c>
      <c r="CN43" s="98">
        <v>49910690.583333351</v>
      </c>
      <c r="CO43" s="98">
        <v>49929440.666666687</v>
      </c>
      <c r="CP43" s="98">
        <v>49948190.750000022</v>
      </c>
      <c r="CQ43" s="98">
        <v>49966940.833333358</v>
      </c>
      <c r="CR43" s="98">
        <v>49985690.916666694</v>
      </c>
      <c r="CS43" s="99">
        <v>50004441</v>
      </c>
      <c r="CT43" s="99">
        <v>50022376.666666664</v>
      </c>
      <c r="CU43" s="99">
        <v>50040312.333333328</v>
      </c>
      <c r="CV43" s="99">
        <v>50058247.999999993</v>
      </c>
      <c r="CW43" s="99">
        <v>50076183.666666657</v>
      </c>
      <c r="CX43" s="99">
        <v>50094119.333333321</v>
      </c>
      <c r="CY43" s="99">
        <v>50112054.999999985</v>
      </c>
      <c r="CZ43" s="99">
        <v>50129990.666666649</v>
      </c>
      <c r="DA43" s="99">
        <v>50147926.333333313</v>
      </c>
      <c r="DB43" s="99">
        <v>50165861.999999978</v>
      </c>
      <c r="DC43" s="99">
        <v>50183797.666666642</v>
      </c>
      <c r="DD43" s="99">
        <v>50201733.333333306</v>
      </c>
      <c r="DE43" s="99">
        <v>50219668.99999997</v>
      </c>
      <c r="DF43" s="99">
        <v>50236692.833333306</v>
      </c>
      <c r="DG43" s="99">
        <v>50253716.666666642</v>
      </c>
      <c r="DH43" s="99">
        <v>50270740.499999978</v>
      </c>
      <c r="DI43" s="99">
        <v>50287764.333333313</v>
      </c>
      <c r="DJ43" s="99">
        <v>50304788.166666649</v>
      </c>
      <c r="DK43" s="99">
        <v>50321811.999999985</v>
      </c>
      <c r="DL43" s="99">
        <v>50338835.833333321</v>
      </c>
      <c r="DM43" s="99">
        <v>50355859.666666657</v>
      </c>
      <c r="DN43" s="99">
        <v>50372883.499999993</v>
      </c>
      <c r="DO43" s="99">
        <v>50389907.333333328</v>
      </c>
      <c r="DP43" s="99">
        <v>50406931.166666664</v>
      </c>
      <c r="DQ43" s="99">
        <v>50423955</v>
      </c>
      <c r="DR43" s="99">
        <v>50440045.833333336</v>
      </c>
      <c r="DS43" s="99">
        <v>50456136.666666672</v>
      </c>
      <c r="DT43" s="99">
        <v>50472227.500000007</v>
      </c>
      <c r="DU43" s="99">
        <v>50488318.333333343</v>
      </c>
      <c r="DV43" s="99">
        <v>50504409.166666679</v>
      </c>
      <c r="DW43" s="99">
        <v>50520500.000000015</v>
      </c>
      <c r="DX43" s="99">
        <v>50536590.833333351</v>
      </c>
      <c r="DY43" s="99">
        <v>50552681.666666687</v>
      </c>
      <c r="DZ43" s="99">
        <v>50568772.500000022</v>
      </c>
      <c r="EA43" s="99">
        <v>50584863.333333358</v>
      </c>
      <c r="EB43" s="99">
        <v>50600954.166666694</v>
      </c>
      <c r="EC43" s="99">
        <v>50617045</v>
      </c>
      <c r="ED43" s="99">
        <v>50633136</v>
      </c>
      <c r="EE43" s="99">
        <v>50649227</v>
      </c>
      <c r="EF43" s="99">
        <v>50665317.5</v>
      </c>
      <c r="EG43" s="99">
        <v>50681408.299999997</v>
      </c>
      <c r="EH43" s="99">
        <v>50697499.200000003</v>
      </c>
      <c r="EI43" s="99">
        <v>50713590.000000045</v>
      </c>
      <c r="EJ43" s="99">
        <v>50729680.800000101</v>
      </c>
      <c r="EK43" s="99">
        <v>50745771.600000203</v>
      </c>
      <c r="EL43" s="99">
        <v>50761862.400000297</v>
      </c>
      <c r="EM43" s="99">
        <v>50777953.200000398</v>
      </c>
      <c r="EN43" s="99">
        <v>50794044.000000499</v>
      </c>
      <c r="EO43" s="99">
        <v>50810134.800000601</v>
      </c>
      <c r="EP43" s="99">
        <v>50826225.600000702</v>
      </c>
      <c r="EQ43" s="99">
        <v>50842316.400000803</v>
      </c>
      <c r="ER43" s="99">
        <v>50858407.200000897</v>
      </c>
      <c r="ES43" s="99">
        <v>50874498.000000998</v>
      </c>
      <c r="ET43" s="99">
        <v>50890588.8000011</v>
      </c>
      <c r="EU43" s="99">
        <v>50906679.600001201</v>
      </c>
      <c r="EV43" s="99">
        <v>50922770.400001302</v>
      </c>
      <c r="EW43" s="99">
        <v>50938861.200001404</v>
      </c>
      <c r="EX43" s="99">
        <v>50954952.000001498</v>
      </c>
      <c r="EY43" s="99">
        <v>50971042.800001599</v>
      </c>
      <c r="EZ43" s="99">
        <v>50987133.6000017</v>
      </c>
      <c r="FA43" s="99">
        <v>51003224.400001802</v>
      </c>
      <c r="FB43" s="99">
        <v>51019315.833333403</v>
      </c>
    </row>
    <row r="44" spans="1:158" s="100" customFormat="1" ht="29.25" customHeight="1" x14ac:dyDescent="0.4">
      <c r="A44" s="101" t="s">
        <v>23</v>
      </c>
      <c r="B44" s="102">
        <v>15789</v>
      </c>
      <c r="C44" s="102">
        <v>15789</v>
      </c>
      <c r="D44" s="102">
        <v>15789</v>
      </c>
      <c r="E44" s="102">
        <v>15789</v>
      </c>
      <c r="F44" s="102">
        <v>15789</v>
      </c>
      <c r="G44" s="102">
        <v>15789</v>
      </c>
      <c r="H44" s="102">
        <v>15789</v>
      </c>
      <c r="I44" s="102">
        <v>15789</v>
      </c>
      <c r="J44" s="102">
        <v>15789</v>
      </c>
      <c r="K44" s="102">
        <v>15789</v>
      </c>
      <c r="L44" s="102">
        <v>15789</v>
      </c>
      <c r="M44" s="102">
        <v>15789</v>
      </c>
      <c r="N44" s="102">
        <v>15989</v>
      </c>
      <c r="O44" s="102">
        <v>15989</v>
      </c>
      <c r="P44" s="102">
        <v>15989</v>
      </c>
      <c r="Q44" s="102">
        <v>15989</v>
      </c>
      <c r="R44" s="102">
        <v>15989</v>
      </c>
      <c r="S44" s="102">
        <v>15989</v>
      </c>
      <c r="T44" s="102">
        <v>15989</v>
      </c>
      <c r="U44" s="102">
        <v>15989</v>
      </c>
      <c r="V44" s="102">
        <v>15989</v>
      </c>
      <c r="W44" s="102">
        <v>15989</v>
      </c>
      <c r="X44" s="102">
        <v>15989</v>
      </c>
      <c r="Y44" s="102">
        <v>15989</v>
      </c>
      <c r="Z44" s="102">
        <v>16194</v>
      </c>
      <c r="AA44" s="102">
        <v>16194</v>
      </c>
      <c r="AB44" s="102">
        <v>16194</v>
      </c>
      <c r="AC44" s="102">
        <v>16194</v>
      </c>
      <c r="AD44" s="102">
        <v>16194</v>
      </c>
      <c r="AE44" s="102">
        <v>16194</v>
      </c>
      <c r="AF44" s="102">
        <v>16194</v>
      </c>
      <c r="AG44" s="102">
        <v>16194</v>
      </c>
      <c r="AH44" s="102">
        <v>16194</v>
      </c>
      <c r="AI44" s="102">
        <v>16194</v>
      </c>
      <c r="AJ44" s="102">
        <v>16194</v>
      </c>
      <c r="AK44" s="102">
        <v>16194</v>
      </c>
      <c r="AL44" s="103">
        <v>16617087.953308588</v>
      </c>
      <c r="AM44" s="103">
        <v>16630095.380839678</v>
      </c>
      <c r="AN44" s="103">
        <v>16634397.032178188</v>
      </c>
      <c r="AO44" s="103">
        <v>16638699.796210511</v>
      </c>
      <c r="AP44" s="103">
        <v>16643003.673224462</v>
      </c>
      <c r="AQ44" s="103">
        <v>16647308.663507935</v>
      </c>
      <c r="AR44" s="103">
        <v>16651614.767348895</v>
      </c>
      <c r="AS44" s="103">
        <v>16655921.985035382</v>
      </c>
      <c r="AT44" s="103">
        <v>16660230.243259102</v>
      </c>
      <c r="AU44" s="103">
        <v>16664539.763097469</v>
      </c>
      <c r="AV44" s="103">
        <v>16668850.324049525</v>
      </c>
      <c r="AW44" s="103">
        <v>16673162</v>
      </c>
      <c r="AX44" s="103">
        <v>16871282.665783115</v>
      </c>
      <c r="AY44" s="103">
        <v>16875483.257517565</v>
      </c>
      <c r="AZ44" s="103">
        <v>16879530.560918827</v>
      </c>
      <c r="BA44" s="103">
        <v>16883578.834998358</v>
      </c>
      <c r="BB44" s="103">
        <v>16883925.852207329</v>
      </c>
      <c r="BC44" s="103">
        <v>16891678.29612346</v>
      </c>
      <c r="BD44" s="103">
        <v>16895729.483634815</v>
      </c>
      <c r="BE44" s="103">
        <v>16899781.642755978</v>
      </c>
      <c r="BF44" s="103">
        <v>16903834.773719963</v>
      </c>
      <c r="BG44" s="103">
        <v>16907888.876759861</v>
      </c>
      <c r="BH44" s="103">
        <v>16911943.9521088</v>
      </c>
      <c r="BI44" s="103">
        <v>16916000</v>
      </c>
      <c r="BJ44" s="103">
        <v>16935666.666666668</v>
      </c>
      <c r="BK44" s="103">
        <v>16953694.444444444</v>
      </c>
      <c r="BL44" s="103">
        <v>16971722.22222222</v>
      </c>
      <c r="BM44" s="103">
        <v>16989749.999999996</v>
      </c>
      <c r="BN44" s="103">
        <v>17007777.777777772</v>
      </c>
      <c r="BO44" s="103">
        <v>17025805.555555549</v>
      </c>
      <c r="BP44" s="103">
        <v>17043833.333333325</v>
      </c>
      <c r="BQ44" s="103">
        <v>17061861.111111101</v>
      </c>
      <c r="BR44" s="103">
        <v>17079888.888888877</v>
      </c>
      <c r="BS44" s="103">
        <v>17097916.666666653</v>
      </c>
      <c r="BT44" s="103">
        <v>17115944.444444429</v>
      </c>
      <c r="BU44" s="103">
        <v>17152000</v>
      </c>
      <c r="BV44" s="103">
        <v>17171226.166666668</v>
      </c>
      <c r="BW44" s="103">
        <v>17190175.333333336</v>
      </c>
      <c r="BX44" s="103">
        <v>17209124.500000004</v>
      </c>
      <c r="BY44" s="103">
        <v>17228073.666666672</v>
      </c>
      <c r="BZ44" s="103">
        <v>17247022.83333334</v>
      </c>
      <c r="CA44" s="103">
        <v>17265972.000000007</v>
      </c>
      <c r="CB44" s="103">
        <v>17284921</v>
      </c>
      <c r="CC44" s="103">
        <v>17303870.333333343</v>
      </c>
      <c r="CD44" s="103">
        <v>17322819.500000011</v>
      </c>
      <c r="CE44" s="103">
        <v>17341768.666666679</v>
      </c>
      <c r="CF44" s="103">
        <v>17360718</v>
      </c>
      <c r="CG44" s="103">
        <v>17379667</v>
      </c>
      <c r="CH44" s="103">
        <v>17397706.333333332</v>
      </c>
      <c r="CI44" s="103">
        <v>17415745.666666664</v>
      </c>
      <c r="CJ44" s="103">
        <v>17433784.999999996</v>
      </c>
      <c r="CK44" s="103">
        <v>17451824.333333328</v>
      </c>
      <c r="CL44" s="103">
        <v>17469863.66666666</v>
      </c>
      <c r="CM44" s="103">
        <v>17487902.999999993</v>
      </c>
      <c r="CN44" s="103">
        <v>17505942.333333325</v>
      </c>
      <c r="CO44" s="103">
        <v>17523981.666666657</v>
      </c>
      <c r="CP44" s="103">
        <v>17542020.999999989</v>
      </c>
      <c r="CQ44" s="103">
        <v>17560060.333333321</v>
      </c>
      <c r="CR44" s="103">
        <v>17578099.666666653</v>
      </c>
      <c r="CS44" s="104">
        <v>17596139</v>
      </c>
      <c r="CT44" s="104">
        <v>17646988.083333332</v>
      </c>
      <c r="CU44" s="104">
        <v>17697837.166666664</v>
      </c>
      <c r="CV44" s="104">
        <v>17748686.249999996</v>
      </c>
      <c r="CW44" s="104">
        <v>17799535.333333328</v>
      </c>
      <c r="CX44" s="104">
        <v>17850384.41666666</v>
      </c>
      <c r="CY44" s="104">
        <v>17901233.499999993</v>
      </c>
      <c r="CZ44" s="104">
        <v>17952082.583333325</v>
      </c>
      <c r="DA44" s="104">
        <v>18002931.666666657</v>
      </c>
      <c r="DB44" s="104">
        <v>18053780.749999989</v>
      </c>
      <c r="DC44" s="104">
        <v>18104629.833333321</v>
      </c>
      <c r="DD44" s="104">
        <v>18155478.916666653</v>
      </c>
      <c r="DE44" s="104">
        <v>18206327.999999985</v>
      </c>
      <c r="DF44" s="104">
        <v>18227269.666666653</v>
      </c>
      <c r="DG44" s="104">
        <v>18248211.333333321</v>
      </c>
      <c r="DH44" s="104">
        <v>18269152.999999989</v>
      </c>
      <c r="DI44" s="104">
        <v>18290094.666666657</v>
      </c>
      <c r="DJ44" s="104">
        <v>18311036.333333325</v>
      </c>
      <c r="DK44" s="104">
        <v>18331977.999999993</v>
      </c>
      <c r="DL44" s="104">
        <v>18352919.66666666</v>
      </c>
      <c r="DM44" s="104">
        <v>18373861.333333328</v>
      </c>
      <c r="DN44" s="104">
        <v>18394802.999999996</v>
      </c>
      <c r="DO44" s="104">
        <v>18415744.666666664</v>
      </c>
      <c r="DP44" s="104">
        <v>18436686.333333332</v>
      </c>
      <c r="DQ44" s="104">
        <v>18457628</v>
      </c>
      <c r="DR44" s="104">
        <v>18478242.666666668</v>
      </c>
      <c r="DS44" s="104">
        <v>18498857.333333336</v>
      </c>
      <c r="DT44" s="104">
        <v>18519472.000000004</v>
      </c>
      <c r="DU44" s="104">
        <v>18540086.666666672</v>
      </c>
      <c r="DV44" s="104">
        <v>18560701.33333334</v>
      </c>
      <c r="DW44" s="104">
        <v>18581316.000000007</v>
      </c>
      <c r="DX44" s="104">
        <v>18601930.666666675</v>
      </c>
      <c r="DY44" s="104">
        <v>18622545.333333343</v>
      </c>
      <c r="DZ44" s="104">
        <v>18643160.000000011</v>
      </c>
      <c r="EA44" s="104">
        <v>18663774.666666679</v>
      </c>
      <c r="EB44" s="104">
        <v>18684389.333333347</v>
      </c>
      <c r="EC44" s="104">
        <v>18705004</v>
      </c>
      <c r="ED44" s="104">
        <v>18725619</v>
      </c>
      <c r="EE44" s="104">
        <v>18746233</v>
      </c>
      <c r="EF44" s="104">
        <v>18766848</v>
      </c>
      <c r="EG44" s="104">
        <v>18787462.699999999</v>
      </c>
      <c r="EH44" s="104">
        <v>18808077.300000001</v>
      </c>
      <c r="EI44" s="104">
        <v>18828692.000000022</v>
      </c>
      <c r="EJ44" s="104">
        <v>18849306.699999999</v>
      </c>
      <c r="EK44" s="104">
        <v>18869921.399999999</v>
      </c>
      <c r="EL44" s="104">
        <v>18890536.100000001</v>
      </c>
      <c r="EM44" s="104">
        <v>18911150.800000001</v>
      </c>
      <c r="EN44" s="104">
        <v>18931765.5</v>
      </c>
      <c r="EO44" s="104">
        <v>18952380.199999999</v>
      </c>
      <c r="EP44" s="104">
        <v>18972994.899999999</v>
      </c>
      <c r="EQ44" s="104">
        <v>18993609.600000001</v>
      </c>
      <c r="ER44" s="104">
        <v>19014224.300000001</v>
      </c>
      <c r="ES44" s="104">
        <v>19034839</v>
      </c>
      <c r="ET44" s="104">
        <v>19055453.699999999</v>
      </c>
      <c r="EU44" s="104">
        <v>19076068.399999999</v>
      </c>
      <c r="EV44" s="104">
        <v>19096683.100000001</v>
      </c>
      <c r="EW44" s="104">
        <v>19117297.800000001</v>
      </c>
      <c r="EX44" s="104">
        <v>19137912.5</v>
      </c>
      <c r="EY44" s="104">
        <v>19158527.199999999</v>
      </c>
      <c r="EZ44" s="104">
        <v>19179141.899999999</v>
      </c>
      <c r="FA44" s="104">
        <v>19199756.600000001</v>
      </c>
      <c r="FB44" s="104">
        <v>19220370.666666701</v>
      </c>
    </row>
    <row r="45" spans="1:158" s="100" customFormat="1" ht="29.25" customHeight="1" x14ac:dyDescent="0.4">
      <c r="A45" s="96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6"/>
      <c r="BQ45" s="106"/>
      <c r="BR45" s="106"/>
      <c r="BS45" s="106"/>
      <c r="BT45" s="106"/>
      <c r="BU45" s="107"/>
      <c r="BV45" s="107"/>
      <c r="BW45" s="107"/>
      <c r="BX45" s="107"/>
      <c r="BY45" s="107"/>
      <c r="BZ45" s="107"/>
      <c r="CA45" s="107"/>
      <c r="CB45" s="107"/>
      <c r="CC45" s="107"/>
      <c r="CD45" s="107"/>
      <c r="CE45" s="107"/>
      <c r="CF45" s="107"/>
      <c r="CG45" s="107"/>
      <c r="CH45" s="107"/>
      <c r="CI45" s="107"/>
      <c r="CJ45" s="107"/>
      <c r="CK45" s="107"/>
      <c r="CL45" s="107"/>
      <c r="CM45" s="107"/>
      <c r="CN45" s="107"/>
      <c r="CO45" s="107"/>
      <c r="CP45" s="107"/>
      <c r="CQ45" s="107"/>
      <c r="CR45" s="107"/>
      <c r="CS45" s="107"/>
    </row>
    <row r="46" spans="1:158" s="111" customFormat="1" ht="18.75" customHeight="1" x14ac:dyDescent="0.4">
      <c r="A46" s="189" t="s">
        <v>93</v>
      </c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9"/>
      <c r="AM46" s="109"/>
      <c r="AN46" s="109"/>
      <c r="AO46" s="110"/>
      <c r="AW46" s="112"/>
      <c r="AX46" s="112"/>
      <c r="AY46" s="112"/>
      <c r="AZ46" s="112"/>
      <c r="BA46" s="112"/>
      <c r="BB46" s="112"/>
      <c r="BC46" s="112"/>
      <c r="BD46" s="112"/>
      <c r="BE46" s="112"/>
      <c r="BF46" s="112"/>
      <c r="BG46" s="112"/>
      <c r="BH46" s="112"/>
      <c r="BI46" s="112"/>
    </row>
    <row r="47" spans="1:158" s="100" customFormat="1" ht="18.75" customHeight="1" x14ac:dyDescent="0.4">
      <c r="A47" s="192" t="s">
        <v>94</v>
      </c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4"/>
      <c r="AM47" s="114"/>
      <c r="AN47" s="114"/>
      <c r="AO47" s="114"/>
    </row>
    <row r="48" spans="1:158" s="100" customFormat="1" ht="18.75" customHeight="1" x14ac:dyDescent="0.4">
      <c r="A48" s="192" t="s">
        <v>95</v>
      </c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4"/>
      <c r="AM48" s="114"/>
      <c r="AN48" s="114"/>
      <c r="AO48" s="114"/>
    </row>
    <row r="49" spans="1:72" s="100" customFormat="1" ht="18.75" customHeight="1" x14ac:dyDescent="0.4">
      <c r="A49" s="192" t="s">
        <v>96</v>
      </c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4"/>
      <c r="AM49" s="114"/>
      <c r="AN49" s="114"/>
      <c r="AO49" s="114"/>
    </row>
    <row r="50" spans="1:72" s="100" customFormat="1" ht="18.75" customHeight="1" x14ac:dyDescent="0.4">
      <c r="A50" s="192" t="s">
        <v>24</v>
      </c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4"/>
      <c r="AM50" s="114"/>
      <c r="AN50" s="114"/>
      <c r="AO50" s="114"/>
    </row>
    <row r="51" spans="1:72" ht="18.75" customHeight="1" x14ac:dyDescent="0.4">
      <c r="A51" s="189" t="s">
        <v>97</v>
      </c>
    </row>
    <row r="52" spans="1:72" ht="18.75" customHeight="1" x14ac:dyDescent="0.4">
      <c r="A52" s="193" t="s">
        <v>98</v>
      </c>
      <c r="BT52" s="6" t="s">
        <v>25</v>
      </c>
    </row>
    <row r="53" spans="1:72" ht="18.75" customHeight="1" x14ac:dyDescent="0.4">
      <c r="A53" s="193" t="s">
        <v>99</v>
      </c>
    </row>
    <row r="54" spans="1:72" ht="18.75" customHeight="1" x14ac:dyDescent="0.4">
      <c r="A54" s="193" t="s">
        <v>26</v>
      </c>
    </row>
    <row r="55" spans="1:72" ht="18.75" customHeight="1" x14ac:dyDescent="0.4">
      <c r="A55" s="193" t="s">
        <v>27</v>
      </c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3"/>
  <sheetViews>
    <sheetView showGridLines="0" view="pageBreakPreview" topLeftCell="A10" zoomScale="70" zoomScaleNormal="60" zoomScaleSheetLayoutView="70" workbookViewId="0">
      <pane xSplit="29" topLeftCell="AH1" activePane="topRight" state="frozen"/>
      <selection pane="topRight" activeCell="AK23" sqref="AK23"/>
    </sheetView>
  </sheetViews>
  <sheetFormatPr defaultColWidth="9" defaultRowHeight="18.75" customHeight="1" x14ac:dyDescent="0.35"/>
  <cols>
    <col min="1" max="1" width="41.3984375" style="188" customWidth="1"/>
    <col min="2" max="10" width="14.5" style="188" hidden="1" customWidth="1"/>
    <col min="11" max="13" width="14.59765625" style="188" hidden="1" customWidth="1"/>
    <col min="14" max="33" width="13.3984375" style="188" hidden="1" customWidth="1"/>
    <col min="34" max="36" width="14.59765625" style="188" customWidth="1"/>
    <col min="37" max="37" width="15.59765625" style="188" bestFit="1" customWidth="1"/>
    <col min="38" max="41" width="15.59765625" style="188" customWidth="1"/>
    <col min="42" max="16384" width="9" style="188"/>
  </cols>
  <sheetData>
    <row r="1" spans="1:41" s="190" customFormat="1" ht="46.5" customHeight="1" x14ac:dyDescent="0.4">
      <c r="A1" s="116" t="s">
        <v>28</v>
      </c>
      <c r="B1" s="117"/>
      <c r="C1" s="117"/>
      <c r="D1" s="117"/>
      <c r="E1" s="117"/>
      <c r="F1" s="117"/>
      <c r="G1" s="117"/>
      <c r="H1" s="117"/>
      <c r="I1" s="117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</row>
    <row r="2" spans="1:41" s="158" customFormat="1" ht="27.75" customHeight="1" x14ac:dyDescent="0.4">
      <c r="B2" s="191"/>
      <c r="C2" s="124"/>
      <c r="D2" s="124"/>
      <c r="E2" s="124"/>
      <c r="F2" s="124"/>
    </row>
    <row r="3" spans="1:41" s="158" customFormat="1" ht="31.5" customHeight="1" x14ac:dyDescent="0.4">
      <c r="A3" s="122" t="s">
        <v>29</v>
      </c>
      <c r="B3" s="123">
        <v>2008</v>
      </c>
      <c r="C3" s="124"/>
      <c r="D3" s="124"/>
      <c r="E3" s="124"/>
      <c r="F3" s="8">
        <v>2009</v>
      </c>
      <c r="G3" s="119"/>
      <c r="H3" s="119"/>
      <c r="I3" s="119"/>
      <c r="J3" s="8">
        <v>2010</v>
      </c>
      <c r="K3" s="119"/>
      <c r="L3" s="119"/>
      <c r="M3" s="119"/>
      <c r="N3" s="8">
        <v>2011</v>
      </c>
      <c r="O3" s="119"/>
      <c r="P3" s="119"/>
      <c r="Q3" s="119"/>
      <c r="R3" s="8">
        <v>2012</v>
      </c>
      <c r="S3" s="119"/>
      <c r="T3" s="119"/>
      <c r="U3" s="119"/>
      <c r="V3" s="8">
        <v>2013</v>
      </c>
      <c r="W3" s="119"/>
      <c r="X3" s="119"/>
      <c r="Y3" s="119"/>
      <c r="Z3" s="8">
        <v>2014</v>
      </c>
      <c r="AA3" s="119"/>
      <c r="AB3" s="119"/>
      <c r="AC3" s="119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</row>
    <row r="4" spans="1:41" s="183" customFormat="1" ht="31.5" customHeight="1" x14ac:dyDescent="0.4">
      <c r="A4" s="125" t="s">
        <v>40</v>
      </c>
      <c r="B4" s="126" t="s">
        <v>41</v>
      </c>
      <c r="C4" s="126" t="s">
        <v>42</v>
      </c>
      <c r="D4" s="126" t="s">
        <v>43</v>
      </c>
      <c r="E4" s="126" t="s">
        <v>44</v>
      </c>
      <c r="F4" s="127" t="s">
        <v>45</v>
      </c>
      <c r="G4" s="127" t="s">
        <v>46</v>
      </c>
      <c r="H4" s="14" t="s">
        <v>47</v>
      </c>
      <c r="I4" s="14" t="s">
        <v>48</v>
      </c>
      <c r="J4" s="14" t="s">
        <v>49</v>
      </c>
      <c r="K4" s="14" t="s">
        <v>50</v>
      </c>
      <c r="L4" s="14" t="s">
        <v>51</v>
      </c>
      <c r="M4" s="14" t="s">
        <v>52</v>
      </c>
      <c r="N4" s="14" t="s">
        <v>53</v>
      </c>
      <c r="O4" s="14" t="s">
        <v>54</v>
      </c>
      <c r="P4" s="14" t="s">
        <v>55</v>
      </c>
      <c r="Q4" s="14" t="s">
        <v>56</v>
      </c>
      <c r="R4" s="15" t="s">
        <v>57</v>
      </c>
      <c r="S4" s="15" t="s">
        <v>58</v>
      </c>
      <c r="T4" s="15" t="s">
        <v>59</v>
      </c>
      <c r="U4" s="15" t="s">
        <v>60</v>
      </c>
      <c r="V4" s="15" t="s">
        <v>61</v>
      </c>
      <c r="W4" s="15" t="s">
        <v>62</v>
      </c>
      <c r="X4" s="15" t="s">
        <v>63</v>
      </c>
      <c r="Y4" s="15" t="s">
        <v>64</v>
      </c>
      <c r="Z4" s="15" t="s">
        <v>65</v>
      </c>
      <c r="AA4" s="15" t="s">
        <v>66</v>
      </c>
      <c r="AB4" s="15" t="s">
        <v>67</v>
      </c>
      <c r="AC4" s="15" t="s">
        <v>68</v>
      </c>
      <c r="AD4" s="15" t="s">
        <v>100</v>
      </c>
      <c r="AE4" s="15" t="s">
        <v>101</v>
      </c>
      <c r="AF4" s="15" t="s">
        <v>102</v>
      </c>
      <c r="AG4" s="15" t="s">
        <v>103</v>
      </c>
      <c r="AH4" s="15" t="s">
        <v>107</v>
      </c>
      <c r="AI4" s="15" t="s">
        <v>108</v>
      </c>
      <c r="AJ4" s="15" t="s">
        <v>109</v>
      </c>
      <c r="AK4" s="15" t="s">
        <v>110</v>
      </c>
      <c r="AL4" s="128" t="s">
        <v>106</v>
      </c>
      <c r="AM4" s="128" t="s">
        <v>114</v>
      </c>
      <c r="AN4" s="128" t="s">
        <v>115</v>
      </c>
      <c r="AO4" s="128" t="s">
        <v>118</v>
      </c>
    </row>
    <row r="5" spans="1:41" s="184" customFormat="1" ht="31.5" customHeight="1" x14ac:dyDescent="0.4">
      <c r="A5" s="129" t="s">
        <v>69</v>
      </c>
      <c r="B5" s="130">
        <v>14085.444</v>
      </c>
      <c r="C5" s="130">
        <v>14367.165000000001</v>
      </c>
      <c r="D5" s="130">
        <v>14430.594000000001</v>
      </c>
      <c r="E5" s="130">
        <v>14525.655000000001</v>
      </c>
      <c r="F5" s="130">
        <v>14731.359999999999</v>
      </c>
      <c r="G5" s="130">
        <v>14931.277</v>
      </c>
      <c r="H5" s="130">
        <v>15159.258</v>
      </c>
      <c r="I5" s="130">
        <v>15303.172</v>
      </c>
      <c r="J5" s="130">
        <v>15679.282999999999</v>
      </c>
      <c r="K5" s="130">
        <v>15927.956</v>
      </c>
      <c r="L5" s="130">
        <v>16179.165999999999</v>
      </c>
      <c r="M5" s="130">
        <v>16417.474999999999</v>
      </c>
      <c r="N5" s="130">
        <v>16725.524000000001</v>
      </c>
      <c r="O5" s="130">
        <v>16776.420999999998</v>
      </c>
      <c r="P5" s="130">
        <v>17042.148999999998</v>
      </c>
      <c r="Q5" s="130">
        <v>17307.292000000001</v>
      </c>
      <c r="R5" s="130">
        <v>17434.752</v>
      </c>
      <c r="S5" s="130">
        <v>17389.462</v>
      </c>
      <c r="T5" s="130">
        <v>17416.396000000001</v>
      </c>
      <c r="U5" s="130">
        <v>17435.949000000001</v>
      </c>
      <c r="V5" s="130">
        <v>17370.972000000002</v>
      </c>
      <c r="W5" s="130">
        <v>17354.087</v>
      </c>
      <c r="X5" s="130">
        <v>17204.882000000001</v>
      </c>
      <c r="Y5" s="130">
        <v>17299.899000000001</v>
      </c>
      <c r="Z5" s="130">
        <v>17291.375</v>
      </c>
      <c r="AA5" s="131">
        <v>17561.798999999999</v>
      </c>
      <c r="AB5" s="131">
        <v>17952.121999999999</v>
      </c>
      <c r="AC5" s="131">
        <v>18052.745999999999</v>
      </c>
      <c r="AD5" s="131">
        <v>18178.167000000001</v>
      </c>
      <c r="AE5" s="131">
        <v>18368.379000000001</v>
      </c>
      <c r="AF5" s="131">
        <v>18514.206999999999</v>
      </c>
      <c r="AG5" s="131">
        <v>18721</v>
      </c>
      <c r="AH5" s="131">
        <v>18843.378000000001</v>
      </c>
      <c r="AI5" s="131">
        <v>18997.347000000002</v>
      </c>
      <c r="AJ5" s="131">
        <f>SUM(AJ7:AJ9)</f>
        <v>19236.344000000001</v>
      </c>
      <c r="AK5" s="131">
        <f>SUM(AK7:AK9)</f>
        <v>19397.464</v>
      </c>
      <c r="AL5" s="131">
        <v>19689.032999999999</v>
      </c>
      <c r="AM5" s="131">
        <v>19918</v>
      </c>
      <c r="AN5" s="131">
        <f>SUM(AN7:AN9)</f>
        <v>20140.112000000001</v>
      </c>
      <c r="AO5" s="131">
        <f>SUM(AO7:AO9)</f>
        <v>20319.896000000001</v>
      </c>
    </row>
    <row r="6" spans="1:41" s="184" customFormat="1" ht="31.5" hidden="1" customHeight="1" x14ac:dyDescent="0.4">
      <c r="A6" s="132" t="s">
        <v>70</v>
      </c>
      <c r="B6" s="133">
        <v>9100.3729999999996</v>
      </c>
      <c r="C6" s="133">
        <v>7849.2610000000004</v>
      </c>
      <c r="D6" s="133">
        <v>6850.723</v>
      </c>
      <c r="E6" s="133">
        <v>6099.152</v>
      </c>
      <c r="F6" s="133">
        <v>5315.1149999999998</v>
      </c>
      <c r="G6" s="133">
        <v>4295.0290000000005</v>
      </c>
      <c r="H6" s="133">
        <v>3492.0399999999991</v>
      </c>
      <c r="I6" s="133">
        <v>2908.503999999999</v>
      </c>
      <c r="J6" s="133">
        <v>2410.625</v>
      </c>
      <c r="K6" s="133">
        <v>2011.9159999999993</v>
      </c>
      <c r="L6" s="133">
        <v>1641.261</v>
      </c>
      <c r="M6" s="133">
        <v>1392.548</v>
      </c>
      <c r="N6" s="133">
        <v>1104.634</v>
      </c>
      <c r="O6" s="133">
        <v>532.71900000000005</v>
      </c>
      <c r="P6" s="133">
        <v>292.666</v>
      </c>
      <c r="Q6" s="133">
        <v>99.834999999999994</v>
      </c>
      <c r="R6" s="133">
        <v>23.209</v>
      </c>
      <c r="S6" s="133">
        <v>19.202999999999999</v>
      </c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</row>
    <row r="7" spans="1:41" s="184" customFormat="1" ht="31.5" customHeight="1" x14ac:dyDescent="0.4">
      <c r="A7" s="132" t="s">
        <v>71</v>
      </c>
      <c r="B7" s="133">
        <v>4839.7809999999999</v>
      </c>
      <c r="C7" s="133">
        <v>6316.0010000000002</v>
      </c>
      <c r="D7" s="133">
        <v>7407.8230000000003</v>
      </c>
      <c r="E7" s="133">
        <v>8266.0810000000001</v>
      </c>
      <c r="F7" s="133">
        <v>9232.23</v>
      </c>
      <c r="G7" s="133">
        <v>10417.794</v>
      </c>
      <c r="H7" s="133">
        <v>11412.093000000001</v>
      </c>
      <c r="I7" s="133">
        <v>12107.691000000001</v>
      </c>
      <c r="J7" s="133">
        <v>12957.347</v>
      </c>
      <c r="K7" s="133">
        <v>13582.119000000001</v>
      </c>
      <c r="L7" s="133">
        <v>14190.157999999999</v>
      </c>
      <c r="M7" s="133">
        <v>14647.978999999999</v>
      </c>
      <c r="N7" s="133">
        <v>15194.27</v>
      </c>
      <c r="O7" s="133">
        <v>15763.477000000001</v>
      </c>
      <c r="P7" s="133">
        <v>16098.525</v>
      </c>
      <c r="Q7" s="133">
        <v>16463.323</v>
      </c>
      <c r="R7" s="133">
        <v>16224.641</v>
      </c>
      <c r="S7" s="133">
        <v>15298.934999999999</v>
      </c>
      <c r="T7" s="133">
        <v>13991.964</v>
      </c>
      <c r="U7" s="133">
        <v>12601.165000000001</v>
      </c>
      <c r="V7" s="133">
        <v>11374.109</v>
      </c>
      <c r="W7" s="133">
        <v>10382.145999999999</v>
      </c>
      <c r="X7" s="133">
        <v>9500.6210000000028</v>
      </c>
      <c r="Y7" s="133">
        <v>8580.2489999999998</v>
      </c>
      <c r="Z7" s="133">
        <v>7838.576</v>
      </c>
      <c r="AA7" s="133">
        <v>7366.3069999999998</v>
      </c>
      <c r="AB7" s="133">
        <v>6937.2529999999997</v>
      </c>
      <c r="AC7" s="133">
        <v>6519.7790000000005</v>
      </c>
      <c r="AD7" s="133">
        <v>6073.0060000000003</v>
      </c>
      <c r="AE7" s="133">
        <v>5754.1660000000002</v>
      </c>
      <c r="AF7" s="133">
        <v>5465.8639999999996</v>
      </c>
      <c r="AG7" s="133">
        <v>5206</v>
      </c>
      <c r="AH7" s="133">
        <v>4971.1109999999999</v>
      </c>
      <c r="AI7" s="133">
        <v>4762.3620000000001</v>
      </c>
      <c r="AJ7" s="133">
        <v>4757.0200000000004</v>
      </c>
      <c r="AK7" s="133">
        <v>4630.2849999999999</v>
      </c>
      <c r="AL7" s="133">
        <v>4626.027</v>
      </c>
      <c r="AM7" s="133">
        <v>4652.0730000000003</v>
      </c>
      <c r="AN7" s="133">
        <v>4616.1170000000002</v>
      </c>
      <c r="AO7" s="133">
        <v>4553.6470000000008</v>
      </c>
    </row>
    <row r="8" spans="1:41" s="184" customFormat="1" ht="31.5" customHeight="1" x14ac:dyDescent="0.4">
      <c r="A8" s="132" t="s">
        <v>72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>
        <v>350.92099999999999</v>
      </c>
      <c r="S8" s="133">
        <v>1169.7819999999999</v>
      </c>
      <c r="T8" s="133">
        <v>2488.125</v>
      </c>
      <c r="U8" s="133">
        <v>3900.4740000000002</v>
      </c>
      <c r="V8" s="133">
        <v>5068.4139999999998</v>
      </c>
      <c r="W8" s="133">
        <v>6057.0420000000004</v>
      </c>
      <c r="X8" s="133">
        <v>6824.37</v>
      </c>
      <c r="Y8" s="133">
        <v>7874.0649999999996</v>
      </c>
      <c r="Z8" s="133">
        <v>8632.7160000000003</v>
      </c>
      <c r="AA8" s="133">
        <v>9405.6820000000007</v>
      </c>
      <c r="AB8" s="133">
        <v>10244.365</v>
      </c>
      <c r="AC8" s="133">
        <v>10780.305</v>
      </c>
      <c r="AD8" s="133">
        <v>11363.87</v>
      </c>
      <c r="AE8" s="133">
        <v>11882.784</v>
      </c>
      <c r="AF8" s="133">
        <v>12334.708000000001</v>
      </c>
      <c r="AG8" s="133">
        <v>12832</v>
      </c>
      <c r="AH8" s="133">
        <v>13208.611000000001</v>
      </c>
      <c r="AI8" s="133">
        <v>13615.369000000001</v>
      </c>
      <c r="AJ8" s="133">
        <v>13920.927</v>
      </c>
      <c r="AK8" s="133">
        <v>14261.509</v>
      </c>
      <c r="AL8" s="133">
        <v>14608.217000000001</v>
      </c>
      <c r="AM8" s="133">
        <v>14869.039000000001</v>
      </c>
      <c r="AN8" s="133">
        <v>15179.147999999999</v>
      </c>
      <c r="AO8" s="133">
        <v>15461.824000000001</v>
      </c>
    </row>
    <row r="9" spans="1:41" s="184" customFormat="1" ht="31.5" customHeight="1" x14ac:dyDescent="0.4">
      <c r="A9" s="134" t="s">
        <v>73</v>
      </c>
      <c r="B9" s="135">
        <v>145.29</v>
      </c>
      <c r="C9" s="135">
        <v>201.90299999999999</v>
      </c>
      <c r="D9" s="135">
        <v>172.048</v>
      </c>
      <c r="E9" s="135">
        <v>160.422</v>
      </c>
      <c r="F9" s="135">
        <v>184.01499999999999</v>
      </c>
      <c r="G9" s="135">
        <v>218.45400000000001</v>
      </c>
      <c r="H9" s="135">
        <v>255.125</v>
      </c>
      <c r="I9" s="135">
        <v>286.97699999999998</v>
      </c>
      <c r="J9" s="135">
        <v>311.31099999999998</v>
      </c>
      <c r="K9" s="135">
        <v>333.92099999999999</v>
      </c>
      <c r="L9" s="135">
        <v>347.74700000000001</v>
      </c>
      <c r="M9" s="135">
        <v>376.94799999999998</v>
      </c>
      <c r="N9" s="135">
        <v>426.62</v>
      </c>
      <c r="O9" s="135">
        <v>480.22500000000002</v>
      </c>
      <c r="P9" s="135">
        <v>650.95799999999997</v>
      </c>
      <c r="Q9" s="135">
        <v>744.13400000000001</v>
      </c>
      <c r="R9" s="135">
        <v>835.98099999999999</v>
      </c>
      <c r="S9" s="135">
        <v>901.54200000000003</v>
      </c>
      <c r="T9" s="135">
        <v>936.30700000000002</v>
      </c>
      <c r="U9" s="135">
        <v>934.31</v>
      </c>
      <c r="V9" s="135">
        <v>928.44899999999996</v>
      </c>
      <c r="W9" s="135">
        <v>914.899</v>
      </c>
      <c r="X9" s="135">
        <v>879.89099999999996</v>
      </c>
      <c r="Y9" s="135">
        <v>845.58500000000004</v>
      </c>
      <c r="Z9" s="135">
        <v>820.08299999999997</v>
      </c>
      <c r="AA9" s="135">
        <v>789.81</v>
      </c>
      <c r="AB9" s="135">
        <v>770.50400000000002</v>
      </c>
      <c r="AC9" s="135">
        <v>752.66200000000003</v>
      </c>
      <c r="AD9" s="135">
        <v>741</v>
      </c>
      <c r="AE9" s="135">
        <v>731</v>
      </c>
      <c r="AF9" s="135">
        <v>713.63499999999999</v>
      </c>
      <c r="AG9" s="135">
        <v>683</v>
      </c>
      <c r="AH9" s="135">
        <v>663.60599999999999</v>
      </c>
      <c r="AI9" s="135">
        <v>619.61599999999999</v>
      </c>
      <c r="AJ9" s="135">
        <v>558.39700000000005</v>
      </c>
      <c r="AK9" s="135">
        <v>505.67</v>
      </c>
      <c r="AL9" s="135">
        <v>454.78899999999999</v>
      </c>
      <c r="AM9" s="135">
        <v>396.56200000000001</v>
      </c>
      <c r="AN9" s="135">
        <v>344.84699999999998</v>
      </c>
      <c r="AO9" s="135">
        <v>304.42500000000001</v>
      </c>
    </row>
    <row r="10" spans="1:41" s="184" customFormat="1" ht="15" customHeight="1" x14ac:dyDescent="0.4">
      <c r="A10" s="136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</row>
    <row r="11" spans="1:41" s="184" customFormat="1" ht="31.5" customHeight="1" x14ac:dyDescent="0.4">
      <c r="A11" s="119"/>
      <c r="B11" s="123">
        <v>2008</v>
      </c>
      <c r="C11" s="124"/>
      <c r="D11" s="124"/>
      <c r="E11" s="124"/>
      <c r="F11" s="8">
        <v>2009</v>
      </c>
      <c r="G11" s="119"/>
      <c r="H11" s="119"/>
      <c r="I11" s="119"/>
      <c r="J11" s="8">
        <v>2010</v>
      </c>
      <c r="K11" s="119"/>
      <c r="L11" s="119"/>
      <c r="M11" s="119"/>
      <c r="N11" s="8">
        <v>2011</v>
      </c>
      <c r="O11" s="119"/>
      <c r="P11" s="119"/>
      <c r="Q11" s="119"/>
      <c r="R11" s="8">
        <v>2012</v>
      </c>
      <c r="S11" s="137"/>
      <c r="T11" s="137"/>
      <c r="U11" s="137"/>
      <c r="V11" s="8">
        <v>2013</v>
      </c>
      <c r="W11" s="137"/>
      <c r="X11" s="137"/>
      <c r="Y11" s="137"/>
      <c r="Z11" s="8">
        <v>2014</v>
      </c>
      <c r="AA11" s="137"/>
      <c r="AB11" s="137"/>
      <c r="AC11" s="137"/>
      <c r="AD11" s="8">
        <v>2015</v>
      </c>
      <c r="AE11" s="10"/>
      <c r="AF11" s="10"/>
      <c r="AG11" s="10"/>
      <c r="AH11" s="8">
        <v>2016</v>
      </c>
      <c r="AI11"/>
      <c r="AJ11"/>
      <c r="AK11"/>
      <c r="AL11" s="8">
        <v>2017</v>
      </c>
      <c r="AM11"/>
      <c r="AN11"/>
      <c r="AO11"/>
    </row>
    <row r="12" spans="1:41" s="184" customFormat="1" ht="31.5" customHeight="1" x14ac:dyDescent="0.4">
      <c r="A12" s="125" t="s">
        <v>74</v>
      </c>
      <c r="B12" s="126" t="s">
        <v>41</v>
      </c>
      <c r="C12" s="126" t="s">
        <v>42</v>
      </c>
      <c r="D12" s="126" t="s">
        <v>43</v>
      </c>
      <c r="E12" s="126" t="s">
        <v>44</v>
      </c>
      <c r="F12" s="127" t="s">
        <v>45</v>
      </c>
      <c r="G12" s="127" t="s">
        <v>46</v>
      </c>
      <c r="H12" s="14" t="s">
        <v>47</v>
      </c>
      <c r="I12" s="14" t="s">
        <v>48</v>
      </c>
      <c r="J12" s="14" t="s">
        <v>49</v>
      </c>
      <c r="K12" s="14" t="s">
        <v>50</v>
      </c>
      <c r="L12" s="14" t="s">
        <v>51</v>
      </c>
      <c r="M12" s="14" t="s">
        <v>52</v>
      </c>
      <c r="N12" s="14" t="s">
        <v>53</v>
      </c>
      <c r="O12" s="14" t="s">
        <v>54</v>
      </c>
      <c r="P12" s="14" t="s">
        <v>55</v>
      </c>
      <c r="Q12" s="14" t="s">
        <v>56</v>
      </c>
      <c r="R12" s="15" t="s">
        <v>57</v>
      </c>
      <c r="S12" s="15" t="s">
        <v>58</v>
      </c>
      <c r="T12" s="15" t="s">
        <v>59</v>
      </c>
      <c r="U12" s="15" t="s">
        <v>60</v>
      </c>
      <c r="V12" s="15" t="s">
        <v>61</v>
      </c>
      <c r="W12" s="15" t="s">
        <v>62</v>
      </c>
      <c r="X12" s="15" t="s">
        <v>63</v>
      </c>
      <c r="Y12" s="15" t="s">
        <v>64</v>
      </c>
      <c r="Z12" s="15" t="s">
        <v>65</v>
      </c>
      <c r="AA12" s="15" t="s">
        <v>66</v>
      </c>
      <c r="AB12" s="15" t="s">
        <v>67</v>
      </c>
      <c r="AC12" s="15" t="s">
        <v>68</v>
      </c>
      <c r="AD12" s="15" t="s">
        <v>100</v>
      </c>
      <c r="AE12" s="15" t="s">
        <v>101</v>
      </c>
      <c r="AF12" s="15" t="s">
        <v>102</v>
      </c>
      <c r="AG12" s="15" t="s">
        <v>103</v>
      </c>
      <c r="AH12" s="15" t="s">
        <v>88</v>
      </c>
      <c r="AI12" s="15" t="s">
        <v>92</v>
      </c>
      <c r="AJ12" s="15" t="s">
        <v>111</v>
      </c>
      <c r="AK12" s="15" t="s">
        <v>105</v>
      </c>
      <c r="AL12" s="128" t="s">
        <v>106</v>
      </c>
      <c r="AM12" s="128" t="s">
        <v>114</v>
      </c>
      <c r="AN12" s="128" t="s">
        <v>115</v>
      </c>
      <c r="AO12" s="128" t="s">
        <v>118</v>
      </c>
    </row>
    <row r="13" spans="1:41" s="184" customFormat="1" ht="31.5" customHeight="1" x14ac:dyDescent="0.4">
      <c r="A13" s="138" t="s">
        <v>75</v>
      </c>
      <c r="B13" s="139">
        <v>13940.154</v>
      </c>
      <c r="C13" s="139">
        <v>14165.262000000001</v>
      </c>
      <c r="D13" s="139">
        <v>14258.546</v>
      </c>
      <c r="E13" s="139">
        <v>14365.233</v>
      </c>
      <c r="F13" s="139">
        <v>14547.344999999999</v>
      </c>
      <c r="G13" s="139">
        <v>14712.823</v>
      </c>
      <c r="H13" s="139">
        <v>14904.133</v>
      </c>
      <c r="I13" s="139">
        <v>15016.195</v>
      </c>
      <c r="J13" s="139">
        <v>15367.972</v>
      </c>
      <c r="K13" s="139">
        <v>15594.035</v>
      </c>
      <c r="L13" s="139">
        <v>15831.419</v>
      </c>
      <c r="M13" s="139">
        <v>16040.527</v>
      </c>
      <c r="N13" s="139">
        <v>16298.904</v>
      </c>
      <c r="O13" s="139">
        <v>16296.196</v>
      </c>
      <c r="P13" s="139">
        <v>16391.190999999999</v>
      </c>
      <c r="Q13" s="139">
        <v>16563.157999999999</v>
      </c>
      <c r="R13" s="139">
        <v>16598.771000000001</v>
      </c>
      <c r="S13" s="139">
        <v>16487.919999999998</v>
      </c>
      <c r="T13" s="139">
        <v>16480.089</v>
      </c>
      <c r="U13" s="139">
        <v>16501.638999999999</v>
      </c>
      <c r="V13" s="139">
        <v>16442.523000000001</v>
      </c>
      <c r="W13" s="139">
        <v>16439.187999999998</v>
      </c>
      <c r="X13" s="139">
        <v>16324.991</v>
      </c>
      <c r="Y13" s="139">
        <v>16454.313999999998</v>
      </c>
      <c r="Z13" s="139">
        <v>16471.292000000001</v>
      </c>
      <c r="AA13" s="139">
        <v>16771.989000000001</v>
      </c>
      <c r="AB13" s="139">
        <v>17181.617999999999</v>
      </c>
      <c r="AC13" s="139">
        <v>17300.083999999999</v>
      </c>
      <c r="AD13" s="139">
        <v>17437</v>
      </c>
      <c r="AE13" s="139">
        <v>17636.95</v>
      </c>
      <c r="AF13" s="139">
        <v>17800.572</v>
      </c>
      <c r="AG13" s="139">
        <v>18038</v>
      </c>
      <c r="AH13" s="139">
        <v>18179.772000000001</v>
      </c>
      <c r="AI13" s="139">
        <v>18377.731</v>
      </c>
      <c r="AJ13" s="139">
        <v>18677.947</v>
      </c>
      <c r="AK13" s="139">
        <v>18891.794000000002</v>
      </c>
      <c r="AL13" s="139">
        <v>19234.243999999999</v>
      </c>
      <c r="AM13" s="139">
        <v>19521.112000000001</v>
      </c>
      <c r="AN13" s="139">
        <v>19795.264999999999</v>
      </c>
      <c r="AO13" s="139">
        <v>20015.471000000001</v>
      </c>
    </row>
    <row r="14" spans="1:41" s="158" customFormat="1" ht="31.5" customHeight="1" x14ac:dyDescent="0.4">
      <c r="A14" s="140" t="s">
        <v>30</v>
      </c>
      <c r="B14" s="141">
        <v>2343</v>
      </c>
      <c r="C14" s="141">
        <v>2350</v>
      </c>
      <c r="D14" s="141">
        <v>1788</v>
      </c>
      <c r="E14" s="141">
        <v>1463</v>
      </c>
      <c r="F14" s="141">
        <v>1623</v>
      </c>
      <c r="G14" s="141">
        <v>2174</v>
      </c>
      <c r="H14" s="141">
        <v>1816</v>
      </c>
      <c r="I14" s="141">
        <v>1551</v>
      </c>
      <c r="J14" s="141">
        <v>1855</v>
      </c>
      <c r="K14" s="141">
        <v>1752</v>
      </c>
      <c r="L14" s="141">
        <v>2037</v>
      </c>
      <c r="M14" s="141">
        <v>1636</v>
      </c>
      <c r="N14" s="141">
        <v>1684</v>
      </c>
      <c r="O14" s="141">
        <v>1861</v>
      </c>
      <c r="P14" s="141">
        <v>1621</v>
      </c>
      <c r="Q14" s="141">
        <v>1808</v>
      </c>
      <c r="R14" s="141">
        <v>1422.7650000000001</v>
      </c>
      <c r="S14" s="141">
        <v>1270.857</v>
      </c>
      <c r="T14" s="141">
        <v>1501.575</v>
      </c>
      <c r="U14" s="141">
        <v>1280.1020000000001</v>
      </c>
      <c r="V14" s="141">
        <v>1272.5709999999999</v>
      </c>
      <c r="W14" s="141">
        <v>1223.7760000000001</v>
      </c>
      <c r="X14" s="141">
        <v>1080.4349999999999</v>
      </c>
      <c r="Y14" s="141">
        <v>1403.588</v>
      </c>
      <c r="Z14" s="141">
        <v>1476.758</v>
      </c>
      <c r="AA14" s="141">
        <v>1459.374</v>
      </c>
      <c r="AB14" s="141">
        <v>1792.8130000000001</v>
      </c>
      <c r="AC14" s="141">
        <v>1254.809</v>
      </c>
      <c r="AD14" s="141">
        <v>1393</v>
      </c>
      <c r="AE14" s="141">
        <v>1179</v>
      </c>
      <c r="AF14" s="141">
        <v>1115</v>
      </c>
      <c r="AG14" s="141">
        <v>1215</v>
      </c>
      <c r="AH14" s="141">
        <v>1144.5730000000001</v>
      </c>
      <c r="AI14" s="141">
        <v>1133.586</v>
      </c>
      <c r="AJ14" s="141">
        <v>1241.316</v>
      </c>
      <c r="AK14" s="141">
        <v>1243.9079999999999</v>
      </c>
      <c r="AL14" s="141">
        <v>1243.0150000000001</v>
      </c>
      <c r="AM14" s="141">
        <v>1224.7</v>
      </c>
      <c r="AN14" s="141">
        <v>1270.134</v>
      </c>
      <c r="AO14" s="141">
        <v>1263.645</v>
      </c>
    </row>
    <row r="15" spans="1:41" s="158" customFormat="1" ht="31.5" customHeight="1" x14ac:dyDescent="0.4">
      <c r="A15" s="140" t="s">
        <v>31</v>
      </c>
      <c r="B15" s="141">
        <v>2124</v>
      </c>
      <c r="C15" s="141">
        <v>2125</v>
      </c>
      <c r="D15" s="141">
        <v>1695</v>
      </c>
      <c r="E15" s="141">
        <v>1356</v>
      </c>
      <c r="F15" s="141">
        <v>1440</v>
      </c>
      <c r="G15" s="141">
        <v>2008</v>
      </c>
      <c r="H15" s="141">
        <v>1625</v>
      </c>
      <c r="I15" s="141">
        <v>1439</v>
      </c>
      <c r="J15" s="141">
        <v>1503</v>
      </c>
      <c r="K15" s="141">
        <v>1526</v>
      </c>
      <c r="L15" s="141">
        <v>1800</v>
      </c>
      <c r="M15" s="141">
        <v>1427</v>
      </c>
      <c r="N15" s="141">
        <v>1426</v>
      </c>
      <c r="O15" s="141">
        <v>1864</v>
      </c>
      <c r="P15" s="141">
        <v>1526</v>
      </c>
      <c r="Q15" s="141">
        <v>1636</v>
      </c>
      <c r="R15" s="141">
        <v>1387.152</v>
      </c>
      <c r="S15" s="141">
        <v>1381.7080000000001</v>
      </c>
      <c r="T15" s="141">
        <v>1509.4059999999999</v>
      </c>
      <c r="U15" s="141">
        <v>1258.5519999999999</v>
      </c>
      <c r="V15" s="141">
        <v>1331.6869999999999</v>
      </c>
      <c r="W15" s="141">
        <v>1227.1110000000001</v>
      </c>
      <c r="X15" s="142">
        <v>1194.6320000000001</v>
      </c>
      <c r="Y15" s="142">
        <v>1274.2650000000001</v>
      </c>
      <c r="Z15" s="142">
        <v>1457.693</v>
      </c>
      <c r="AA15" s="142">
        <v>1158.704</v>
      </c>
      <c r="AB15" s="142">
        <v>1382.8969999999999</v>
      </c>
      <c r="AC15" s="142">
        <v>1111.249</v>
      </c>
      <c r="AD15" s="142">
        <v>1219</v>
      </c>
      <c r="AE15" s="142">
        <v>940</v>
      </c>
      <c r="AF15" s="142">
        <v>938</v>
      </c>
      <c r="AG15" s="142">
        <v>958</v>
      </c>
      <c r="AH15" s="142">
        <v>1003</v>
      </c>
      <c r="AI15" s="142">
        <v>936</v>
      </c>
      <c r="AJ15" s="142">
        <v>941.1</v>
      </c>
      <c r="AK15" s="142">
        <v>1030.0830000000001</v>
      </c>
      <c r="AL15" s="142">
        <v>901.57600000000002</v>
      </c>
      <c r="AM15" s="142">
        <v>958.75699999999995</v>
      </c>
      <c r="AN15" s="142">
        <v>1019.087</v>
      </c>
      <c r="AO15" s="142">
        <v>1048.528</v>
      </c>
    </row>
    <row r="16" spans="1:41" s="158" customFormat="1" ht="31.5" hidden="1" customHeight="1" x14ac:dyDescent="0.4">
      <c r="A16" s="140" t="s">
        <v>32</v>
      </c>
      <c r="B16" s="143">
        <v>291</v>
      </c>
      <c r="C16" s="143">
        <v>288</v>
      </c>
      <c r="D16" s="143">
        <v>352</v>
      </c>
      <c r="E16" s="143">
        <v>243</v>
      </c>
      <c r="F16" s="141">
        <v>214</v>
      </c>
      <c r="G16" s="141">
        <v>229</v>
      </c>
      <c r="H16" s="141">
        <v>306</v>
      </c>
      <c r="I16" s="141">
        <v>217</v>
      </c>
      <c r="J16" s="141">
        <v>195</v>
      </c>
      <c r="K16" s="141">
        <v>141</v>
      </c>
      <c r="L16" s="141">
        <v>136</v>
      </c>
      <c r="M16" s="141">
        <v>64</v>
      </c>
      <c r="N16" s="141">
        <v>69</v>
      </c>
      <c r="O16" s="141">
        <v>210</v>
      </c>
      <c r="P16" s="141">
        <v>105</v>
      </c>
      <c r="Q16" s="141">
        <v>117</v>
      </c>
      <c r="R16" s="141">
        <v>45.597000000000001</v>
      </c>
      <c r="S16" s="144">
        <v>1.6910000000000001</v>
      </c>
      <c r="T16" s="141">
        <v>0.94199999999999995</v>
      </c>
      <c r="U16" s="141">
        <v>0.65800000000000003</v>
      </c>
      <c r="V16" s="141"/>
      <c r="W16" s="144">
        <v>0</v>
      </c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</row>
    <row r="17" spans="1:41" s="158" customFormat="1" ht="31.5" customHeight="1" x14ac:dyDescent="0.4">
      <c r="A17" s="145" t="s">
        <v>33</v>
      </c>
      <c r="B17" s="146">
        <v>219</v>
      </c>
      <c r="C17" s="146">
        <v>225</v>
      </c>
      <c r="D17" s="146">
        <v>93</v>
      </c>
      <c r="E17" s="146">
        <v>107</v>
      </c>
      <c r="F17" s="146">
        <v>182</v>
      </c>
      <c r="G17" s="146">
        <v>165</v>
      </c>
      <c r="H17" s="146">
        <v>191</v>
      </c>
      <c r="I17" s="146">
        <v>112</v>
      </c>
      <c r="J17" s="146">
        <v>352</v>
      </c>
      <c r="K17" s="146">
        <v>226</v>
      </c>
      <c r="L17" s="146">
        <v>237</v>
      </c>
      <c r="M17" s="146">
        <v>209</v>
      </c>
      <c r="N17" s="146">
        <v>258</v>
      </c>
      <c r="O17" s="146">
        <v>-2.7080000000005384</v>
      </c>
      <c r="P17" s="146">
        <v>94.994999999998981</v>
      </c>
      <c r="Q17" s="146">
        <v>171.96700000000055</v>
      </c>
      <c r="R17" s="146">
        <v>35.613</v>
      </c>
      <c r="S17" s="146">
        <v>-110.851</v>
      </c>
      <c r="T17" s="146">
        <v>-7.830999999998312</v>
      </c>
      <c r="U17" s="146">
        <v>21.550000000000182</v>
      </c>
      <c r="V17" s="146">
        <v>-59.115999999998166</v>
      </c>
      <c r="W17" s="146">
        <v>-3.335</v>
      </c>
      <c r="X17" s="146">
        <v>-114.197</v>
      </c>
      <c r="Y17" s="146">
        <f t="shared" ref="Y17:AF17" si="0">Y13-X13</f>
        <v>129.3229999999985</v>
      </c>
      <c r="Z17" s="146">
        <f t="shared" si="0"/>
        <v>16.978000000002794</v>
      </c>
      <c r="AA17" s="146">
        <f t="shared" si="0"/>
        <v>300.69700000000012</v>
      </c>
      <c r="AB17" s="146">
        <f t="shared" si="0"/>
        <v>409.62899999999718</v>
      </c>
      <c r="AC17" s="146">
        <f t="shared" si="0"/>
        <v>118.46600000000035</v>
      </c>
      <c r="AD17" s="146">
        <f t="shared" si="0"/>
        <v>136.91600000000108</v>
      </c>
      <c r="AE17" s="146">
        <f t="shared" si="0"/>
        <v>199.95000000000073</v>
      </c>
      <c r="AF17" s="146">
        <f t="shared" si="0"/>
        <v>163.62199999999939</v>
      </c>
      <c r="AG17" s="146">
        <f>AG13-AF13</f>
        <v>237.42799999999988</v>
      </c>
      <c r="AH17" s="146">
        <f>AH13-AG13</f>
        <v>141.77200000000084</v>
      </c>
      <c r="AI17" s="146">
        <f>AI13-AH13</f>
        <v>197.95899999999892</v>
      </c>
      <c r="AJ17" s="146">
        <f>AJ13-AI13</f>
        <v>300.21600000000035</v>
      </c>
      <c r="AK17" s="146">
        <f>AK13-AJ13</f>
        <v>213.84700000000157</v>
      </c>
      <c r="AL17" s="146">
        <v>342.45</v>
      </c>
      <c r="AM17" s="146">
        <v>286.86799999999999</v>
      </c>
      <c r="AN17" s="146">
        <v>274.15300000000002</v>
      </c>
      <c r="AO17" s="146">
        <v>220.20599999999999</v>
      </c>
    </row>
    <row r="18" spans="1:41" s="158" customFormat="1" ht="23.25" customHeight="1" x14ac:dyDescent="0.4">
      <c r="A18" s="147" t="s">
        <v>34</v>
      </c>
      <c r="B18" s="148"/>
      <c r="C18" s="137"/>
      <c r="D18" s="137"/>
      <c r="E18" s="137"/>
      <c r="F18" s="137"/>
      <c r="G18" s="149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</row>
    <row r="19" spans="1:41" s="158" customFormat="1" ht="23.25" customHeight="1" x14ac:dyDescent="0.4">
      <c r="A19" s="147" t="s">
        <v>104</v>
      </c>
      <c r="B19" s="148"/>
      <c r="C19" s="137"/>
      <c r="D19" s="137"/>
      <c r="E19" s="137"/>
      <c r="F19" s="137"/>
      <c r="G19" s="149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</row>
    <row r="20" spans="1:41" s="184" customFormat="1" ht="8.25" customHeight="1" x14ac:dyDescent="0.4">
      <c r="A20" s="150"/>
      <c r="B20" s="151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  <c r="AM20" s="152"/>
      <c r="AN20" s="152"/>
      <c r="AO20" s="152"/>
    </row>
    <row r="21" spans="1:41" s="183" customFormat="1" ht="22.5" customHeight="1" x14ac:dyDescent="0.4">
      <c r="A21" s="153" t="s">
        <v>76</v>
      </c>
      <c r="B21" s="149">
        <v>4.3999999999999997E-2</v>
      </c>
      <c r="C21" s="149">
        <v>4.3999999999999997E-2</v>
      </c>
      <c r="D21" s="149">
        <v>3.2000000000000001E-2</v>
      </c>
      <c r="E21" s="149">
        <v>2.5999999999999999E-2</v>
      </c>
      <c r="F21" s="149">
        <v>2.8000000000000001E-2</v>
      </c>
      <c r="G21" s="149">
        <v>4.1000000000000002E-2</v>
      </c>
      <c r="H21" s="149">
        <v>0.03</v>
      </c>
      <c r="I21" s="149">
        <v>2.7E-2</v>
      </c>
      <c r="J21" s="149">
        <v>2.9000000000000001E-2</v>
      </c>
      <c r="K21" s="149">
        <v>0.03</v>
      </c>
      <c r="L21" s="149">
        <v>3.5000000000000003E-2</v>
      </c>
      <c r="M21" s="149">
        <v>2.9000000000000001E-2</v>
      </c>
      <c r="N21" s="149">
        <v>2.8000000000000001E-2</v>
      </c>
      <c r="O21" s="149">
        <v>3.4000000000000002E-2</v>
      </c>
      <c r="P21" s="149">
        <v>2.9000000000000001E-2</v>
      </c>
      <c r="Q21" s="149">
        <v>3.1E-2</v>
      </c>
      <c r="R21" s="149">
        <v>2.6663248735867368E-2</v>
      </c>
      <c r="S21" s="149">
        <v>2.757876650063151E-2</v>
      </c>
      <c r="T21" s="149">
        <v>3.0521776851747524E-2</v>
      </c>
      <c r="U21" s="149">
        <v>2.5000000000000001E-2</v>
      </c>
      <c r="V21" s="149">
        <v>2.7E-2</v>
      </c>
      <c r="W21" s="149">
        <v>2.4896691476263128E-2</v>
      </c>
      <c r="X21" s="149">
        <v>2.4312015742839848E-2</v>
      </c>
      <c r="Y21" s="149">
        <v>2.6296503944819381E-2</v>
      </c>
      <c r="Z21" s="149">
        <v>2.9466095281787591E-2</v>
      </c>
      <c r="AA21" s="149">
        <v>2.3E-2</v>
      </c>
      <c r="AB21" s="149">
        <v>2.7E-2</v>
      </c>
      <c r="AC21" s="149">
        <v>2.1445092682905939E-2</v>
      </c>
      <c r="AD21" s="149">
        <v>2.3E-2</v>
      </c>
      <c r="AE21" s="149">
        <v>1.7999999999999999E-2</v>
      </c>
      <c r="AF21" s="149">
        <v>1.7999999999999999E-2</v>
      </c>
      <c r="AG21" s="149">
        <v>1.7999999999999999E-2</v>
      </c>
      <c r="AH21" s="149">
        <v>1.7999999999999999E-2</v>
      </c>
      <c r="AI21" s="149">
        <v>1.7000000000000001E-2</v>
      </c>
      <c r="AJ21" s="149">
        <v>1.7000000000000001E-2</v>
      </c>
      <c r="AK21" s="149">
        <v>1.7999999999999999E-2</v>
      </c>
      <c r="AL21" s="149">
        <v>1.6E-2</v>
      </c>
      <c r="AM21" s="149">
        <v>1.6E-2</v>
      </c>
      <c r="AN21" s="149">
        <v>1.7000000000000001E-2</v>
      </c>
      <c r="AO21" s="149">
        <v>1.7000000000000001E-2</v>
      </c>
    </row>
    <row r="22" spans="1:41" s="158" customFormat="1" ht="8.25" customHeight="1" x14ac:dyDescent="0.4">
      <c r="A22" s="154"/>
      <c r="B22" s="155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</row>
    <row r="23" spans="1:41" s="158" customFormat="1" ht="24" customHeight="1" x14ac:dyDescent="0.4">
      <c r="A23" s="157"/>
      <c r="B23" s="120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</row>
    <row r="24" spans="1:41" s="158" customFormat="1" ht="31.5" customHeight="1" x14ac:dyDescent="0.4">
      <c r="A24" s="122" t="s">
        <v>77</v>
      </c>
      <c r="C24" s="159"/>
      <c r="E24" s="159"/>
      <c r="F24" s="8">
        <v>2009</v>
      </c>
      <c r="G24" s="119"/>
      <c r="H24" s="119"/>
      <c r="I24" s="119"/>
      <c r="J24" s="8">
        <v>2010</v>
      </c>
      <c r="K24" s="119"/>
      <c r="L24" s="119"/>
      <c r="M24" s="119"/>
      <c r="N24" s="8">
        <v>2011</v>
      </c>
      <c r="O24" s="119"/>
      <c r="P24" s="119"/>
      <c r="Q24" s="119"/>
      <c r="R24" s="8">
        <v>2012</v>
      </c>
      <c r="S24" s="119"/>
      <c r="T24" s="119"/>
      <c r="U24" s="119"/>
      <c r="V24" s="8">
        <v>2013</v>
      </c>
      <c r="W24" s="119"/>
      <c r="X24" s="119"/>
      <c r="Y24" s="119"/>
      <c r="Z24" s="8">
        <v>2014</v>
      </c>
      <c r="AA24" s="119"/>
      <c r="AB24" s="119"/>
      <c r="AC24" s="119"/>
      <c r="AD24" s="8">
        <v>2015</v>
      </c>
      <c r="AE24" s="10"/>
      <c r="AF24" s="10"/>
      <c r="AG24" s="10"/>
      <c r="AH24" s="8">
        <v>2016</v>
      </c>
      <c r="AI24"/>
      <c r="AJ24"/>
      <c r="AK24"/>
      <c r="AL24" s="8">
        <v>2017</v>
      </c>
      <c r="AM24"/>
      <c r="AN24"/>
      <c r="AO24"/>
    </row>
    <row r="25" spans="1:41" s="183" customFormat="1" ht="31.5" customHeight="1" x14ac:dyDescent="0.4">
      <c r="A25" s="160" t="s">
        <v>78</v>
      </c>
      <c r="B25" s="126" t="s">
        <v>41</v>
      </c>
      <c r="C25" s="126" t="s">
        <v>42</v>
      </c>
      <c r="D25" s="126" t="s">
        <v>43</v>
      </c>
      <c r="E25" s="126" t="s">
        <v>44</v>
      </c>
      <c r="F25" s="127" t="s">
        <v>45</v>
      </c>
      <c r="G25" s="127" t="s">
        <v>46</v>
      </c>
      <c r="H25" s="14" t="s">
        <v>47</v>
      </c>
      <c r="I25" s="14" t="s">
        <v>48</v>
      </c>
      <c r="J25" s="14" t="s">
        <v>49</v>
      </c>
      <c r="K25" s="14" t="s">
        <v>50</v>
      </c>
      <c r="L25" s="14" t="s">
        <v>51</v>
      </c>
      <c r="M25" s="14" t="s">
        <v>52</v>
      </c>
      <c r="N25" s="14" t="s">
        <v>53</v>
      </c>
      <c r="O25" s="14" t="s">
        <v>54</v>
      </c>
      <c r="P25" s="14" t="s">
        <v>55</v>
      </c>
      <c r="Q25" s="14" t="s">
        <v>56</v>
      </c>
      <c r="R25" s="15" t="s">
        <v>57</v>
      </c>
      <c r="S25" s="15" t="s">
        <v>58</v>
      </c>
      <c r="T25" s="15" t="s">
        <v>59</v>
      </c>
      <c r="U25" s="15" t="s">
        <v>60</v>
      </c>
      <c r="V25" s="15" t="s">
        <v>61</v>
      </c>
      <c r="W25" s="15" t="s">
        <v>62</v>
      </c>
      <c r="X25" s="15" t="s">
        <v>63</v>
      </c>
      <c r="Y25" s="15" t="s">
        <v>64</v>
      </c>
      <c r="Z25" s="15" t="s">
        <v>65</v>
      </c>
      <c r="AA25" s="15" t="s">
        <v>66</v>
      </c>
      <c r="AB25" s="15" t="s">
        <v>67</v>
      </c>
      <c r="AC25" s="15" t="s">
        <v>68</v>
      </c>
      <c r="AD25" s="15" t="s">
        <v>100</v>
      </c>
      <c r="AE25" s="15" t="s">
        <v>101</v>
      </c>
      <c r="AF25" s="15" t="s">
        <v>102</v>
      </c>
      <c r="AG25" s="15" t="s">
        <v>103</v>
      </c>
      <c r="AH25" s="15" t="s">
        <v>88</v>
      </c>
      <c r="AI25" s="15" t="s">
        <v>92</v>
      </c>
      <c r="AJ25" s="15" t="s">
        <v>111</v>
      </c>
      <c r="AK25" s="15" t="s">
        <v>105</v>
      </c>
      <c r="AL25" s="128" t="s">
        <v>106</v>
      </c>
      <c r="AM25" s="128" t="s">
        <v>114</v>
      </c>
      <c r="AN25" s="128" t="s">
        <v>115</v>
      </c>
      <c r="AO25" s="128" t="s">
        <v>118</v>
      </c>
    </row>
    <row r="26" spans="1:41" s="158" customFormat="1" ht="31.5" hidden="1" customHeight="1" x14ac:dyDescent="0.4">
      <c r="A26" s="161" t="s">
        <v>79</v>
      </c>
      <c r="B26" s="162">
        <v>24144</v>
      </c>
      <c r="C26" s="162">
        <v>24804</v>
      </c>
      <c r="D26" s="162">
        <v>24482</v>
      </c>
      <c r="E26" s="162">
        <v>24609</v>
      </c>
      <c r="F26" s="162">
        <v>23612</v>
      </c>
      <c r="G26" s="162">
        <v>23967</v>
      </c>
      <c r="H26" s="162">
        <v>23983</v>
      </c>
      <c r="I26" s="162">
        <v>24272</v>
      </c>
      <c r="J26" s="162">
        <v>23828</v>
      </c>
      <c r="K26" s="162">
        <v>24100</v>
      </c>
      <c r="L26" s="162">
        <v>23527</v>
      </c>
      <c r="M26" s="162">
        <v>22456</v>
      </c>
      <c r="N26" s="162">
        <v>20424</v>
      </c>
      <c r="O26" s="162">
        <v>19688.828355795322</v>
      </c>
      <c r="P26" s="162">
        <v>18155</v>
      </c>
      <c r="Q26" s="162">
        <v>16574</v>
      </c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</row>
    <row r="27" spans="1:41" s="158" customFormat="1" ht="31.5" hidden="1" customHeight="1" x14ac:dyDescent="0.4">
      <c r="A27" s="163" t="s">
        <v>35</v>
      </c>
      <c r="B27" s="164">
        <v>13122</v>
      </c>
      <c r="C27" s="164">
        <v>12955</v>
      </c>
      <c r="D27" s="164">
        <v>12852</v>
      </c>
      <c r="E27" s="164">
        <v>12753</v>
      </c>
      <c r="F27" s="164">
        <v>12600</v>
      </c>
      <c r="G27" s="164">
        <v>12551</v>
      </c>
      <c r="H27" s="164">
        <v>12573</v>
      </c>
      <c r="I27" s="164">
        <v>13066</v>
      </c>
      <c r="J27" s="164">
        <v>13398</v>
      </c>
      <c r="K27" s="164">
        <v>13717</v>
      </c>
      <c r="L27" s="164">
        <v>13881</v>
      </c>
      <c r="M27" s="164">
        <v>13480</v>
      </c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 s="164"/>
    </row>
    <row r="28" spans="1:41" s="158" customFormat="1" ht="31.5" hidden="1" customHeight="1" x14ac:dyDescent="0.4">
      <c r="A28" s="163" t="s">
        <v>36</v>
      </c>
      <c r="B28" s="164">
        <v>9531</v>
      </c>
      <c r="C28" s="164">
        <v>10354</v>
      </c>
      <c r="D28" s="164">
        <v>10128</v>
      </c>
      <c r="E28" s="164">
        <v>10321</v>
      </c>
      <c r="F28" s="164">
        <v>9481</v>
      </c>
      <c r="G28" s="164">
        <v>10040</v>
      </c>
      <c r="H28" s="164">
        <v>9970</v>
      </c>
      <c r="I28" s="164">
        <v>9874</v>
      </c>
      <c r="J28" s="164">
        <v>9228</v>
      </c>
      <c r="K28" s="164">
        <v>8931</v>
      </c>
      <c r="L28" s="164">
        <v>8184</v>
      </c>
      <c r="M28" s="164">
        <v>7633</v>
      </c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64"/>
    </row>
    <row r="29" spans="1:41" s="185" customFormat="1" ht="31.5" hidden="1" customHeight="1" x14ac:dyDescent="0.4">
      <c r="A29" s="163" t="s">
        <v>80</v>
      </c>
      <c r="B29" s="164">
        <v>1491</v>
      </c>
      <c r="C29" s="164">
        <v>1495</v>
      </c>
      <c r="D29" s="164">
        <v>1501</v>
      </c>
      <c r="E29" s="164">
        <v>1535</v>
      </c>
      <c r="F29" s="164">
        <v>1531</v>
      </c>
      <c r="G29" s="164">
        <v>1375</v>
      </c>
      <c r="H29" s="164">
        <v>1440</v>
      </c>
      <c r="I29" s="164">
        <v>1332</v>
      </c>
      <c r="J29" s="164">
        <v>1202</v>
      </c>
      <c r="K29" s="164">
        <v>1452</v>
      </c>
      <c r="L29" s="164">
        <v>1462</v>
      </c>
      <c r="M29" s="164">
        <v>1343</v>
      </c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</row>
    <row r="30" spans="1:41" s="158" customFormat="1" ht="31.5" hidden="1" customHeight="1" x14ac:dyDescent="0.4">
      <c r="A30" s="165" t="s">
        <v>81</v>
      </c>
      <c r="B30" s="164">
        <v>1491</v>
      </c>
      <c r="C30" s="166">
        <v>0</v>
      </c>
      <c r="D30" s="166">
        <v>0</v>
      </c>
      <c r="E30" s="166">
        <v>0</v>
      </c>
      <c r="F30" s="166">
        <v>0</v>
      </c>
      <c r="G30" s="166">
        <v>0</v>
      </c>
      <c r="H30" s="166">
        <v>0</v>
      </c>
      <c r="I30" s="166">
        <v>0</v>
      </c>
      <c r="J30" s="166">
        <v>0</v>
      </c>
      <c r="K30" s="166">
        <v>0</v>
      </c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6"/>
      <c r="AM30" s="166"/>
      <c r="AN30" s="166"/>
      <c r="AO30" s="166"/>
    </row>
    <row r="31" spans="1:41" s="158" customFormat="1" ht="31.5" hidden="1" customHeight="1" x14ac:dyDescent="0.4">
      <c r="A31" s="161" t="s">
        <v>82</v>
      </c>
      <c r="B31" s="162">
        <v>6103</v>
      </c>
      <c r="C31" s="162">
        <v>6356</v>
      </c>
      <c r="D31" s="162">
        <v>6454</v>
      </c>
      <c r="E31" s="162">
        <v>6384</v>
      </c>
      <c r="F31" s="162">
        <v>6431</v>
      </c>
      <c r="G31" s="162">
        <v>6650</v>
      </c>
      <c r="H31" s="162">
        <v>6915</v>
      </c>
      <c r="I31" s="162">
        <v>7218</v>
      </c>
      <c r="J31" s="162">
        <v>7399</v>
      </c>
      <c r="K31" s="162">
        <v>7785</v>
      </c>
      <c r="L31" s="162">
        <v>8031</v>
      </c>
      <c r="M31" s="162">
        <v>8824</v>
      </c>
      <c r="N31" s="162">
        <v>9823</v>
      </c>
      <c r="O31" s="162">
        <v>10489.424934442295</v>
      </c>
      <c r="P31" s="162">
        <v>11454</v>
      </c>
      <c r="Q31" s="162">
        <v>12252</v>
      </c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  <c r="AK31" s="162"/>
      <c r="AL31" s="162"/>
      <c r="AM31" s="162"/>
      <c r="AN31" s="162"/>
      <c r="AO31" s="162"/>
    </row>
    <row r="32" spans="1:41" s="158" customFormat="1" ht="31.5" hidden="1" customHeight="1" x14ac:dyDescent="0.4">
      <c r="A32" s="163" t="s">
        <v>37</v>
      </c>
      <c r="B32" s="164">
        <v>0</v>
      </c>
      <c r="C32" s="164">
        <v>0</v>
      </c>
      <c r="D32" s="164">
        <v>0</v>
      </c>
      <c r="E32" s="164">
        <v>0</v>
      </c>
      <c r="F32" s="164">
        <v>0</v>
      </c>
      <c r="G32" s="164">
        <v>0</v>
      </c>
      <c r="H32" s="164">
        <v>0</v>
      </c>
      <c r="I32" s="164">
        <v>0</v>
      </c>
      <c r="J32" s="164">
        <v>0</v>
      </c>
      <c r="K32" s="164">
        <v>0</v>
      </c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 s="164"/>
    </row>
    <row r="33" spans="1:41" s="158" customFormat="1" ht="31.5" hidden="1" customHeight="1" x14ac:dyDescent="0.4">
      <c r="A33" s="165" t="s">
        <v>38</v>
      </c>
      <c r="B33" s="167">
        <v>0</v>
      </c>
      <c r="C33" s="167">
        <v>0</v>
      </c>
      <c r="D33" s="167">
        <v>0</v>
      </c>
      <c r="E33" s="167">
        <v>0</v>
      </c>
      <c r="F33" s="167">
        <v>0</v>
      </c>
      <c r="G33" s="167">
        <v>0</v>
      </c>
      <c r="H33" s="167">
        <v>0</v>
      </c>
      <c r="I33" s="167">
        <v>0</v>
      </c>
      <c r="J33" s="167">
        <v>0</v>
      </c>
      <c r="K33" s="167">
        <v>0</v>
      </c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  <c r="AL33" s="167"/>
      <c r="AM33" s="167"/>
      <c r="AN33" s="167"/>
      <c r="AO33" s="167"/>
    </row>
    <row r="34" spans="1:41" s="158" customFormat="1" ht="8.25" hidden="1" customHeight="1" x14ac:dyDescent="0.35">
      <c r="A34" s="168"/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  <c r="AA34" s="169"/>
      <c r="AB34" s="169"/>
      <c r="AC34" s="169"/>
      <c r="AD34" s="169"/>
      <c r="AE34" s="169"/>
      <c r="AF34" s="169"/>
      <c r="AG34" s="169"/>
      <c r="AH34" s="169"/>
      <c r="AI34" s="169"/>
      <c r="AJ34" s="169"/>
      <c r="AK34" s="169"/>
      <c r="AL34" s="169"/>
      <c r="AM34" s="169"/>
      <c r="AN34" s="169"/>
      <c r="AO34" s="169"/>
    </row>
    <row r="35" spans="1:41" s="158" customFormat="1" ht="22.5" hidden="1" customHeight="1" x14ac:dyDescent="0.4">
      <c r="A35" s="170" t="s">
        <v>83</v>
      </c>
      <c r="B35" s="171">
        <v>4569</v>
      </c>
      <c r="C35" s="171">
        <v>4794</v>
      </c>
      <c r="D35" s="171">
        <v>4701</v>
      </c>
      <c r="E35" s="171">
        <v>5256</v>
      </c>
      <c r="F35" s="171">
        <v>4627</v>
      </c>
      <c r="G35" s="171">
        <v>4737</v>
      </c>
      <c r="H35" s="171">
        <v>5077</v>
      </c>
      <c r="I35" s="171">
        <v>4859</v>
      </c>
      <c r="J35" s="171">
        <v>4734</v>
      </c>
      <c r="K35" s="171">
        <v>4921</v>
      </c>
      <c r="L35" s="171">
        <v>4957</v>
      </c>
      <c r="M35" s="171">
        <v>3743</v>
      </c>
      <c r="N35" s="171">
        <v>4014</v>
      </c>
      <c r="O35" s="171">
        <v>4117.6622793302331</v>
      </c>
      <c r="P35" s="171">
        <v>3961</v>
      </c>
      <c r="Q35" s="171">
        <v>3943</v>
      </c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  <c r="AN35" s="171"/>
      <c r="AO35" s="171"/>
    </row>
    <row r="36" spans="1:41" s="158" customFormat="1" ht="22.5" hidden="1" customHeight="1" x14ac:dyDescent="0.4">
      <c r="A36" s="172" t="s">
        <v>84</v>
      </c>
      <c r="B36" s="173">
        <v>1034</v>
      </c>
      <c r="C36" s="173">
        <v>976</v>
      </c>
      <c r="D36" s="173">
        <v>685</v>
      </c>
      <c r="E36" s="173">
        <v>592</v>
      </c>
      <c r="F36" s="173">
        <v>631</v>
      </c>
      <c r="G36" s="173">
        <v>792</v>
      </c>
      <c r="H36" s="173">
        <v>659</v>
      </c>
      <c r="I36" s="173">
        <v>536</v>
      </c>
      <c r="J36" s="173">
        <v>698</v>
      </c>
      <c r="K36" s="173">
        <v>695</v>
      </c>
      <c r="L36" s="173">
        <v>805.23578791533646</v>
      </c>
      <c r="M36" s="173">
        <v>649</v>
      </c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3"/>
      <c r="AE36" s="173"/>
      <c r="AF36" s="173"/>
      <c r="AG36" s="173"/>
      <c r="AH36" s="173"/>
      <c r="AI36" s="173"/>
      <c r="AJ36" s="173"/>
      <c r="AK36" s="173"/>
      <c r="AL36" s="173"/>
      <c r="AM36" s="173"/>
      <c r="AN36" s="173"/>
      <c r="AO36" s="173"/>
    </row>
    <row r="37" spans="1:41" s="158" customFormat="1" ht="31.5" customHeight="1" x14ac:dyDescent="0.4">
      <c r="A37" s="136" t="s">
        <v>85</v>
      </c>
      <c r="B37" s="174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  <c r="AG37" s="174"/>
      <c r="AH37" s="174"/>
      <c r="AI37" s="174"/>
      <c r="AJ37" s="174"/>
      <c r="AK37" s="174"/>
      <c r="AL37" s="174"/>
      <c r="AM37" s="174"/>
      <c r="AN37" s="174"/>
      <c r="AO37" s="174"/>
    </row>
    <row r="38" spans="1:41" s="186" customFormat="1" ht="31.5" customHeight="1" x14ac:dyDescent="0.4">
      <c r="A38" s="175" t="s">
        <v>86</v>
      </c>
      <c r="B38" s="162">
        <v>30247</v>
      </c>
      <c r="C38" s="162">
        <v>31160</v>
      </c>
      <c r="D38" s="162">
        <v>30936</v>
      </c>
      <c r="E38" s="162">
        <v>30993</v>
      </c>
      <c r="F38" s="162">
        <v>30042</v>
      </c>
      <c r="G38" s="162">
        <v>30617</v>
      </c>
      <c r="H38" s="162">
        <v>30898</v>
      </c>
      <c r="I38" s="162">
        <v>31490</v>
      </c>
      <c r="J38" s="162">
        <v>31227</v>
      </c>
      <c r="K38" s="162">
        <v>31885</v>
      </c>
      <c r="L38" s="162">
        <v>31559</v>
      </c>
      <c r="M38" s="162">
        <v>31281</v>
      </c>
      <c r="N38" s="162">
        <v>30247</v>
      </c>
      <c r="O38" s="162">
        <v>30178.253290237615</v>
      </c>
      <c r="P38" s="162">
        <v>29609</v>
      </c>
      <c r="Q38" s="162">
        <v>28826</v>
      </c>
      <c r="R38" s="162">
        <v>28721.8538639615</v>
      </c>
      <c r="S38" s="162">
        <v>29447.168376640533</v>
      </c>
      <c r="T38" s="162">
        <v>29969.879530835675</v>
      </c>
      <c r="U38" s="162">
        <v>30697</v>
      </c>
      <c r="V38" s="162">
        <v>31116</v>
      </c>
      <c r="W38" s="162">
        <v>31615.485824636093</v>
      </c>
      <c r="X38" s="176">
        <v>31332.085656704545</v>
      </c>
      <c r="Y38" s="176">
        <v>32160.352715576944</v>
      </c>
      <c r="Z38" s="176">
        <v>33621.579504909037</v>
      </c>
      <c r="AA38" s="177">
        <v>34504.23493915375</v>
      </c>
      <c r="AB38" s="177">
        <v>35759.946634758468</v>
      </c>
      <c r="AC38" s="177">
        <v>36284.956880718593</v>
      </c>
      <c r="AD38" s="177">
        <v>34796</v>
      </c>
      <c r="AE38" s="177">
        <v>35357</v>
      </c>
      <c r="AF38" s="177">
        <v>35422</v>
      </c>
      <c r="AG38" s="177">
        <v>35656</v>
      </c>
      <c r="AH38" s="177">
        <v>34969</v>
      </c>
      <c r="AI38" s="177">
        <v>35291</v>
      </c>
      <c r="AJ38" s="177">
        <v>35394</v>
      </c>
      <c r="AK38" s="177">
        <v>35062</v>
      </c>
      <c r="AL38" s="177">
        <v>34537</v>
      </c>
      <c r="AM38" s="177">
        <v>34554</v>
      </c>
      <c r="AN38" s="177">
        <v>34608</v>
      </c>
      <c r="AO38" s="177">
        <v>34077</v>
      </c>
    </row>
    <row r="39" spans="1:41" s="186" customFormat="1" ht="31.5" hidden="1" customHeight="1" x14ac:dyDescent="0.4">
      <c r="A39" s="175" t="s">
        <v>87</v>
      </c>
      <c r="B39" s="162">
        <v>35849</v>
      </c>
      <c r="C39" s="162">
        <v>36930</v>
      </c>
      <c r="D39" s="162">
        <v>36322</v>
      </c>
      <c r="E39" s="162">
        <v>36841</v>
      </c>
      <c r="F39" s="162">
        <v>35300</v>
      </c>
      <c r="G39" s="162">
        <v>36145</v>
      </c>
      <c r="H39" s="162">
        <v>36634</v>
      </c>
      <c r="I39" s="162">
        <v>36885</v>
      </c>
      <c r="J39" s="162">
        <v>36659</v>
      </c>
      <c r="K39" s="162">
        <v>37501</v>
      </c>
      <c r="L39" s="162">
        <v>37320.235787915335</v>
      </c>
      <c r="M39" s="162">
        <v>35673</v>
      </c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  <c r="AK39" s="162"/>
      <c r="AL39" s="162"/>
      <c r="AM39" s="162"/>
      <c r="AN39" s="162"/>
      <c r="AO39" s="162"/>
    </row>
    <row r="40" spans="1:41" s="158" customFormat="1" ht="9" customHeight="1" x14ac:dyDescent="0.35">
      <c r="A40" s="178"/>
      <c r="B40" s="179"/>
      <c r="C40" s="179"/>
      <c r="D40" s="179"/>
      <c r="E40" s="179"/>
      <c r="F40" s="179"/>
      <c r="G40" s="180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</row>
    <row r="41" spans="1:41" s="158" customFormat="1" ht="18" customHeight="1" x14ac:dyDescent="0.4">
      <c r="A41" s="181" t="s">
        <v>39</v>
      </c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</row>
    <row r="42" spans="1:41" s="187" customFormat="1" ht="18.75" customHeight="1" x14ac:dyDescent="0.4">
      <c r="A42" s="181" t="s">
        <v>113</v>
      </c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</row>
    <row r="43" spans="1:41" ht="18.75" customHeight="1" x14ac:dyDescent="0.35">
      <c r="A43" s="180"/>
      <c r="B43" s="180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  <c r="AC43" s="180"/>
      <c r="AD43" s="180"/>
      <c r="AE43" s="180"/>
      <c r="AF43" s="180"/>
      <c r="AG43" s="180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2018-02-21T01:57:31Z</dcterms:modified>
</cp:coreProperties>
</file>