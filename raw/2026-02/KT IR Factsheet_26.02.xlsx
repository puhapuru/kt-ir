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ktcorp365-my.sharepoint.com/personal/juyoung_lee_kt_com/Documents/이주영_KT/2. Factbook/"/>
    </mc:Choice>
  </mc:AlternateContent>
  <bookViews>
    <workbookView xWindow="-110" yWindow="-110" windowWidth="25820" windowHeight="1550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'Fixed(M)'!$A$1:$CU$24</definedName>
    <definedName name="_xlnm.Print_Area" localSheetId="0">'Wireless(Q)'!$A$1:$AG$20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/>
  <c r="CT21" i="1"/>
  <c r="CU21" i="1" s="1"/>
  <c r="CU16" i="1"/>
  <c r="CT16" i="1"/>
  <c r="CU23" i="1"/>
  <c r="CU18" i="1"/>
  <c r="CU11" i="1"/>
  <c r="CU10" i="1"/>
  <c r="CU8" i="1"/>
  <c r="CU6" i="1"/>
  <c r="CU4" i="1"/>
  <c r="CT6" i="1"/>
  <c r="CT11" i="1"/>
  <c r="CT4" i="1"/>
  <c r="CT8" i="1"/>
  <c r="CT10" i="1"/>
  <c r="CT18" i="1"/>
  <c r="CT23" i="1"/>
  <c r="AC8" i="2"/>
  <c r="CN11" i="1"/>
  <c r="CO11" i="1"/>
  <c r="CP11" i="1"/>
  <c r="CQ11" i="1"/>
  <c r="CR11" i="1"/>
  <c r="CS11" i="1"/>
  <c r="CT12" i="1" l="1"/>
  <c r="CU12" i="1"/>
  <c r="CS4" i="1"/>
  <c r="CS6" i="1"/>
  <c r="CS8" i="1"/>
  <c r="CS10" i="1"/>
  <c r="CS12" i="1"/>
  <c r="CS16" i="1"/>
  <c r="CS18" i="1"/>
  <c r="CS21" i="1"/>
  <c r="CS23" i="1"/>
  <c r="AG6" i="2"/>
  <c r="CR4" i="1"/>
  <c r="CR6" i="1"/>
  <c r="CR8" i="1"/>
  <c r="CR10" i="1"/>
  <c r="CR12" i="1"/>
  <c r="CR16" i="1"/>
  <c r="CR18" i="1"/>
  <c r="CR21" i="1"/>
  <c r="CR23" i="1"/>
  <c r="CQ4" i="1"/>
  <c r="CQ6" i="1"/>
  <c r="CQ8" i="1"/>
  <c r="CQ10" i="1"/>
  <c r="CQ12" i="1"/>
  <c r="CQ16" i="1"/>
  <c r="CQ18" i="1"/>
  <c r="CQ21" i="1"/>
  <c r="CQ23" i="1"/>
  <c r="CP4" i="1"/>
  <c r="CP6" i="1"/>
  <c r="CP8" i="1"/>
  <c r="CP10" i="1"/>
  <c r="CP12" i="1"/>
  <c r="CP16" i="1"/>
  <c r="CP18" i="1"/>
  <c r="CP21" i="1"/>
  <c r="CP23" i="1"/>
  <c r="AF6" i="2"/>
  <c r="CO4" i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<sst xmlns="http://schemas.openxmlformats.org/spreadsheetml/2006/main" count="106" uniqueCount="72">
  <si>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</si>
  <si>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</si>
  <si>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</si>
  <si>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</si>
  <si>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</si>
  <si>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</si>
  <si>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</si>
  <si>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</si>
  <si>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</si>
  <si>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</si>
  <si>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</si>
  <si>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</si>
  <si>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</si>
  <si>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</si>
  <si>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</si>
  <si>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</si>
  <si>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</si>
  <si>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</si>
  <si>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</si>
  <si>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</si>
  <si>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</si>
  <si>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</si>
  <si>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</si>
  <si>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</si>
  <si>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</si>
  <si>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</si>
  <si>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</si>
  <si>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</si>
  <si>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</si>
  <si>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</si>
  <si>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</si>
  <si>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</si>
  <si>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</si>
  <si>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</si>
  <si>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</si>
  <si>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</si>
  <si>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</si>
  <si>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</si>
  <si>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</si>
  <si>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</si>
  <si>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</si>
  <si>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</si>
  <si>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</si>
  <si>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</si>
  <si>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</si>
  <si>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</si>
  <si>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</si>
  <si>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</si>
  <si>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</si>
  <si>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</si>
  <si>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</si>
  <si>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</si>
  <si>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</si>
  <si>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</si>
  <si>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</si>
  <si>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</si>
  <si>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</si>
  <si>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</si>
  <si>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</si>
  <si>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</si>
  <si>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</si>
  <si>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</si>
  <si>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</si>
  <si>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</si>
  <si>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</si>
  <si>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</si>
  <si>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</si>
  <si>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</si>
  <si>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</si>
  <si>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</si>
  <si>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4Q 25</t>
    <phoneticPr fontId="5" type="noConversion"/>
  </si>
  <si>
    <t>KT Monthly Factsheet (February 2026)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</si>
</sst>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E082B356-CE49-4D01-9698-B3FB4C264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873533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97</xdr:col>
      <xdr:colOff>761420</xdr:colOff>
      <xdr:row>0</xdr:row>
      <xdr:rowOff>268843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A993B9EB-8389-4E54-AE71-D28C7DFF05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741491" y="268843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20"/>
  <sheetViews>
    <sheetView showGridLines="0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3203125" style="39" customWidth="1"/>
    <col min="2" max="2" width="14.83203125" style="39" hidden="1" customWidth="1"/>
    <col min="3" max="3" width="15.08203125" style="39" hidden="1" customWidth="1"/>
    <col min="4" max="4" width="14.83203125" style="39" hidden="1" customWidth="1"/>
    <col min="5" max="18" width="15.08203125" style="39" hidden="1" customWidth="1"/>
    <col min="19" max="19" width="14.33203125" style="39" hidden="1" customWidth="1"/>
    <col min="20" max="20" width="13.5" style="39" hidden="1" customWidth="1"/>
    <col min="21" max="21" width="15" style="39" hidden="1" customWidth="1"/>
    <col min="22" max="33" width="15" style="39" customWidth="1"/>
    <col min="34" max="16384" width="9" style="39"/>
  </cols>
  <sheetData>
    <row r="1" spans="1:33" s="40" customFormat="1" ht="46.5" customHeight="1">
      <c r="A1" s="1" t="str">
        <f>'Fixed(M)'!A1</f>
        <v>KT Monthly Factsheet (February 2026)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s="33" customFormat="1" ht="27.75" customHeight="1"/>
    <row r="3" spans="1:33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  <c r="AG3" s="25"/>
    </row>
    <row r="4" spans="1:33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  <c r="AE4" s="28" t="s">
        <v>68</v>
      </c>
      <c r="AF4" s="28" t="s">
        <v>69</v>
      </c>
      <c r="AG4" s="28" t="s">
        <v>70</v>
      </c>
    </row>
    <row r="5" spans="1:33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  <c r="AG5" s="51">
        <v>28985049</v>
      </c>
    </row>
    <row r="6" spans="1:33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G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  <c r="AG6" s="57">
        <f t="shared" si="0"/>
        <v>657328</v>
      </c>
    </row>
    <row r="7" spans="1:33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  <c r="AG7" s="52">
        <v>20617517</v>
      </c>
    </row>
    <row r="8" spans="1:33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f t="shared" ref="AC8" si="1">AC5-AC7</f>
        <v>7181998</v>
      </c>
      <c r="AD8" s="55">
        <v>7258905</v>
      </c>
      <c r="AE8" s="55">
        <v>7649350</v>
      </c>
      <c r="AF8" s="55">
        <v>8056624</v>
      </c>
      <c r="AG8" s="55">
        <v>8367532</v>
      </c>
    </row>
    <row r="9" spans="1:33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  <c r="AG9" s="59">
        <v>11156281</v>
      </c>
    </row>
    <row r="10" spans="1:33" s="37" customFormat="1" ht="21.65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3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3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  <c r="AG12" s="31">
        <v>1.0413953887402594E-2</v>
      </c>
    </row>
    <row r="13" spans="1:33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  <c r="AG13" s="31" t="s">
        <v>64</v>
      </c>
    </row>
    <row r="14" spans="1:33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3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  <c r="AG15" s="25"/>
    </row>
    <row r="16" spans="1:33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  <c r="AE16" s="28" t="s">
        <v>68</v>
      </c>
      <c r="AF16" s="28" t="s">
        <v>69</v>
      </c>
      <c r="AG16" s="28" t="s">
        <v>70</v>
      </c>
    </row>
    <row r="17" spans="1:33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  <c r="AG17" s="35">
        <v>35335.039400947833</v>
      </c>
    </row>
    <row r="18" spans="1:33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3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3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U24"/>
  <sheetViews>
    <sheetView showGridLines="0" tabSelected="1" view="pageBreakPreview" zoomScale="70" zoomScaleNormal="70" zoomScaleSheetLayoutView="70" workbookViewId="0">
      <pane xSplit="73" topLeftCell="BV1" activePane="topRight" state="frozen"/>
      <selection pane="topRight"/>
    </sheetView>
  </sheetViews>
  <sheetFormatPr defaultColWidth="9" defaultRowHeight="30.75" customHeight="1"/>
  <cols>
    <col min="1" max="1" width="35.83203125" style="24" customWidth="1"/>
    <col min="2" max="7" width="11.58203125" style="2" hidden="1" customWidth="1"/>
    <col min="8" max="9" width="11.33203125" style="2" hidden="1" customWidth="1"/>
    <col min="10" max="13" width="11.83203125" style="2" hidden="1" customWidth="1"/>
    <col min="14" max="28" width="10.83203125" style="2" hidden="1" customWidth="1"/>
    <col min="29" max="29" width="11.08203125" style="2" hidden="1" customWidth="1"/>
    <col min="30" max="30" width="10.58203125" style="2" hidden="1" customWidth="1"/>
    <col min="31" max="32" width="11.58203125" style="2" hidden="1" customWidth="1"/>
    <col min="33" max="38" width="10.83203125" style="2" hidden="1" customWidth="1"/>
    <col min="39" max="52" width="11" style="2" hidden="1" customWidth="1"/>
    <col min="53" max="53" width="10.33203125" style="2" hidden="1" customWidth="1"/>
    <col min="54" max="55" width="11" style="2" hidden="1" customWidth="1"/>
    <col min="56" max="56" width="10.58203125" style="2" hidden="1" customWidth="1"/>
    <col min="57" max="58" width="10.83203125" style="2" hidden="1" customWidth="1"/>
    <col min="59" max="59" width="11" style="2" hidden="1" customWidth="1"/>
    <col min="60" max="64" width="11.08203125" style="2" hidden="1" customWidth="1"/>
    <col min="65" max="65" width="10.83203125" style="2" hidden="1" customWidth="1"/>
    <col min="66" max="71" width="11" style="2" hidden="1" customWidth="1"/>
    <col min="72" max="74" width="11.08203125" style="2" hidden="1" customWidth="1"/>
    <col min="75" max="79" width="10.83203125" style="2" hidden="1" customWidth="1"/>
    <col min="80" max="85" width="11.5" style="2" hidden="1" customWidth="1"/>
    <col min="86" max="88" width="11.5" style="2" customWidth="1"/>
    <col min="89" max="89" width="10" style="2" bestFit="1" customWidth="1"/>
    <col min="90" max="90" width="10.58203125" style="2" customWidth="1"/>
    <col min="91" max="99" width="10.5" style="2" customWidth="1"/>
    <col min="100" max="16384" width="9" style="2"/>
  </cols>
  <sheetData>
    <row r="1" spans="1:99" ht="44.25" customHeight="1">
      <c r="A1" s="1" t="s">
        <v>71</v>
      </c>
    </row>
    <row r="2" spans="1:99" ht="29.25" customHeight="1">
      <c r="A2" s="2"/>
    </row>
    <row r="3" spans="1:99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  <c r="CQ3" s="4">
        <v>2034</v>
      </c>
      <c r="CR3" s="4">
        <v>2035</v>
      </c>
      <c r="CS3" s="4">
        <v>2036</v>
      </c>
      <c r="CT3" s="3">
        <v>2026</v>
      </c>
    </row>
    <row r="4" spans="1:99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U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  <c r="CQ4" s="7">
        <f t="shared" si="0"/>
        <v>45931</v>
      </c>
      <c r="CR4" s="7">
        <f t="shared" si="0"/>
        <v>45962</v>
      </c>
      <c r="CS4" s="7">
        <f t="shared" si="0"/>
        <v>45992</v>
      </c>
      <c r="CT4" s="28">
        <f t="shared" si="0"/>
        <v>46023</v>
      </c>
      <c r="CU4" s="28">
        <f t="shared" si="0"/>
        <v>46054</v>
      </c>
    </row>
    <row r="5" spans="1:99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  <c r="CQ5" s="48">
        <v>10991322</v>
      </c>
      <c r="CR5" s="48">
        <v>10948493</v>
      </c>
      <c r="CS5" s="48">
        <v>10889505</v>
      </c>
      <c r="CT5" s="48">
        <v>10836104</v>
      </c>
      <c r="CU5" s="48">
        <v>10793400</v>
      </c>
    </row>
    <row r="6" spans="1:99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S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  <c r="CP6" s="12">
        <f t="shared" si="1"/>
        <v>-45421</v>
      </c>
      <c r="CQ6" s="12">
        <f t="shared" si="1"/>
        <v>-47340</v>
      </c>
      <c r="CR6" s="12">
        <f t="shared" si="1"/>
        <v>-42829</v>
      </c>
      <c r="CS6" s="12">
        <f t="shared" si="1"/>
        <v>-58988</v>
      </c>
      <c r="CT6" s="12">
        <f>CT5-CS5</f>
        <v>-53401</v>
      </c>
      <c r="CU6" s="12">
        <f>CU5-CT5</f>
        <v>-42704</v>
      </c>
    </row>
    <row r="7" spans="1:99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  <c r="CQ7" s="10">
        <v>7807226</v>
      </c>
      <c r="CR7" s="10">
        <v>7767036</v>
      </c>
      <c r="CS7" s="10">
        <v>7715771</v>
      </c>
      <c r="CT7" s="10">
        <v>7668535</v>
      </c>
      <c r="CU7" s="10">
        <v>7629238</v>
      </c>
    </row>
    <row r="8" spans="1:99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U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  <c r="CN8" s="15">
        <f t="shared" si="2"/>
        <v>-49236</v>
      </c>
      <c r="CO8" s="15">
        <f t="shared" si="2"/>
        <v>-44729</v>
      </c>
      <c r="CP8" s="15">
        <f t="shared" si="2"/>
        <v>-43329</v>
      </c>
      <c r="CQ8" s="15">
        <f t="shared" si="2"/>
        <v>-43850</v>
      </c>
      <c r="CR8" s="15">
        <f t="shared" si="2"/>
        <v>-40190</v>
      </c>
      <c r="CS8" s="15">
        <f t="shared" si="2"/>
        <v>-51265</v>
      </c>
      <c r="CT8" s="15">
        <f t="shared" si="2"/>
        <v>-47236</v>
      </c>
      <c r="CU8" s="15">
        <f t="shared" si="2"/>
        <v>-39297</v>
      </c>
    </row>
    <row r="9" spans="1:99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  <c r="CQ9" s="49">
        <v>6897334</v>
      </c>
      <c r="CR9" s="49">
        <v>6857002</v>
      </c>
      <c r="CS9" s="49">
        <v>6807474</v>
      </c>
      <c r="CT9" s="49">
        <v>6760094</v>
      </c>
      <c r="CU9" s="49">
        <v>6722018</v>
      </c>
    </row>
    <row r="10" spans="1:99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  <c r="CN10" s="49">
        <f t="shared" ref="CN10:CO10" si="12">CN7-CN9</f>
        <v>911923</v>
      </c>
      <c r="CO10" s="49">
        <f t="shared" si="12"/>
        <v>912274</v>
      </c>
      <c r="CP10" s="49">
        <f t="shared" ref="CP10:CQ10" si="13">CP7-CP9</f>
        <v>910609</v>
      </c>
      <c r="CQ10" s="49">
        <f t="shared" si="13"/>
        <v>909892</v>
      </c>
      <c r="CR10" s="49">
        <f t="shared" ref="CR10:CS10" si="14">CR7-CR9</f>
        <v>910034</v>
      </c>
      <c r="CS10" s="49">
        <f t="shared" si="14"/>
        <v>908297</v>
      </c>
      <c r="CT10" s="49">
        <f t="shared" ref="CT10:CU10" si="15">CT7-CT9</f>
        <v>908441</v>
      </c>
      <c r="CU10" s="49">
        <f t="shared" si="15"/>
        <v>907220</v>
      </c>
    </row>
    <row r="11" spans="1:99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f t="shared" ref="CN11:CR11" si="16">CN5-CN7</f>
        <v>3189379</v>
      </c>
      <c r="CO11" s="10">
        <f t="shared" si="16"/>
        <v>3189678</v>
      </c>
      <c r="CP11" s="10">
        <f t="shared" si="16"/>
        <v>3187586</v>
      </c>
      <c r="CQ11" s="10">
        <f t="shared" si="16"/>
        <v>3184096</v>
      </c>
      <c r="CR11" s="10">
        <f t="shared" si="16"/>
        <v>3181457</v>
      </c>
      <c r="CS11" s="10">
        <f>CS5-CS7</f>
        <v>3173734</v>
      </c>
      <c r="CT11" s="10">
        <f>CT5-CT7</f>
        <v>3167569</v>
      </c>
      <c r="CU11" s="10">
        <f>CU5-CU7</f>
        <v>3164162</v>
      </c>
    </row>
    <row r="12" spans="1:99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U12" si="17">BI11-BH11</f>
        <v>1257</v>
      </c>
      <c r="BJ12" s="12">
        <f t="shared" si="17"/>
        <v>436</v>
      </c>
      <c r="BK12" s="12">
        <f t="shared" si="17"/>
        <v>2903</v>
      </c>
      <c r="BL12" s="12">
        <f t="shared" si="17"/>
        <v>10421</v>
      </c>
      <c r="BM12" s="12">
        <f t="shared" si="17"/>
        <v>1553</v>
      </c>
      <c r="BN12" s="12">
        <f t="shared" si="17"/>
        <v>-1120</v>
      </c>
      <c r="BO12" s="12">
        <f t="shared" si="17"/>
        <v>887</v>
      </c>
      <c r="BP12" s="12">
        <f t="shared" si="17"/>
        <v>438</v>
      </c>
      <c r="BQ12" s="12">
        <f t="shared" si="17"/>
        <v>392</v>
      </c>
      <c r="BR12" s="12">
        <f t="shared" si="17"/>
        <v>3035</v>
      </c>
      <c r="BS12" s="12">
        <f t="shared" si="17"/>
        <v>-1075</v>
      </c>
      <c r="BT12" s="12">
        <f t="shared" si="17"/>
        <v>-240</v>
      </c>
      <c r="BU12" s="12">
        <f t="shared" si="17"/>
        <v>-8459</v>
      </c>
      <c r="BV12" s="12">
        <f t="shared" si="17"/>
        <v>106</v>
      </c>
      <c r="BW12" s="12">
        <f t="shared" si="17"/>
        <v>12414</v>
      </c>
      <c r="BX12" s="12">
        <f t="shared" si="17"/>
        <v>2319</v>
      </c>
      <c r="BY12" s="12">
        <f t="shared" si="17"/>
        <v>-1446</v>
      </c>
      <c r="BZ12" s="12">
        <f t="shared" si="17"/>
        <v>-6974</v>
      </c>
      <c r="CA12" s="12">
        <f t="shared" si="17"/>
        <v>1111</v>
      </c>
      <c r="CB12" s="12">
        <f t="shared" si="17"/>
        <v>-597</v>
      </c>
      <c r="CC12" s="12">
        <f t="shared" si="17"/>
        <v>328</v>
      </c>
      <c r="CD12" s="12">
        <f t="shared" si="17"/>
        <v>-476</v>
      </c>
      <c r="CE12" s="12">
        <f t="shared" si="17"/>
        <v>-2082</v>
      </c>
      <c r="CF12" s="12">
        <f t="shared" si="17"/>
        <v>-3315</v>
      </c>
      <c r="CG12" s="12">
        <f t="shared" si="17"/>
        <v>-5460</v>
      </c>
      <c r="CH12" s="12">
        <f t="shared" si="17"/>
        <v>-5981</v>
      </c>
      <c r="CI12" s="12">
        <f t="shared" si="17"/>
        <v>-4519</v>
      </c>
      <c r="CJ12" s="12">
        <f t="shared" si="17"/>
        <v>-2413</v>
      </c>
      <c r="CK12" s="12">
        <f t="shared" si="17"/>
        <v>-4941</v>
      </c>
      <c r="CL12" s="12">
        <f t="shared" si="17"/>
        <v>-2506</v>
      </c>
      <c r="CM12" s="12">
        <f t="shared" si="17"/>
        <v>-3949</v>
      </c>
      <c r="CN12" s="12">
        <f t="shared" si="17"/>
        <v>3020</v>
      </c>
      <c r="CO12" s="12">
        <f t="shared" si="17"/>
        <v>299</v>
      </c>
      <c r="CP12" s="12">
        <f t="shared" si="17"/>
        <v>-2092</v>
      </c>
      <c r="CQ12" s="12">
        <f t="shared" si="17"/>
        <v>-3490</v>
      </c>
      <c r="CR12" s="12">
        <f t="shared" si="17"/>
        <v>-2639</v>
      </c>
      <c r="CS12" s="12">
        <f t="shared" si="17"/>
        <v>-7723</v>
      </c>
      <c r="CT12" s="12">
        <f t="shared" si="17"/>
        <v>-6165</v>
      </c>
      <c r="CU12" s="12">
        <f t="shared" si="17"/>
        <v>-3407</v>
      </c>
    </row>
    <row r="13" spans="1:99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9" s="37" customFormat="1" ht="15" customHeight="1">
      <c r="A14" s="41"/>
      <c r="BB14" s="18"/>
      <c r="BC14" s="18"/>
      <c r="BD14" s="18"/>
      <c r="BE14" s="18"/>
      <c r="BF14" s="18"/>
      <c r="BG14" s="18"/>
    </row>
    <row r="15" spans="1:99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9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U16" si="18">EDATE(BK16,1)</f>
        <v>44986</v>
      </c>
      <c r="BM16" s="7">
        <f t="shared" si="18"/>
        <v>45017</v>
      </c>
      <c r="BN16" s="7">
        <f t="shared" si="18"/>
        <v>45047</v>
      </c>
      <c r="BO16" s="7">
        <f t="shared" si="18"/>
        <v>45078</v>
      </c>
      <c r="BP16" s="7">
        <f t="shared" si="18"/>
        <v>45108</v>
      </c>
      <c r="BQ16" s="7">
        <f t="shared" si="18"/>
        <v>45139</v>
      </c>
      <c r="BR16" s="7">
        <f t="shared" si="18"/>
        <v>45170</v>
      </c>
      <c r="BS16" s="7">
        <f t="shared" si="18"/>
        <v>45200</v>
      </c>
      <c r="BT16" s="7">
        <f t="shared" si="18"/>
        <v>45231</v>
      </c>
      <c r="BU16" s="7">
        <f t="shared" si="18"/>
        <v>45261</v>
      </c>
      <c r="BV16" s="28">
        <f t="shared" si="18"/>
        <v>45292</v>
      </c>
      <c r="BW16" s="28">
        <f t="shared" si="18"/>
        <v>45323</v>
      </c>
      <c r="BX16" s="28">
        <f t="shared" si="18"/>
        <v>45352</v>
      </c>
      <c r="BY16" s="28">
        <f t="shared" si="18"/>
        <v>45383</v>
      </c>
      <c r="BZ16" s="28">
        <f t="shared" si="18"/>
        <v>45413</v>
      </c>
      <c r="CA16" s="28">
        <f t="shared" si="18"/>
        <v>45444</v>
      </c>
      <c r="CB16" s="28">
        <f t="shared" si="18"/>
        <v>45474</v>
      </c>
      <c r="CC16" s="28">
        <f t="shared" si="18"/>
        <v>45505</v>
      </c>
      <c r="CD16" s="28">
        <f t="shared" si="18"/>
        <v>45536</v>
      </c>
      <c r="CE16" s="28">
        <f t="shared" si="18"/>
        <v>45566</v>
      </c>
      <c r="CF16" s="28">
        <f t="shared" si="18"/>
        <v>45597</v>
      </c>
      <c r="CG16" s="28">
        <f t="shared" si="18"/>
        <v>45627</v>
      </c>
      <c r="CH16" s="7">
        <f t="shared" si="18"/>
        <v>45658</v>
      </c>
      <c r="CI16" s="7">
        <f t="shared" si="18"/>
        <v>45689</v>
      </c>
      <c r="CJ16" s="7">
        <f t="shared" si="18"/>
        <v>45717</v>
      </c>
      <c r="CK16" s="7">
        <f t="shared" si="18"/>
        <v>45748</v>
      </c>
      <c r="CL16" s="7">
        <f t="shared" si="18"/>
        <v>45778</v>
      </c>
      <c r="CM16" s="7">
        <f t="shared" si="18"/>
        <v>45809</v>
      </c>
      <c r="CN16" s="7">
        <f t="shared" si="18"/>
        <v>45839</v>
      </c>
      <c r="CO16" s="7">
        <f t="shared" si="18"/>
        <v>45870</v>
      </c>
      <c r="CP16" s="7">
        <f t="shared" si="18"/>
        <v>45901</v>
      </c>
      <c r="CQ16" s="7">
        <f t="shared" si="18"/>
        <v>45931</v>
      </c>
      <c r="CR16" s="7">
        <f t="shared" si="18"/>
        <v>45962</v>
      </c>
      <c r="CS16" s="7">
        <f t="shared" si="18"/>
        <v>45992</v>
      </c>
      <c r="CT16" s="28">
        <f t="shared" ref="CT16" si="19">EDATE(CS16,1)</f>
        <v>46023</v>
      </c>
      <c r="CU16" s="28">
        <f t="shared" ref="CU16" si="20">EDATE(CT16,1)</f>
        <v>46054</v>
      </c>
    </row>
    <row r="17" spans="1:99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  <c r="CQ17" s="10">
        <v>10144514</v>
      </c>
      <c r="CR17" s="10">
        <v>10158469</v>
      </c>
      <c r="CS17" s="10">
        <v>10170090</v>
      </c>
      <c r="CT17" s="10">
        <v>10159316</v>
      </c>
      <c r="CU17" s="10">
        <v>10168373</v>
      </c>
    </row>
    <row r="18" spans="1:99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U18" si="21">BI17-BH17</f>
        <v>7508</v>
      </c>
      <c r="BJ18" s="12">
        <f t="shared" si="21"/>
        <v>11056</v>
      </c>
      <c r="BK18" s="12">
        <f t="shared" si="21"/>
        <v>18245</v>
      </c>
      <c r="BL18" s="12">
        <f t="shared" si="21"/>
        <v>17766</v>
      </c>
      <c r="BM18" s="12">
        <f t="shared" si="21"/>
        <v>14046</v>
      </c>
      <c r="BN18" s="12">
        <f t="shared" si="21"/>
        <v>11529</v>
      </c>
      <c r="BO18" s="12">
        <f t="shared" si="21"/>
        <v>12676</v>
      </c>
      <c r="BP18" s="12">
        <f t="shared" si="21"/>
        <v>5456</v>
      </c>
      <c r="BQ18" s="12">
        <f t="shared" si="21"/>
        <v>-18440</v>
      </c>
      <c r="BR18" s="12">
        <f t="shared" si="21"/>
        <v>11366</v>
      </c>
      <c r="BS18" s="12">
        <f t="shared" si="21"/>
        <v>6109</v>
      </c>
      <c r="BT18" s="12">
        <f t="shared" si="21"/>
        <v>7598</v>
      </c>
      <c r="BU18" s="12">
        <f t="shared" si="21"/>
        <v>3098</v>
      </c>
      <c r="BV18" s="12">
        <f t="shared" si="21"/>
        <v>7546</v>
      </c>
      <c r="BW18" s="12">
        <f t="shared" si="21"/>
        <v>8546</v>
      </c>
      <c r="BX18" s="12">
        <f t="shared" si="21"/>
        <v>18567</v>
      </c>
      <c r="BY18" s="12">
        <f t="shared" si="21"/>
        <v>11502</v>
      </c>
      <c r="BZ18" s="12">
        <f t="shared" si="21"/>
        <v>13235</v>
      </c>
      <c r="CA18" s="12">
        <f t="shared" si="21"/>
        <v>12278</v>
      </c>
      <c r="CB18" s="12">
        <f t="shared" si="21"/>
        <v>8204</v>
      </c>
      <c r="CC18" s="12">
        <f t="shared" si="21"/>
        <v>11419</v>
      </c>
      <c r="CD18" s="12">
        <f t="shared" si="21"/>
        <v>9617</v>
      </c>
      <c r="CE18" s="12">
        <f t="shared" si="21"/>
        <v>10488</v>
      </c>
      <c r="CF18" s="12">
        <f t="shared" si="21"/>
        <v>10438</v>
      </c>
      <c r="CG18" s="12">
        <f t="shared" si="21"/>
        <v>7428</v>
      </c>
      <c r="CH18" s="12">
        <f t="shared" si="21"/>
        <v>4719</v>
      </c>
      <c r="CI18" s="12">
        <f t="shared" si="21"/>
        <v>10574</v>
      </c>
      <c r="CJ18" s="12">
        <f t="shared" si="21"/>
        <v>12547</v>
      </c>
      <c r="CK18" s="12">
        <f t="shared" si="21"/>
        <v>13347</v>
      </c>
      <c r="CL18" s="12">
        <f t="shared" si="21"/>
        <v>49078</v>
      </c>
      <c r="CM18" s="12">
        <f t="shared" si="21"/>
        <v>26653</v>
      </c>
      <c r="CN18" s="12">
        <f t="shared" si="21"/>
        <v>28396</v>
      </c>
      <c r="CO18" s="12">
        <f t="shared" si="21"/>
        <v>17776</v>
      </c>
      <c r="CP18" s="12">
        <f t="shared" si="21"/>
        <v>15501</v>
      </c>
      <c r="CQ18" s="12">
        <f t="shared" si="21"/>
        <v>9575</v>
      </c>
      <c r="CR18" s="12">
        <f t="shared" si="21"/>
        <v>13955</v>
      </c>
      <c r="CS18" s="12">
        <f t="shared" si="21"/>
        <v>11621</v>
      </c>
      <c r="CT18" s="12">
        <f t="shared" si="21"/>
        <v>-10774</v>
      </c>
      <c r="CU18" s="12">
        <f t="shared" si="21"/>
        <v>9057</v>
      </c>
    </row>
    <row r="19" spans="1:99" s="37" customFormat="1" ht="15" customHeight="1">
      <c r="A19" s="41"/>
    </row>
    <row r="20" spans="1:99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9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U21" si="22">EDATE(BK21,1)</f>
        <v>44986</v>
      </c>
      <c r="BM21" s="7">
        <f t="shared" si="22"/>
        <v>45017</v>
      </c>
      <c r="BN21" s="7">
        <f t="shared" si="22"/>
        <v>45047</v>
      </c>
      <c r="BO21" s="7">
        <f t="shared" si="22"/>
        <v>45078</v>
      </c>
      <c r="BP21" s="7">
        <f t="shared" si="22"/>
        <v>45108</v>
      </c>
      <c r="BQ21" s="7">
        <f t="shared" si="22"/>
        <v>45139</v>
      </c>
      <c r="BR21" s="7">
        <f t="shared" si="22"/>
        <v>45170</v>
      </c>
      <c r="BS21" s="7">
        <f t="shared" si="22"/>
        <v>45200</v>
      </c>
      <c r="BT21" s="7">
        <f t="shared" si="22"/>
        <v>45231</v>
      </c>
      <c r="BU21" s="7">
        <f t="shared" si="22"/>
        <v>45261</v>
      </c>
      <c r="BV21" s="28">
        <f t="shared" si="22"/>
        <v>45292</v>
      </c>
      <c r="BW21" s="28">
        <f t="shared" si="22"/>
        <v>45323</v>
      </c>
      <c r="BX21" s="28">
        <f t="shared" si="22"/>
        <v>45352</v>
      </c>
      <c r="BY21" s="28">
        <f t="shared" si="22"/>
        <v>45383</v>
      </c>
      <c r="BZ21" s="28">
        <f t="shared" si="22"/>
        <v>45413</v>
      </c>
      <c r="CA21" s="28">
        <f t="shared" si="22"/>
        <v>45444</v>
      </c>
      <c r="CB21" s="28">
        <f t="shared" si="22"/>
        <v>45474</v>
      </c>
      <c r="CC21" s="28">
        <f t="shared" si="22"/>
        <v>45505</v>
      </c>
      <c r="CD21" s="28">
        <f t="shared" si="22"/>
        <v>45536</v>
      </c>
      <c r="CE21" s="28">
        <f t="shared" si="22"/>
        <v>45566</v>
      </c>
      <c r="CF21" s="28">
        <f t="shared" si="22"/>
        <v>45597</v>
      </c>
      <c r="CG21" s="28">
        <f t="shared" si="22"/>
        <v>45627</v>
      </c>
      <c r="CH21" s="7">
        <f t="shared" si="22"/>
        <v>45658</v>
      </c>
      <c r="CI21" s="7">
        <f t="shared" si="22"/>
        <v>45689</v>
      </c>
      <c r="CJ21" s="7">
        <f t="shared" si="22"/>
        <v>45717</v>
      </c>
      <c r="CK21" s="7">
        <f t="shared" si="22"/>
        <v>45748</v>
      </c>
      <c r="CL21" s="7">
        <f t="shared" si="22"/>
        <v>45778</v>
      </c>
      <c r="CM21" s="7">
        <f t="shared" si="22"/>
        <v>45809</v>
      </c>
      <c r="CN21" s="7">
        <f t="shared" si="22"/>
        <v>45839</v>
      </c>
      <c r="CO21" s="7">
        <f t="shared" si="22"/>
        <v>45870</v>
      </c>
      <c r="CP21" s="7">
        <f t="shared" si="22"/>
        <v>45901</v>
      </c>
      <c r="CQ21" s="7">
        <f t="shared" si="22"/>
        <v>45931</v>
      </c>
      <c r="CR21" s="7">
        <f t="shared" si="22"/>
        <v>45962</v>
      </c>
      <c r="CS21" s="7">
        <f t="shared" si="22"/>
        <v>45992</v>
      </c>
      <c r="CT21" s="28">
        <f t="shared" ref="CT21" si="23">EDATE(CS21,1)</f>
        <v>46023</v>
      </c>
      <c r="CU21" s="28">
        <f t="shared" ref="CU21" si="24">EDATE(CT21,1)</f>
        <v>46054</v>
      </c>
    </row>
    <row r="22" spans="1:99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  <c r="CQ22" s="10">
        <v>9523195</v>
      </c>
      <c r="CR22" s="10">
        <v>9529109</v>
      </c>
      <c r="CS22" s="10">
        <v>9532719</v>
      </c>
      <c r="CT22" s="10">
        <v>9509661</v>
      </c>
      <c r="CU22" s="10">
        <v>9512012</v>
      </c>
    </row>
    <row r="23" spans="1:99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25">BI22-BH22</f>
        <v>-2469</v>
      </c>
      <c r="BJ23" s="12">
        <f t="shared" si="25"/>
        <v>3911</v>
      </c>
      <c r="BK23" s="12">
        <f t="shared" si="25"/>
        <v>7254</v>
      </c>
      <c r="BL23" s="12">
        <f t="shared" si="25"/>
        <v>7846</v>
      </c>
      <c r="BM23" s="12">
        <f t="shared" si="25"/>
        <v>9409</v>
      </c>
      <c r="BN23" s="12">
        <f t="shared" si="25"/>
        <v>3241</v>
      </c>
      <c r="BO23" s="12">
        <f t="shared" si="25"/>
        <v>6507</v>
      </c>
      <c r="BP23" s="12">
        <f t="shared" si="25"/>
        <v>-6637</v>
      </c>
      <c r="BQ23" s="12">
        <f t="shared" si="25"/>
        <v>-32993</v>
      </c>
      <c r="BR23" s="12">
        <f t="shared" si="25"/>
        <v>-960</v>
      </c>
      <c r="BS23" s="12">
        <f t="shared" si="25"/>
        <v>-10630</v>
      </c>
      <c r="BT23" s="12">
        <f t="shared" ref="BT23:CU23" si="26">BT22-BS22</f>
        <v>-5128</v>
      </c>
      <c r="BU23" s="12">
        <f t="shared" si="26"/>
        <v>-5296</v>
      </c>
      <c r="BV23" s="12">
        <f t="shared" si="26"/>
        <v>2945</v>
      </c>
      <c r="BW23" s="12">
        <f t="shared" si="26"/>
        <v>575</v>
      </c>
      <c r="BX23" s="12">
        <f t="shared" si="26"/>
        <v>5658</v>
      </c>
      <c r="BY23" s="12">
        <f t="shared" si="26"/>
        <v>-2714</v>
      </c>
      <c r="BZ23" s="12">
        <f t="shared" si="26"/>
        <v>-1179</v>
      </c>
      <c r="CA23" s="12">
        <f t="shared" si="26"/>
        <v>8824</v>
      </c>
      <c r="CB23" s="12">
        <f t="shared" si="26"/>
        <v>5357</v>
      </c>
      <c r="CC23" s="12">
        <f t="shared" si="26"/>
        <v>7962</v>
      </c>
      <c r="CD23" s="12">
        <f t="shared" si="26"/>
        <v>4368</v>
      </c>
      <c r="CE23" s="12">
        <f t="shared" si="26"/>
        <v>2013</v>
      </c>
      <c r="CF23" s="12">
        <f t="shared" si="26"/>
        <v>5141</v>
      </c>
      <c r="CG23" s="12">
        <f t="shared" si="26"/>
        <v>1702</v>
      </c>
      <c r="CH23" s="12">
        <f t="shared" si="26"/>
        <v>-3372</v>
      </c>
      <c r="CI23" s="12">
        <f t="shared" si="26"/>
        <v>-2717</v>
      </c>
      <c r="CJ23" s="12">
        <f t="shared" si="26"/>
        <v>-5559</v>
      </c>
      <c r="CK23" s="12">
        <f t="shared" si="26"/>
        <v>-2348</v>
      </c>
      <c r="CL23" s="12">
        <f t="shared" si="26"/>
        <v>35981</v>
      </c>
      <c r="CM23" s="12">
        <f t="shared" si="26"/>
        <v>18634</v>
      </c>
      <c r="CN23" s="12">
        <f t="shared" si="26"/>
        <v>17198</v>
      </c>
      <c r="CO23" s="12">
        <f t="shared" si="26"/>
        <v>7466</v>
      </c>
      <c r="CP23" s="12">
        <f t="shared" si="26"/>
        <v>5650</v>
      </c>
      <c r="CQ23" s="12">
        <f t="shared" si="26"/>
        <v>2956</v>
      </c>
      <c r="CR23" s="12">
        <f t="shared" si="26"/>
        <v>5914</v>
      </c>
      <c r="CS23" s="12">
        <f t="shared" si="26"/>
        <v>3610</v>
      </c>
      <c r="CT23" s="12">
        <f t="shared" si="26"/>
        <v>-23058</v>
      </c>
      <c r="CU23" s="12">
        <f t="shared" si="26"/>
        <v>2351</v>
      </c>
    </row>
    <row r="24" spans="1:99" s="37" customFormat="1" ht="15" customHeight="1">
      <c r="A24" s="41"/>
    </row>
  </sheetData>
  <phoneticPr fontId="2" type="noConversion"/>
  <pageMargins left="0.7" right="0.7" top="0.75" bottom="0.75" header="0.3" footer="0.3"/>
  <pageSetup paperSize="9" scale="65" orientation="landscape" r:id="rId1"/>
  <drawing r:id="rId2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Wireless(Q)</vt:lpstr>
      <vt:lpstr>Fixed(M)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이주영(IR1팀)</cp:lastModifiedBy>
  <cp:lastPrinted>2022-05-02T04:43:26Z</cp:lastPrinted>
  <dcterms:created xsi:type="dcterms:W3CDTF">2016-04-15T08:39:09Z</dcterms:created>
  <dcterms:modified xsi:type="dcterms:W3CDTF">2026-03-24T01:04:40Z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