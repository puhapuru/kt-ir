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3\4Q\실적발표\최종\"/>
    </mc:Choice>
  </mc:AlternateContent>
  <xr:revisionPtr revIDLastSave="0" documentId="13_ncr:1_{5D8E1657-A8C9-43E3-AB86-B8AF1DB2F103}" xr6:coauthVersionLast="47" xr6:coauthVersionMax="47" xr10:uidLastSave="{00000000-0000-0000-0000-000000000000}"/>
  <bookViews>
    <workbookView xWindow="9408" yWindow="2460" windowWidth="12156" windowHeight="8976" tabRatio="726" activeTab="1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Consolidated!$A$1:$Q$25</definedName>
    <definedName name="_xlnm.Print_Area" localSheetId="0">Separate!$A$1:$Q$52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6" i="1" l="1"/>
  <c r="Q29" i="1" l="1"/>
  <c r="N29" i="1"/>
  <c r="M29" i="1"/>
  <c r="K29" i="1"/>
  <c r="J29" i="1"/>
  <c r="I29" i="1"/>
  <c r="H29" i="1"/>
  <c r="F29" i="1"/>
  <c r="P29" i="1"/>
  <c r="O29" i="1"/>
  <c r="E29" i="1" l="1"/>
  <c r="D29" i="1"/>
  <c r="C29" i="1" l="1"/>
</calcChain>
</file>

<file path=xl/sharedStrings.xml><?xml version="1.0" encoding="utf-8"?>
<sst xmlns="http://schemas.openxmlformats.org/spreadsheetml/2006/main" count="156" uniqueCount="88">
  <si>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</si>
  <si>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</si>
  <si>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</si>
  <si>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</si>
  <si>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</si>
  <si>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</si>
  <si>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</si>
  <si>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</si>
  <si>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</si>
  <si>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</si>
  <si>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</si>
  <si>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</si>
  <si>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</si>
  <si>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</si>
  <si>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</si>
  <si>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</si>
  <si>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</si>
  <si>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</si>
  <si>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KT Financial Indicators (Separate)</t>
    <phoneticPr fontId="1" type="noConversion"/>
  </si>
  <si>
    <t>(Billion KRW)</t>
    <phoneticPr fontId="1" type="noConversion"/>
  </si>
  <si>
    <t>√</t>
    <phoneticPr fontId="1" type="noConversion"/>
  </si>
  <si>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</si>
  <si>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</si>
  <si>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</si>
  <si>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</si>
  <si>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</si>
  <si>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</si>
  <si>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</si>
  <si>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</si>
  <si>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</si>
  <si>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</si>
  <si>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</si>
  <si>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</si>
  <si>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</si>
  <si>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</si>
  <si>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</si>
  <si>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</si>
  <si>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</si>
  <si>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</si>
  <si>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</si>
  <si>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</si>
  <si>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</si>
  <si>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</si>
  <si>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</si>
  <si>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</si>
  <si>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</si>
  <si>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</si>
  <si>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</si>
  <si>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</si>
  <si>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</si>
  <si>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</si>
  <si>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</si>
  <si>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</si>
  <si>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</si>
  <si>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</si>
  <si>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</si>
  <si>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</si>
  <si>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</si>
  <si>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</si>
  <si>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</si>
  <si>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</si>
  <si>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</si>
  <si>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</si>
  <si>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</si>
  <si>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</si>
  <si>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</si>
  <si>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</si>
  <si>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</si>
  <si>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</si>
  <si>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</si>
  <si>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</si>
  <si>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</si>
  <si>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</si>
  <si>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</si>
  <si>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</si>
  <si>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</si>
  <si>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</si>
  <si>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</si>
  <si>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</si>
  <si>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</si>
  <si>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</si>
  <si>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</si>
  <si>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</si>
  <si>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-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</si>
  <si>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</si>
  <si>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</si>
  <si>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 xml:space="preserve"> - Sale of goods*</t>
    <phoneticPr fontId="1" type="noConversion"/>
  </si>
  <si>
    <t>* Sale of goods: redefined from KT handset revenue → KT handset + subsidiaries’ sale of goods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</si>
</sst>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10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3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 applyFill="1" applyAlignment="1">
      <alignment horizont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0" borderId="4" xfId="2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43" fontId="2" fillId="0" borderId="0" xfId="0" applyNumberFormat="1" applyFont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1" fontId="2" fillId="3" borderId="2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2" fillId="5" borderId="2" xfId="0" applyFont="1" applyFill="1" applyBorder="1" applyAlignment="1">
      <alignment horizontal="center" vertical="center"/>
    </xf>
    <xf numFmtId="41" fontId="13" fillId="0" borderId="0" xfId="1" applyFont="1" applyFill="1" applyBorder="1">
      <alignment vertical="center"/>
    </xf>
    <xf numFmtId="41" fontId="13" fillId="6" borderId="0" xfId="1" applyFont="1" applyFill="1" applyBorder="1">
      <alignment vertical="center"/>
    </xf>
    <xf numFmtId="177" fontId="13" fillId="0" borderId="0" xfId="1" applyNumberFormat="1" applyFont="1" applyFill="1" applyBorder="1">
      <alignment vertical="center"/>
    </xf>
    <xf numFmtId="177" fontId="13" fillId="6" borderId="0" xfId="1" applyNumberFormat="1" applyFont="1" applyFill="1" applyBorder="1">
      <alignment vertical="center"/>
    </xf>
    <xf numFmtId="177" fontId="13" fillId="7" borderId="0" xfId="1" applyNumberFormat="1" applyFont="1" applyFill="1" applyBorder="1">
      <alignment vertical="center"/>
    </xf>
    <xf numFmtId="176" fontId="13" fillId="0" borderId="0" xfId="2" applyNumberFormat="1" applyFont="1" applyFill="1" applyBorder="1">
      <alignment vertical="center"/>
    </xf>
    <xf numFmtId="176" fontId="13" fillId="6" borderId="0" xfId="2" applyNumberFormat="1" applyFont="1" applyFill="1" applyBorder="1">
      <alignment vertical="center"/>
    </xf>
    <xf numFmtId="176" fontId="13" fillId="7" borderId="0" xfId="2" applyNumberFormat="1" applyFont="1" applyFill="1" applyBorder="1">
      <alignment vertical="center"/>
    </xf>
    <xf numFmtId="176" fontId="13" fillId="0" borderId="4" xfId="2" applyNumberFormat="1" applyFont="1" applyFill="1" applyBorder="1">
      <alignment vertical="center"/>
    </xf>
    <xf numFmtId="176" fontId="13" fillId="6" borderId="4" xfId="2" applyNumberFormat="1" applyFont="1" applyFill="1" applyBorder="1">
      <alignment vertical="center"/>
    </xf>
    <xf numFmtId="176" fontId="13" fillId="7" borderId="4" xfId="2" applyNumberFormat="1" applyFont="1" applyFill="1" applyBorder="1">
      <alignment vertical="center"/>
    </xf>
    <xf numFmtId="41" fontId="13" fillId="8" borderId="0" xfId="1" applyFont="1" applyFill="1" applyBorder="1">
      <alignment vertical="center"/>
    </xf>
    <xf numFmtId="177" fontId="13" fillId="8" borderId="0" xfId="1" applyNumberFormat="1" applyFont="1" applyFill="1" applyBorder="1">
      <alignment vertical="center"/>
    </xf>
    <xf numFmtId="176" fontId="13" fillId="8" borderId="0" xfId="2" applyNumberFormat="1" applyFont="1" applyFill="1" applyBorder="1">
      <alignment vertical="center"/>
    </xf>
    <xf numFmtId="176" fontId="13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41" fontId="2" fillId="0" borderId="0" xfId="1" applyFont="1">
      <alignment vertical="center"/>
    </xf>
    <xf numFmtId="0" fontId="14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178" fontId="16" fillId="0" borderId="0" xfId="1" applyNumberFormat="1" applyFont="1" applyFill="1" applyBorder="1">
      <alignment vertical="center"/>
    </xf>
    <xf numFmtId="178" fontId="16" fillId="3" borderId="0" xfId="1" applyNumberFormat="1" applyFont="1" applyFill="1" applyBorder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52"/>
  <sheetViews>
    <sheetView showGridLines="0" view="pageBreakPreview" zoomScale="80" zoomScaleNormal="80" zoomScaleSheetLayoutView="80" workbookViewId="0">
      <selection activeCell="I14" sqref="I14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7" width="10" style="1" customWidth="1"/>
    <col min="8" max="10" width="11" style="1" customWidth="1"/>
    <col min="11" max="11" width="11" style="1" bestFit="1" customWidth="1"/>
    <col min="12" max="12" width="10.09765625" style="1" customWidth="1"/>
    <col min="13" max="13" width="10.5" style="1" customWidth="1"/>
    <col min="14" max="14" width="10.796875" style="1" customWidth="1"/>
    <col min="15" max="15" width="10.5" style="1" customWidth="1"/>
    <col min="16" max="16" width="10.3984375" style="1" customWidth="1"/>
    <col min="17" max="17" width="10.5" style="1" customWidth="1"/>
    <col min="18" max="18" width="14.19921875" style="1" bestFit="1" customWidth="1"/>
    <col min="19" max="16384" width="9" style="1"/>
  </cols>
  <sheetData>
    <row r="2" spans="1:17" ht="21">
      <c r="B2" s="10" t="s">
        <v>18</v>
      </c>
    </row>
    <row r="3" spans="1:17">
      <c r="B3" s="11" t="s">
        <v>19</v>
      </c>
    </row>
    <row r="4" spans="1:17" ht="13.5" customHeight="1">
      <c r="C4" s="27"/>
      <c r="D4" s="27"/>
      <c r="E4" s="27"/>
      <c r="F4" s="27"/>
      <c r="G4" s="27"/>
      <c r="Q4" s="98"/>
    </row>
    <row r="5" spans="1:17" ht="19.8" thickBot="1">
      <c r="A5" s="3" t="s">
        <v>20</v>
      </c>
      <c r="B5" s="2" t="s">
        <v>21</v>
      </c>
      <c r="C5" s="54" t="s">
        <v>64</v>
      </c>
      <c r="D5" s="54" t="s">
        <v>65</v>
      </c>
      <c r="E5" s="54" t="s">
        <v>69</v>
      </c>
      <c r="F5" s="54" t="s">
        <v>71</v>
      </c>
      <c r="G5" s="54">
        <v>2021</v>
      </c>
      <c r="H5" s="54" t="s">
        <v>72</v>
      </c>
      <c r="I5" s="54" t="s">
        <v>73</v>
      </c>
      <c r="J5" s="54" t="s">
        <v>75</v>
      </c>
      <c r="K5" s="54" t="s">
        <v>77</v>
      </c>
      <c r="L5" s="54">
        <v>2022</v>
      </c>
      <c r="M5" s="54" t="s">
        <v>79</v>
      </c>
      <c r="N5" s="54" t="s">
        <v>80</v>
      </c>
      <c r="O5" s="54" t="s">
        <v>81</v>
      </c>
      <c r="P5" s="54" t="s">
        <v>82</v>
      </c>
      <c r="Q5" s="54">
        <v>2023</v>
      </c>
    </row>
    <row r="6" spans="1:17">
      <c r="B6" s="8" t="s">
        <v>22</v>
      </c>
      <c r="C6" s="53">
        <v>4574.4529000000002</v>
      </c>
      <c r="D6" s="53">
        <v>4478.8</v>
      </c>
      <c r="E6" s="53">
        <v>4664.7</v>
      </c>
      <c r="F6" s="53">
        <v>4669.5</v>
      </c>
      <c r="G6" s="60">
        <v>18387.400000000001</v>
      </c>
      <c r="H6" s="56">
        <v>4608.3999999999996</v>
      </c>
      <c r="I6" s="56">
        <v>4517.8</v>
      </c>
      <c r="J6" s="56">
        <v>4590.2</v>
      </c>
      <c r="K6" s="56">
        <v>4572.8</v>
      </c>
      <c r="L6" s="60">
        <v>18289.2</v>
      </c>
      <c r="M6" s="64">
        <v>4619</v>
      </c>
      <c r="N6" s="64">
        <v>4487.3999999999996</v>
      </c>
      <c r="O6" s="64">
        <v>4673</v>
      </c>
      <c r="P6" s="64">
        <v>4592</v>
      </c>
      <c r="Q6" s="60">
        <v>18371.400000000001</v>
      </c>
    </row>
    <row r="7" spans="1:17">
      <c r="B7" s="5" t="s">
        <v>84</v>
      </c>
      <c r="C7" s="53">
        <v>3824</v>
      </c>
      <c r="D7" s="53">
        <v>3867.3</v>
      </c>
      <c r="E7" s="53">
        <v>3920.1</v>
      </c>
      <c r="F7" s="53">
        <v>3892.7</v>
      </c>
      <c r="G7" s="60">
        <v>15504.1</v>
      </c>
      <c r="H7" s="56">
        <v>3962.1</v>
      </c>
      <c r="I7" s="56">
        <v>3937.3</v>
      </c>
      <c r="J7" s="56">
        <v>3944.4</v>
      </c>
      <c r="K7" s="56">
        <v>3923.3</v>
      </c>
      <c r="L7" s="60">
        <v>15767.2</v>
      </c>
      <c r="M7" s="64">
        <v>3952.6</v>
      </c>
      <c r="N7" s="64">
        <v>4018.6</v>
      </c>
      <c r="O7" s="64">
        <v>4020</v>
      </c>
      <c r="P7" s="64">
        <v>3941.2</v>
      </c>
      <c r="Q7" s="60">
        <v>15932.400000000001</v>
      </c>
    </row>
    <row r="8" spans="1:17">
      <c r="B8" s="5" t="s">
        <v>85</v>
      </c>
      <c r="C8" s="53">
        <v>750.4</v>
      </c>
      <c r="D8" s="53">
        <v>611.5</v>
      </c>
      <c r="E8" s="53">
        <v>744.6</v>
      </c>
      <c r="F8" s="53">
        <v>776.8</v>
      </c>
      <c r="G8" s="60">
        <v>2883.4</v>
      </c>
      <c r="H8" s="56">
        <v>646.20000000000005</v>
      </c>
      <c r="I8" s="56">
        <v>580.5</v>
      </c>
      <c r="J8" s="56">
        <v>645.79999999999995</v>
      </c>
      <c r="K8" s="56">
        <v>649.5</v>
      </c>
      <c r="L8" s="60">
        <v>2522.1</v>
      </c>
      <c r="M8" s="64">
        <v>666.4</v>
      </c>
      <c r="N8" s="64">
        <v>468.8</v>
      </c>
      <c r="O8" s="64">
        <v>653</v>
      </c>
      <c r="P8" s="64">
        <v>650.79999999999995</v>
      </c>
      <c r="Q8" s="60">
        <v>2439</v>
      </c>
    </row>
    <row r="9" spans="1:17">
      <c r="B9" s="5" t="s">
        <v>23</v>
      </c>
      <c r="C9" s="53">
        <v>366</v>
      </c>
      <c r="D9" s="53">
        <v>351.2</v>
      </c>
      <c r="E9" s="53">
        <v>259.10000000000002</v>
      </c>
      <c r="F9" s="53">
        <v>92</v>
      </c>
      <c r="G9" s="60">
        <v>1068.2</v>
      </c>
      <c r="H9" s="17">
        <v>429.9</v>
      </c>
      <c r="I9" s="17">
        <v>303.5</v>
      </c>
      <c r="J9" s="17">
        <v>323.60000000000002</v>
      </c>
      <c r="K9" s="17">
        <v>111.1</v>
      </c>
      <c r="L9" s="60">
        <v>1168.0999999999999</v>
      </c>
      <c r="M9" s="64">
        <v>388.1</v>
      </c>
      <c r="N9" s="64">
        <v>407.5</v>
      </c>
      <c r="O9" s="64">
        <v>193.5</v>
      </c>
      <c r="P9" s="64">
        <v>196.3</v>
      </c>
      <c r="Q9" s="60">
        <v>1185.4000000000001</v>
      </c>
    </row>
    <row r="10" spans="1:17">
      <c r="B10" s="6" t="s">
        <v>24</v>
      </c>
      <c r="C10" s="18">
        <v>334.4</v>
      </c>
      <c r="D10" s="18">
        <v>296.8</v>
      </c>
      <c r="E10" s="18">
        <v>228.7</v>
      </c>
      <c r="F10" s="18">
        <v>130.6</v>
      </c>
      <c r="G10" s="61">
        <v>990.5</v>
      </c>
      <c r="H10" s="18">
        <v>391</v>
      </c>
      <c r="I10" s="18">
        <v>24.4</v>
      </c>
      <c r="J10" s="18">
        <v>240.3</v>
      </c>
      <c r="K10" s="18">
        <v>108.1</v>
      </c>
      <c r="L10" s="61">
        <v>763.7</v>
      </c>
      <c r="M10" s="26">
        <v>319.89999999999998</v>
      </c>
      <c r="N10" s="26">
        <v>305.10000000000002</v>
      </c>
      <c r="O10" s="26">
        <v>210.6</v>
      </c>
      <c r="P10" s="26">
        <v>97.8</v>
      </c>
      <c r="Q10" s="61">
        <v>933.3</v>
      </c>
    </row>
    <row r="11" spans="1:17">
      <c r="B11" s="12" t="s">
        <v>25</v>
      </c>
      <c r="C11" s="53">
        <v>1173.5999999999999</v>
      </c>
      <c r="D11" s="53">
        <v>1159.4000000000001</v>
      </c>
      <c r="E11" s="53">
        <v>1061.0999999999999</v>
      </c>
      <c r="F11" s="53">
        <v>891.8</v>
      </c>
      <c r="G11" s="43">
        <v>4285900</v>
      </c>
      <c r="H11" s="53">
        <v>1217.1465895239999</v>
      </c>
      <c r="I11" s="53">
        <v>1070.9000000000001</v>
      </c>
      <c r="J11" s="53">
        <v>1096.5</v>
      </c>
      <c r="K11" s="53">
        <v>889.4</v>
      </c>
      <c r="L11" s="60">
        <v>4273.8999999999996</v>
      </c>
      <c r="M11" s="64">
        <v>1167.4000000000001</v>
      </c>
      <c r="N11" s="64">
        <v>1190</v>
      </c>
      <c r="O11" s="64">
        <v>979.9</v>
      </c>
      <c r="P11" s="64">
        <v>1031.5</v>
      </c>
      <c r="Q11" s="60">
        <v>4368.7</v>
      </c>
    </row>
    <row r="12" spans="1:17" ht="18" thickBot="1">
      <c r="B12" s="21" t="s">
        <v>26</v>
      </c>
      <c r="C12" s="19">
        <v>0.25700000000000001</v>
      </c>
      <c r="D12" s="19">
        <v>0.25900000000000001</v>
      </c>
      <c r="E12" s="19">
        <v>0.22700000000000001</v>
      </c>
      <c r="F12" s="40">
        <v>0.191</v>
      </c>
      <c r="G12" s="47">
        <v>0.23300000000000001</v>
      </c>
      <c r="H12" s="40">
        <v>0.26411541205279909</v>
      </c>
      <c r="I12" s="40">
        <v>0.23699999999999999</v>
      </c>
      <c r="J12" s="40">
        <v>0.23899999999999999</v>
      </c>
      <c r="K12" s="40">
        <v>0.19500000000000001</v>
      </c>
      <c r="L12" s="47">
        <v>0.23400000000000001</v>
      </c>
      <c r="M12" s="19">
        <v>0.253</v>
      </c>
      <c r="N12" s="19">
        <v>0.26500000000000001</v>
      </c>
      <c r="O12" s="19">
        <v>0.21</v>
      </c>
      <c r="P12" s="19">
        <v>0.22500000000000001</v>
      </c>
      <c r="Q12" s="47">
        <v>0.23799999999999999</v>
      </c>
    </row>
    <row r="13" spans="1:17">
      <c r="C13" s="25"/>
      <c r="D13" s="25"/>
      <c r="E13" s="25"/>
      <c r="F13" s="25"/>
      <c r="G13" s="25"/>
      <c r="L13" s="25"/>
      <c r="M13" s="25"/>
      <c r="N13" s="25"/>
      <c r="O13" s="25"/>
      <c r="P13" s="25"/>
      <c r="Q13" s="25"/>
    </row>
    <row r="14" spans="1:17" ht="19.8" thickBot="1">
      <c r="A14" s="3" t="s">
        <v>27</v>
      </c>
      <c r="B14" s="2" t="s">
        <v>28</v>
      </c>
      <c r="C14" s="54" t="s">
        <v>64</v>
      </c>
      <c r="D14" s="54" t="s">
        <v>65</v>
      </c>
      <c r="E14" s="54" t="s">
        <v>69</v>
      </c>
      <c r="F14" s="54" t="s">
        <v>71</v>
      </c>
      <c r="G14" s="54">
        <v>2021</v>
      </c>
      <c r="H14" s="54" t="s">
        <v>72</v>
      </c>
      <c r="I14" s="54" t="s">
        <v>73</v>
      </c>
      <c r="J14" s="54" t="s">
        <v>75</v>
      </c>
      <c r="K14" s="54" t="s">
        <v>77</v>
      </c>
      <c r="L14" s="54">
        <v>2022</v>
      </c>
      <c r="M14" s="54" t="s">
        <v>79</v>
      </c>
      <c r="N14" s="54" t="s">
        <v>80</v>
      </c>
      <c r="O14" s="54" t="s">
        <v>81</v>
      </c>
      <c r="P14" s="54" t="s">
        <v>82</v>
      </c>
      <c r="Q14" s="54">
        <v>2023</v>
      </c>
    </row>
    <row r="15" spans="1:17">
      <c r="B15" s="8" t="s">
        <v>29</v>
      </c>
      <c r="C15" s="66">
        <v>289.39999999999998</v>
      </c>
      <c r="D15" s="66">
        <v>574.70000000000005</v>
      </c>
      <c r="E15" s="66">
        <v>600.70000000000005</v>
      </c>
      <c r="F15" s="66">
        <v>1390.3</v>
      </c>
      <c r="G15" s="73">
        <v>2855.1</v>
      </c>
      <c r="H15" s="66">
        <v>346.4</v>
      </c>
      <c r="I15" s="66">
        <v>1055.8</v>
      </c>
      <c r="J15" s="66">
        <v>461.8</v>
      </c>
      <c r="K15" s="66">
        <v>856.6</v>
      </c>
      <c r="L15" s="73">
        <v>2720.6</v>
      </c>
      <c r="M15" s="66">
        <v>313.5</v>
      </c>
      <c r="N15" s="66">
        <v>685</v>
      </c>
      <c r="O15" s="66">
        <v>601.9</v>
      </c>
      <c r="P15" s="66">
        <v>811.2</v>
      </c>
      <c r="Q15" s="73">
        <v>2411.6</v>
      </c>
    </row>
    <row r="16" spans="1:17">
      <c r="B16" s="5" t="s">
        <v>30</v>
      </c>
      <c r="C16" s="66">
        <v>149.69999999999999</v>
      </c>
      <c r="D16" s="66">
        <v>292.7</v>
      </c>
      <c r="E16" s="66">
        <v>288.10000000000002</v>
      </c>
      <c r="F16" s="66">
        <v>505.7</v>
      </c>
      <c r="G16" s="73">
        <v>1236.2</v>
      </c>
      <c r="H16" s="66">
        <v>188.7</v>
      </c>
      <c r="I16" s="66">
        <v>512.5</v>
      </c>
      <c r="J16" s="67"/>
      <c r="K16" s="67"/>
      <c r="L16" s="68"/>
      <c r="M16" s="67"/>
      <c r="N16" s="67"/>
      <c r="O16" s="67"/>
      <c r="P16" s="67"/>
      <c r="Q16" s="68"/>
    </row>
    <row r="17" spans="1:17">
      <c r="B17" s="5" t="s">
        <v>31</v>
      </c>
      <c r="C17" s="66">
        <v>34.200000000000003</v>
      </c>
      <c r="D17" s="66">
        <v>88.3</v>
      </c>
      <c r="E17" s="66">
        <v>105.8</v>
      </c>
      <c r="F17" s="66">
        <v>495.3</v>
      </c>
      <c r="G17" s="73">
        <v>723.6</v>
      </c>
      <c r="H17" s="66">
        <v>43.7</v>
      </c>
      <c r="I17" s="66">
        <v>303.2</v>
      </c>
      <c r="J17" s="67"/>
      <c r="K17" s="67"/>
      <c r="L17" s="68"/>
      <c r="M17" s="67"/>
      <c r="N17" s="67"/>
      <c r="O17" s="67"/>
      <c r="P17" s="67"/>
      <c r="Q17" s="68"/>
    </row>
    <row r="18" spans="1:17">
      <c r="B18" s="5" t="s">
        <v>32</v>
      </c>
      <c r="C18" s="66">
        <v>61.1</v>
      </c>
      <c r="D18" s="66">
        <v>68</v>
      </c>
      <c r="E18" s="66">
        <v>88.8</v>
      </c>
      <c r="F18" s="66">
        <v>216</v>
      </c>
      <c r="G18" s="73">
        <v>433.9</v>
      </c>
      <c r="H18" s="66">
        <v>50.6</v>
      </c>
      <c r="I18" s="66">
        <v>121.1</v>
      </c>
      <c r="J18" s="67"/>
      <c r="K18" s="67"/>
      <c r="L18" s="68"/>
      <c r="M18" s="67"/>
      <c r="N18" s="67"/>
      <c r="O18" s="67"/>
      <c r="P18" s="67"/>
      <c r="Q18" s="68"/>
    </row>
    <row r="19" spans="1:17">
      <c r="B19" s="6" t="s">
        <v>33</v>
      </c>
      <c r="C19" s="72">
        <v>44.4</v>
      </c>
      <c r="D19" s="72">
        <v>125.7</v>
      </c>
      <c r="E19" s="72">
        <v>118</v>
      </c>
      <c r="F19" s="72">
        <v>173.3</v>
      </c>
      <c r="G19" s="74">
        <v>461.4</v>
      </c>
      <c r="H19" s="72">
        <v>63.4</v>
      </c>
      <c r="I19" s="72">
        <v>119</v>
      </c>
      <c r="J19" s="72"/>
      <c r="K19" s="69"/>
      <c r="L19" s="76"/>
      <c r="M19" s="69"/>
      <c r="N19" s="70"/>
      <c r="O19" s="70"/>
      <c r="P19" s="70"/>
      <c r="Q19" s="94"/>
    </row>
    <row r="20" spans="1:17" ht="18" thickBot="1">
      <c r="B20" s="9" t="s">
        <v>34</v>
      </c>
      <c r="C20" s="71">
        <v>807.67430000000002</v>
      </c>
      <c r="D20" s="71">
        <v>808.19439999999997</v>
      </c>
      <c r="E20" s="71">
        <v>801.95479560900003</v>
      </c>
      <c r="F20" s="71">
        <v>799.8</v>
      </c>
      <c r="G20" s="75">
        <v>3217.7</v>
      </c>
      <c r="H20" s="71">
        <v>787.3</v>
      </c>
      <c r="I20" s="71">
        <v>767.4</v>
      </c>
      <c r="J20" s="71">
        <v>772.9</v>
      </c>
      <c r="K20" s="71">
        <v>778.3</v>
      </c>
      <c r="L20" s="75">
        <v>3105.8</v>
      </c>
      <c r="M20" s="71">
        <v>779.1</v>
      </c>
      <c r="N20" s="71">
        <v>782.7</v>
      </c>
      <c r="O20" s="71">
        <v>786.5</v>
      </c>
      <c r="P20" s="71">
        <v>835.1</v>
      </c>
      <c r="Q20" s="75">
        <v>3183.4</v>
      </c>
    </row>
    <row r="21" spans="1:17">
      <c r="C21" s="25"/>
      <c r="D21" s="25"/>
      <c r="E21" s="25"/>
      <c r="F21" s="25"/>
      <c r="G21" s="25"/>
      <c r="L21" s="25"/>
      <c r="M21" s="25"/>
      <c r="N21" s="25"/>
      <c r="O21" s="25"/>
      <c r="P21" s="25"/>
      <c r="Q21" s="25"/>
    </row>
    <row r="22" spans="1:17" ht="19.8" thickBot="1">
      <c r="A22" s="3" t="s">
        <v>35</v>
      </c>
      <c r="B22" s="2" t="s">
        <v>36</v>
      </c>
      <c r="C22" s="54" t="s">
        <v>64</v>
      </c>
      <c r="D22" s="54" t="s">
        <v>65</v>
      </c>
      <c r="E22" s="54" t="s">
        <v>69</v>
      </c>
      <c r="F22" s="54" t="s">
        <v>71</v>
      </c>
      <c r="G22" s="54">
        <v>2021</v>
      </c>
      <c r="H22" s="54" t="s">
        <v>72</v>
      </c>
      <c r="I22" s="54" t="s">
        <v>73</v>
      </c>
      <c r="J22" s="54" t="s">
        <v>75</v>
      </c>
      <c r="K22" s="54" t="s">
        <v>77</v>
      </c>
      <c r="L22" s="54">
        <v>2022</v>
      </c>
      <c r="M22" s="54" t="s">
        <v>79</v>
      </c>
      <c r="N22" s="54" t="s">
        <v>80</v>
      </c>
      <c r="O22" s="54" t="s">
        <v>81</v>
      </c>
      <c r="P22" s="54" t="s">
        <v>82</v>
      </c>
      <c r="Q22" s="54">
        <v>2023</v>
      </c>
    </row>
    <row r="23" spans="1:17">
      <c r="B23" s="8" t="s">
        <v>37</v>
      </c>
      <c r="C23" s="27">
        <v>7177569.4000000004</v>
      </c>
      <c r="D23" s="27">
        <v>7089376.9000000004</v>
      </c>
      <c r="E23" s="27">
        <v>7143123.2330109999</v>
      </c>
      <c r="F23" s="27">
        <v>6949700</v>
      </c>
      <c r="G23" s="43">
        <v>6949700</v>
      </c>
      <c r="H23" s="27">
        <v>7275200</v>
      </c>
      <c r="I23" s="27">
        <v>8038700</v>
      </c>
      <c r="J23" s="27">
        <v>8208700</v>
      </c>
      <c r="K23" s="27">
        <v>7495700</v>
      </c>
      <c r="L23" s="43">
        <v>7495700</v>
      </c>
      <c r="M23" s="27">
        <v>8035300</v>
      </c>
      <c r="N23" s="27">
        <v>7337100</v>
      </c>
      <c r="O23" s="65">
        <v>7671.3</v>
      </c>
      <c r="P23" s="65">
        <v>7559.9</v>
      </c>
      <c r="Q23" s="43">
        <v>7559900</v>
      </c>
    </row>
    <row r="24" spans="1:17">
      <c r="B24" s="6" t="s">
        <v>38</v>
      </c>
      <c r="C24" s="28">
        <v>5613203.4000000004</v>
      </c>
      <c r="D24" s="28">
        <v>5162722.2</v>
      </c>
      <c r="E24" s="28">
        <v>5313672.7414610004</v>
      </c>
      <c r="F24" s="28">
        <v>5240900</v>
      </c>
      <c r="G24" s="44">
        <v>5240900</v>
      </c>
      <c r="H24" s="28">
        <v>5779200</v>
      </c>
      <c r="I24" s="28">
        <v>6446300</v>
      </c>
      <c r="J24" s="28">
        <v>6563600</v>
      </c>
      <c r="K24" s="28">
        <v>6529400</v>
      </c>
      <c r="L24" s="44">
        <v>6529400</v>
      </c>
      <c r="M24" s="28">
        <v>7168900</v>
      </c>
      <c r="N24" s="28">
        <v>6711400</v>
      </c>
      <c r="O24" s="77">
        <v>6194</v>
      </c>
      <c r="P24" s="77">
        <v>6317.9</v>
      </c>
      <c r="Q24" s="44">
        <v>6317900</v>
      </c>
    </row>
    <row r="25" spans="1:17">
      <c r="B25" s="5" t="s">
        <v>39</v>
      </c>
      <c r="C25" s="23">
        <v>0.43099999999999999</v>
      </c>
      <c r="D25" s="23">
        <v>0.38700000000000001</v>
      </c>
      <c r="E25" s="23">
        <v>0.39096218632545254</v>
      </c>
      <c r="F25" s="23">
        <v>0.378</v>
      </c>
      <c r="G25" s="46">
        <v>0.378</v>
      </c>
      <c r="H25" s="23">
        <v>0.41899999999999998</v>
      </c>
      <c r="I25" s="23">
        <v>0.46800000000000003</v>
      </c>
      <c r="J25" s="23">
        <v>0.44800000000000001</v>
      </c>
      <c r="K25" s="23">
        <v>0.439</v>
      </c>
      <c r="L25" s="46">
        <v>0.439</v>
      </c>
      <c r="M25" s="23">
        <v>0.49</v>
      </c>
      <c r="N25" s="23">
        <v>0.45400000000000001</v>
      </c>
      <c r="O25" s="23">
        <v>0.41299999999999998</v>
      </c>
      <c r="P25" s="23">
        <v>0.42</v>
      </c>
      <c r="Q25" s="46">
        <v>0.42</v>
      </c>
    </row>
    <row r="26" spans="1:17" ht="18" thickBot="1">
      <c r="B26" s="9" t="s">
        <v>40</v>
      </c>
      <c r="C26" s="24"/>
      <c r="D26" s="24"/>
      <c r="E26" s="24"/>
      <c r="F26" s="24"/>
      <c r="G26" s="48">
        <v>1.2228288302647552</v>
      </c>
      <c r="H26" s="24"/>
      <c r="I26" s="24"/>
      <c r="J26" s="24"/>
      <c r="K26" s="24"/>
      <c r="L26" s="48">
        <v>1.5</v>
      </c>
      <c r="M26" s="24"/>
      <c r="N26" s="24"/>
      <c r="O26" s="24"/>
      <c r="P26" s="24"/>
      <c r="Q26" s="48">
        <v>1.4</v>
      </c>
    </row>
    <row r="27" spans="1:17">
      <c r="B27" s="35">
        <v>261111.80799999999</v>
      </c>
    </row>
    <row r="28" spans="1:17" ht="19.8" thickBot="1">
      <c r="A28" s="3" t="s">
        <v>41</v>
      </c>
      <c r="B28" s="2" t="s">
        <v>42</v>
      </c>
      <c r="C28" s="54" t="s">
        <v>64</v>
      </c>
      <c r="D28" s="54" t="s">
        <v>65</v>
      </c>
      <c r="E28" s="54" t="s">
        <v>69</v>
      </c>
      <c r="F28" s="54" t="s">
        <v>71</v>
      </c>
      <c r="G28" s="54">
        <v>2021</v>
      </c>
      <c r="H28" s="54" t="s">
        <v>72</v>
      </c>
      <c r="I28" s="54" t="s">
        <v>73</v>
      </c>
      <c r="J28" s="54" t="s">
        <v>75</v>
      </c>
      <c r="K28" s="54" t="s">
        <v>77</v>
      </c>
      <c r="L28" s="54">
        <v>2022</v>
      </c>
      <c r="M28" s="54" t="s">
        <v>79</v>
      </c>
      <c r="N28" s="54" t="s">
        <v>80</v>
      </c>
      <c r="O28" s="54" t="s">
        <v>81</v>
      </c>
      <c r="P28" s="54" t="s">
        <v>82</v>
      </c>
      <c r="Q28" s="54">
        <v>2023</v>
      </c>
    </row>
    <row r="29" spans="1:17">
      <c r="B29" s="8" t="s">
        <v>43</v>
      </c>
      <c r="C29" s="22">
        <f>261111.808-C30</f>
        <v>234241.24400000001</v>
      </c>
      <c r="D29" s="22">
        <f>261111.808-D30</f>
        <v>234241.20799999998</v>
      </c>
      <c r="E29" s="22">
        <f>261111.808-E30</f>
        <v>234375.80799999999</v>
      </c>
      <c r="F29" s="22">
        <f>261111.808-F30</f>
        <v>235808.10799999998</v>
      </c>
      <c r="G29" s="49">
        <v>235808.1</v>
      </c>
      <c r="H29" s="22">
        <f>261111.808-H30</f>
        <v>235808.10799999998</v>
      </c>
      <c r="I29" s="22">
        <f>261111.808-I30</f>
        <v>235937.10799999998</v>
      </c>
      <c r="J29" s="22">
        <f>261111.808-J30</f>
        <v>256042.70799999998</v>
      </c>
      <c r="K29" s="22">
        <f>261111.808-K30</f>
        <v>256042.70799999998</v>
      </c>
      <c r="L29" s="49">
        <v>256042.7</v>
      </c>
      <c r="M29" s="22">
        <f>261111.808-M30</f>
        <v>256042.70799999998</v>
      </c>
      <c r="N29" s="30">
        <f>261111.808-N30</f>
        <v>246286.726</v>
      </c>
      <c r="O29" s="59">
        <f>257860.76-O30</f>
        <v>246413.42200000002</v>
      </c>
      <c r="P29" s="59">
        <f>257860.76-P30</f>
        <v>246413.42200000002</v>
      </c>
      <c r="Q29" s="49">
        <f>257860.76-Q30</f>
        <v>246413.42200000002</v>
      </c>
    </row>
    <row r="30" spans="1:17">
      <c r="B30" s="5" t="s">
        <v>44</v>
      </c>
      <c r="C30" s="22">
        <v>26870.563999999998</v>
      </c>
      <c r="D30" s="22">
        <v>26870.6</v>
      </c>
      <c r="E30" s="22">
        <v>26736</v>
      </c>
      <c r="F30" s="22">
        <v>25303.7</v>
      </c>
      <c r="G30" s="49">
        <v>25303.7</v>
      </c>
      <c r="H30" s="59">
        <v>25303.7</v>
      </c>
      <c r="I30" s="59">
        <v>25174.7</v>
      </c>
      <c r="J30" s="59">
        <v>5069.1000000000004</v>
      </c>
      <c r="K30" s="59">
        <v>5069.1000000000004</v>
      </c>
      <c r="L30" s="49">
        <v>5069.1000000000004</v>
      </c>
      <c r="M30" s="59">
        <v>5069.1000000000004</v>
      </c>
      <c r="N30" s="59">
        <v>14825.082</v>
      </c>
      <c r="O30" s="59">
        <v>11447.338</v>
      </c>
      <c r="P30" s="59">
        <v>11447.338</v>
      </c>
      <c r="Q30" s="49">
        <v>11447.338</v>
      </c>
    </row>
    <row r="31" spans="1:17">
      <c r="B31" s="6" t="s">
        <v>45</v>
      </c>
      <c r="C31" s="29">
        <v>28250</v>
      </c>
      <c r="D31" s="29">
        <v>31800</v>
      </c>
      <c r="E31" s="29">
        <v>32600</v>
      </c>
      <c r="F31" s="29">
        <v>30600</v>
      </c>
      <c r="G31" s="50">
        <v>30600</v>
      </c>
      <c r="H31" s="42">
        <v>35700</v>
      </c>
      <c r="I31" s="42">
        <v>36450</v>
      </c>
      <c r="J31" s="42">
        <v>36200</v>
      </c>
      <c r="K31" s="42">
        <v>33800</v>
      </c>
      <c r="L31" s="50">
        <v>33800</v>
      </c>
      <c r="M31" s="42">
        <v>29450</v>
      </c>
      <c r="N31" s="42">
        <v>29800</v>
      </c>
      <c r="O31" s="42">
        <v>33150</v>
      </c>
      <c r="P31" s="42">
        <v>34400</v>
      </c>
      <c r="Q31" s="50">
        <v>34400</v>
      </c>
    </row>
    <row r="32" spans="1:17">
      <c r="B32" s="5" t="s">
        <v>46</v>
      </c>
      <c r="C32" s="22"/>
      <c r="D32" s="22"/>
      <c r="E32" s="22"/>
      <c r="F32" s="22"/>
      <c r="G32" s="49">
        <v>1910</v>
      </c>
      <c r="H32" s="22"/>
      <c r="I32" s="22"/>
      <c r="J32" s="22"/>
      <c r="K32" s="22"/>
      <c r="L32" s="49">
        <v>1960</v>
      </c>
      <c r="M32" s="22"/>
      <c r="N32" s="22"/>
      <c r="O32" s="22"/>
      <c r="P32" s="22"/>
      <c r="Q32" s="49">
        <v>1960</v>
      </c>
    </row>
    <row r="33" spans="1:17">
      <c r="B33" s="4" t="s">
        <v>47</v>
      </c>
      <c r="C33" s="30"/>
      <c r="D33" s="30"/>
      <c r="E33" s="30"/>
      <c r="F33" s="30"/>
      <c r="G33" s="51">
        <v>450.4</v>
      </c>
      <c r="H33" s="30"/>
      <c r="I33" s="30"/>
      <c r="J33" s="30"/>
      <c r="K33" s="30"/>
      <c r="L33" s="51">
        <v>501.8</v>
      </c>
      <c r="M33" s="30"/>
      <c r="N33" s="30"/>
      <c r="O33" s="30"/>
      <c r="P33" s="30"/>
      <c r="Q33" s="51">
        <v>510.1</v>
      </c>
    </row>
    <row r="34" spans="1:17">
      <c r="B34" s="5" t="s">
        <v>48</v>
      </c>
      <c r="C34" s="20"/>
      <c r="D34" s="20"/>
      <c r="E34" s="20"/>
      <c r="F34" s="20"/>
      <c r="G34" s="52">
        <v>450.4</v>
      </c>
      <c r="H34" s="20"/>
      <c r="I34" s="20"/>
      <c r="J34" s="20"/>
      <c r="K34" s="20"/>
      <c r="L34" s="52">
        <v>501.8</v>
      </c>
      <c r="M34" s="20"/>
      <c r="N34" s="20"/>
      <c r="O34" s="20"/>
      <c r="P34" s="20"/>
      <c r="Q34" s="52">
        <v>483</v>
      </c>
    </row>
    <row r="35" spans="1:17">
      <c r="B35" s="6" t="s">
        <v>49</v>
      </c>
      <c r="C35" s="29"/>
      <c r="D35" s="29"/>
      <c r="E35" s="29"/>
      <c r="F35" s="29"/>
      <c r="G35" s="50"/>
      <c r="H35" s="29"/>
      <c r="I35" s="29"/>
      <c r="J35" s="29"/>
      <c r="K35" s="29"/>
      <c r="L35" s="50"/>
      <c r="M35" s="29"/>
      <c r="N35" s="29"/>
      <c r="O35" s="29"/>
      <c r="P35" s="29"/>
      <c r="Q35" s="61">
        <v>27.1</v>
      </c>
    </row>
    <row r="36" spans="1:17" ht="18" thickBot="1">
      <c r="B36" s="9" t="s">
        <v>50</v>
      </c>
      <c r="C36" s="55"/>
      <c r="D36" s="55"/>
      <c r="E36" s="55"/>
      <c r="F36" s="19"/>
      <c r="G36" s="47">
        <v>0.45500000000000002</v>
      </c>
      <c r="H36" s="19"/>
      <c r="I36" s="19"/>
      <c r="J36" s="19"/>
      <c r="K36" s="19"/>
      <c r="L36" s="47">
        <v>0.65700000000000003</v>
      </c>
      <c r="M36" s="19"/>
      <c r="N36" s="19"/>
      <c r="O36" s="19"/>
      <c r="P36" s="19"/>
      <c r="Q36" s="47">
        <f>Q33/Q10</f>
        <v>0.54655523411550422</v>
      </c>
    </row>
    <row r="37" spans="1:17">
      <c r="F37" s="25"/>
      <c r="G37" s="63"/>
    </row>
    <row r="38" spans="1:17" ht="19.8" thickBot="1">
      <c r="A38" s="3" t="s">
        <v>51</v>
      </c>
      <c r="B38" s="2" t="s">
        <v>52</v>
      </c>
      <c r="C38" s="78">
        <v>2020</v>
      </c>
      <c r="D38" s="78">
        <v>2021</v>
      </c>
      <c r="E38" s="78">
        <v>2022</v>
      </c>
      <c r="F38" s="78">
        <v>2023</v>
      </c>
      <c r="I38" s="63"/>
    </row>
    <row r="39" spans="1:17">
      <c r="B39" s="34" t="s">
        <v>53</v>
      </c>
      <c r="C39" s="79">
        <v>2751.7951483473948</v>
      </c>
      <c r="D39" s="80">
        <v>4200.4486138489892</v>
      </c>
      <c r="E39" s="90">
        <v>2983.1</v>
      </c>
      <c r="F39" s="49">
        <v>3619.3952115862839</v>
      </c>
      <c r="G39" s="62"/>
      <c r="L39" s="97"/>
      <c r="Q39" s="97"/>
    </row>
    <row r="40" spans="1:17">
      <c r="B40" s="12" t="s">
        <v>54</v>
      </c>
      <c r="C40" s="81">
        <v>8.7215794440270482</v>
      </c>
      <c r="D40" s="82">
        <v>7.2849361611307417</v>
      </c>
      <c r="E40" s="91">
        <v>11.33049512252355</v>
      </c>
      <c r="F40" s="83">
        <v>9.5043503096539173</v>
      </c>
    </row>
    <row r="41" spans="1:17">
      <c r="B41" s="12" t="s">
        <v>55</v>
      </c>
      <c r="C41" s="81">
        <v>2.8382569414446635</v>
      </c>
      <c r="D41" s="82">
        <v>3.0870812022679002</v>
      </c>
      <c r="E41" s="91">
        <v>3.5927324</v>
      </c>
      <c r="F41" s="83">
        <v>3.466358209627578</v>
      </c>
      <c r="G41" s="25"/>
    </row>
    <row r="42" spans="1:17">
      <c r="B42" s="12" t="s">
        <v>56</v>
      </c>
      <c r="C42" s="84">
        <v>5.1001935897905554E-2</v>
      </c>
      <c r="D42" s="85">
        <v>7.3184129265445971E-2</v>
      </c>
      <c r="E42" s="92">
        <v>5.2999999999999999E-2</v>
      </c>
      <c r="F42" s="86">
        <v>6.2424711167936457E-2</v>
      </c>
      <c r="G42" s="25"/>
    </row>
    <row r="43" spans="1:17" ht="18" thickBot="1">
      <c r="B43" s="21" t="s">
        <v>57</v>
      </c>
      <c r="C43" s="87">
        <v>2.3665953080260198E-2</v>
      </c>
      <c r="D43" s="88">
        <v>3.4517699795207184E-2</v>
      </c>
      <c r="E43" s="93">
        <v>2.5999999999999999E-2</v>
      </c>
      <c r="F43" s="89">
        <v>3.0752264722468607E-2</v>
      </c>
      <c r="G43" s="25"/>
    </row>
    <row r="44" spans="1:17">
      <c r="B44" s="25"/>
      <c r="C44" s="25"/>
      <c r="D44" s="25"/>
      <c r="E44" s="25"/>
      <c r="F44" s="25"/>
      <c r="G44" s="25"/>
    </row>
    <row r="45" spans="1:17">
      <c r="B45" s="25"/>
      <c r="C45" s="25"/>
      <c r="D45" s="25"/>
      <c r="E45" s="25"/>
      <c r="F45" s="25"/>
      <c r="G45" s="25"/>
    </row>
    <row r="46" spans="1:17">
      <c r="B46" s="25" t="s">
        <v>58</v>
      </c>
      <c r="C46" s="25"/>
      <c r="D46" s="25"/>
      <c r="E46" s="25"/>
      <c r="F46" s="25"/>
      <c r="G46" s="25"/>
    </row>
    <row r="47" spans="1:17">
      <c r="B47" s="25" t="s">
        <v>59</v>
      </c>
      <c r="C47" s="25"/>
      <c r="D47" s="25"/>
      <c r="E47" s="25"/>
      <c r="F47" s="25"/>
      <c r="G47" s="25"/>
    </row>
    <row r="48" spans="1:17">
      <c r="B48" s="25" t="s">
        <v>60</v>
      </c>
      <c r="C48" s="25"/>
      <c r="D48" s="25"/>
      <c r="E48" s="25"/>
      <c r="F48" s="25"/>
      <c r="G48" s="25"/>
    </row>
    <row r="49" spans="2:7">
      <c r="B49" s="25" t="s">
        <v>61</v>
      </c>
      <c r="C49" s="25"/>
      <c r="D49" s="25"/>
      <c r="E49" s="25"/>
      <c r="F49" s="25"/>
      <c r="G49" s="25"/>
    </row>
    <row r="50" spans="2:7">
      <c r="B50" s="25" t="s">
        <v>62</v>
      </c>
      <c r="C50" s="25"/>
      <c r="D50" s="25"/>
      <c r="E50" s="25"/>
      <c r="F50" s="25"/>
      <c r="G50" s="25"/>
    </row>
    <row r="51" spans="2:7">
      <c r="B51" s="25" t="s">
        <v>63</v>
      </c>
      <c r="C51" s="25"/>
      <c r="D51" s="25"/>
      <c r="E51" s="25"/>
      <c r="F51" s="25"/>
      <c r="G51" s="25"/>
    </row>
    <row r="52" spans="2:7">
      <c r="B52" s="25"/>
      <c r="C52" s="25"/>
      <c r="D52" s="25"/>
      <c r="E52" s="25"/>
      <c r="F52" s="25"/>
      <c r="G52" s="25"/>
    </row>
  </sheetData>
  <phoneticPr fontId="1" type="noConversion"/>
  <pageMargins left="0.25" right="0.25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R26"/>
  <sheetViews>
    <sheetView showGridLines="0" tabSelected="1" view="pageBreakPreview" zoomScale="70" zoomScaleNormal="80" zoomScaleSheetLayoutView="70" workbookViewId="0">
      <selection activeCell="B2" sqref="B2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7" width="9.19921875" style="1" customWidth="1"/>
    <col min="8" max="10" width="10.59765625" style="1" customWidth="1"/>
    <col min="11" max="12" width="9.59765625" style="1" customWidth="1"/>
    <col min="13" max="13" width="10.296875" style="1" customWidth="1"/>
    <col min="14" max="16384" width="9" style="1"/>
  </cols>
  <sheetData>
    <row r="2" spans="1:18" ht="21">
      <c r="B2" s="10" t="s">
        <v>8</v>
      </c>
    </row>
    <row r="3" spans="1:18">
      <c r="B3" s="11" t="s">
        <v>11</v>
      </c>
    </row>
    <row r="4" spans="1:18">
      <c r="B4" s="7"/>
      <c r="C4" s="36"/>
      <c r="Q4" s="100" t="s">
        <v>87</v>
      </c>
    </row>
    <row r="5" spans="1:18" ht="19.8" thickBot="1">
      <c r="A5" s="3" t="s">
        <v>6</v>
      </c>
      <c r="B5" s="2" t="s">
        <v>0</v>
      </c>
      <c r="C5" s="33" t="s">
        <v>64</v>
      </c>
      <c r="D5" s="33" t="s">
        <v>66</v>
      </c>
      <c r="E5" s="33" t="s">
        <v>70</v>
      </c>
      <c r="F5" s="33" t="s">
        <v>71</v>
      </c>
      <c r="G5" s="33">
        <v>2021</v>
      </c>
      <c r="H5" s="33" t="s">
        <v>72</v>
      </c>
      <c r="I5" s="33" t="s">
        <v>74</v>
      </c>
      <c r="J5" s="33" t="s">
        <v>76</v>
      </c>
      <c r="K5" s="33" t="s">
        <v>77</v>
      </c>
      <c r="L5" s="33">
        <v>2022</v>
      </c>
      <c r="M5" s="33" t="s">
        <v>78</v>
      </c>
      <c r="N5" s="33" t="s">
        <v>80</v>
      </c>
      <c r="O5" s="33" t="s">
        <v>81</v>
      </c>
      <c r="P5" s="33" t="s">
        <v>82</v>
      </c>
      <c r="Q5" s="33">
        <v>2023</v>
      </c>
    </row>
    <row r="6" spans="1:18">
      <c r="B6" s="8" t="s">
        <v>1</v>
      </c>
      <c r="C6" s="37">
        <v>6029400</v>
      </c>
      <c r="D6" s="27">
        <v>6027600</v>
      </c>
      <c r="E6" s="27">
        <v>6217400</v>
      </c>
      <c r="F6" s="27">
        <v>6623600</v>
      </c>
      <c r="G6" s="43">
        <v>24898000</v>
      </c>
      <c r="H6" s="27">
        <v>6277700</v>
      </c>
      <c r="I6" s="27">
        <v>6312200</v>
      </c>
      <c r="J6" s="27">
        <v>6477200</v>
      </c>
      <c r="K6" s="101">
        <v>6583000</v>
      </c>
      <c r="L6" s="43">
        <v>25650000</v>
      </c>
      <c r="M6" s="27">
        <v>6443700</v>
      </c>
      <c r="N6" s="27">
        <v>6547500</v>
      </c>
      <c r="O6" s="27">
        <v>6697400</v>
      </c>
      <c r="P6" s="101">
        <v>6687600</v>
      </c>
      <c r="Q6" s="102">
        <v>26376300</v>
      </c>
    </row>
    <row r="7" spans="1:18">
      <c r="B7" s="5" t="s">
        <v>84</v>
      </c>
      <c r="C7" s="37">
        <v>5159800</v>
      </c>
      <c r="D7" s="27">
        <v>5260200</v>
      </c>
      <c r="E7" s="27">
        <v>5306300</v>
      </c>
      <c r="F7" s="27">
        <v>5638700</v>
      </c>
      <c r="G7" s="43">
        <v>21365000</v>
      </c>
      <c r="H7" s="27">
        <v>5387100</v>
      </c>
      <c r="I7" s="27">
        <v>5563100</v>
      </c>
      <c r="J7" s="27">
        <v>5645000</v>
      </c>
      <c r="K7" s="27">
        <v>5650000</v>
      </c>
      <c r="L7" s="43">
        <v>22245200</v>
      </c>
      <c r="M7" s="27">
        <v>5597500</v>
      </c>
      <c r="N7" s="27">
        <v>5834400</v>
      </c>
      <c r="O7" s="27">
        <v>5842500</v>
      </c>
      <c r="P7" s="101">
        <v>6028200</v>
      </c>
      <c r="Q7" s="102">
        <v>23302600</v>
      </c>
    </row>
    <row r="8" spans="1:18">
      <c r="B8" s="5" t="s">
        <v>86</v>
      </c>
      <c r="C8" s="37">
        <v>869600</v>
      </c>
      <c r="D8" s="27">
        <v>767400</v>
      </c>
      <c r="E8" s="27">
        <v>911000</v>
      </c>
      <c r="F8" s="27">
        <v>984900</v>
      </c>
      <c r="G8" s="43">
        <v>3533000</v>
      </c>
      <c r="H8" s="27">
        <v>890600</v>
      </c>
      <c r="I8" s="27">
        <v>749100</v>
      </c>
      <c r="J8" s="27">
        <v>832200</v>
      </c>
      <c r="K8" s="27">
        <v>932900</v>
      </c>
      <c r="L8" s="43">
        <v>3404800</v>
      </c>
      <c r="M8" s="27">
        <v>846100</v>
      </c>
      <c r="N8" s="27">
        <v>713100</v>
      </c>
      <c r="O8" s="27">
        <v>855000</v>
      </c>
      <c r="P8" s="101">
        <v>659500</v>
      </c>
      <c r="Q8" s="102">
        <v>3073700</v>
      </c>
    </row>
    <row r="9" spans="1:18">
      <c r="B9" s="5" t="s">
        <v>2</v>
      </c>
      <c r="C9" s="37">
        <v>444200</v>
      </c>
      <c r="D9" s="27">
        <v>475800</v>
      </c>
      <c r="E9" s="27">
        <v>382400</v>
      </c>
      <c r="F9" s="27">
        <v>369400</v>
      </c>
      <c r="G9" s="43">
        <v>1671800</v>
      </c>
      <c r="H9" s="27">
        <v>626600</v>
      </c>
      <c r="I9" s="27">
        <v>459200</v>
      </c>
      <c r="J9" s="27">
        <v>452900</v>
      </c>
      <c r="K9" s="27">
        <v>151400</v>
      </c>
      <c r="L9" s="43">
        <v>1690100</v>
      </c>
      <c r="M9" s="27">
        <v>486100</v>
      </c>
      <c r="N9" s="27">
        <v>576100</v>
      </c>
      <c r="O9" s="27">
        <v>321900</v>
      </c>
      <c r="P9" s="27">
        <v>265600</v>
      </c>
      <c r="Q9" s="43">
        <v>1649800</v>
      </c>
    </row>
    <row r="10" spans="1:18">
      <c r="B10" s="5" t="s">
        <v>3</v>
      </c>
      <c r="C10" s="37">
        <v>326500</v>
      </c>
      <c r="D10" s="27">
        <v>370800</v>
      </c>
      <c r="E10" s="27">
        <v>337700</v>
      </c>
      <c r="F10" s="27">
        <v>424400</v>
      </c>
      <c r="G10" s="43">
        <v>1459400</v>
      </c>
      <c r="H10" s="27">
        <v>455400</v>
      </c>
      <c r="I10" s="27">
        <v>363400</v>
      </c>
      <c r="J10" s="27">
        <v>326200</v>
      </c>
      <c r="K10" s="27">
        <v>242700</v>
      </c>
      <c r="L10" s="43">
        <v>1387700</v>
      </c>
      <c r="M10" s="27">
        <v>309600</v>
      </c>
      <c r="N10" s="27">
        <v>432500</v>
      </c>
      <c r="O10" s="27">
        <v>288300</v>
      </c>
      <c r="P10" s="27">
        <v>-41700</v>
      </c>
      <c r="Q10" s="43">
        <v>988700</v>
      </c>
    </row>
    <row r="11" spans="1:18">
      <c r="B11" s="13" t="s">
        <v>9</v>
      </c>
      <c r="C11" s="38">
        <v>302600</v>
      </c>
      <c r="D11" s="28">
        <v>338800</v>
      </c>
      <c r="E11" s="28">
        <v>310900</v>
      </c>
      <c r="F11" s="28">
        <v>404600</v>
      </c>
      <c r="G11" s="44">
        <v>1356900</v>
      </c>
      <c r="H11" s="28">
        <v>409800</v>
      </c>
      <c r="I11" s="28">
        <v>313100</v>
      </c>
      <c r="J11" s="28">
        <v>297600</v>
      </c>
      <c r="K11" s="28">
        <v>242000</v>
      </c>
      <c r="L11" s="44">
        <v>1262500</v>
      </c>
      <c r="M11" s="28">
        <v>296600</v>
      </c>
      <c r="N11" s="28">
        <v>394500</v>
      </c>
      <c r="O11" s="28">
        <v>264300</v>
      </c>
      <c r="P11" s="28">
        <v>54400</v>
      </c>
      <c r="Q11" s="44">
        <v>1009900</v>
      </c>
    </row>
    <row r="12" spans="1:18" ht="18" thickBot="1">
      <c r="B12" s="15" t="s">
        <v>4</v>
      </c>
      <c r="C12" s="39">
        <v>1345300</v>
      </c>
      <c r="D12" s="31">
        <v>1373200</v>
      </c>
      <c r="E12" s="31">
        <v>1277500</v>
      </c>
      <c r="F12" s="31">
        <v>1283500</v>
      </c>
      <c r="G12" s="45">
        <v>5279500</v>
      </c>
      <c r="H12" s="31">
        <v>1518300</v>
      </c>
      <c r="I12" s="31">
        <v>1387200</v>
      </c>
      <c r="J12" s="31">
        <v>1359700</v>
      </c>
      <c r="K12" s="31">
        <v>1080800</v>
      </c>
      <c r="L12" s="45">
        <v>5346000</v>
      </c>
      <c r="M12" s="31">
        <v>1415500</v>
      </c>
      <c r="N12" s="31">
        <v>1505300</v>
      </c>
      <c r="O12" s="31">
        <v>1259900</v>
      </c>
      <c r="P12" s="31">
        <v>1279200</v>
      </c>
      <c r="Q12" s="45">
        <v>5459900</v>
      </c>
    </row>
    <row r="13" spans="1:18">
      <c r="C13" s="32"/>
      <c r="D13" s="32"/>
      <c r="E13" s="32"/>
      <c r="F13" s="32"/>
      <c r="G13" s="32"/>
      <c r="L13" s="32"/>
      <c r="M13" s="32"/>
      <c r="N13" s="32"/>
      <c r="O13" s="32"/>
      <c r="P13" s="32"/>
      <c r="Q13" s="32"/>
    </row>
    <row r="15" spans="1:18" ht="19.8" thickBot="1">
      <c r="A15" s="3" t="s">
        <v>6</v>
      </c>
      <c r="B15" s="14" t="s">
        <v>10</v>
      </c>
      <c r="C15" s="33" t="s">
        <v>64</v>
      </c>
      <c r="D15" s="33" t="s">
        <v>67</v>
      </c>
      <c r="E15" s="33" t="s">
        <v>70</v>
      </c>
      <c r="F15" s="33" t="s">
        <v>71</v>
      </c>
      <c r="G15" s="33">
        <v>2021</v>
      </c>
      <c r="H15" s="33" t="s">
        <v>72</v>
      </c>
      <c r="I15" s="33" t="s">
        <v>74</v>
      </c>
      <c r="J15" s="33" t="s">
        <v>76</v>
      </c>
      <c r="K15" s="33" t="s">
        <v>77</v>
      </c>
      <c r="L15" s="33">
        <v>2022</v>
      </c>
      <c r="M15" s="33" t="s">
        <v>78</v>
      </c>
      <c r="N15" s="33" t="s">
        <v>80</v>
      </c>
      <c r="O15" s="33" t="s">
        <v>81</v>
      </c>
      <c r="P15" s="33" t="s">
        <v>82</v>
      </c>
      <c r="Q15" s="33">
        <v>2023</v>
      </c>
    </row>
    <row r="16" spans="1:18">
      <c r="B16" s="12" t="s">
        <v>14</v>
      </c>
      <c r="C16" s="41">
        <v>7.3999999999999996E-2</v>
      </c>
      <c r="D16" s="23">
        <v>7.9000000000000001E-2</v>
      </c>
      <c r="E16" s="23">
        <v>6.2E-2</v>
      </c>
      <c r="F16" s="23">
        <v>5.6000000000000001E-2</v>
      </c>
      <c r="G16" s="46">
        <v>6.7000000000000004E-2</v>
      </c>
      <c r="H16" s="16">
        <v>0.1</v>
      </c>
      <c r="I16" s="16">
        <v>7.2999999999999995E-2</v>
      </c>
      <c r="J16" s="16">
        <v>7.0000000000000007E-2</v>
      </c>
      <c r="K16" s="16">
        <v>2.3E-2</v>
      </c>
      <c r="L16" s="46">
        <v>6.6000000000000003E-2</v>
      </c>
      <c r="M16" s="23">
        <v>7.4999999999999997E-2</v>
      </c>
      <c r="N16" s="23">
        <v>8.7999999999999995E-2</v>
      </c>
      <c r="O16" s="23">
        <v>4.8000000000000001E-2</v>
      </c>
      <c r="P16" s="23">
        <v>0.04</v>
      </c>
      <c r="Q16" s="46">
        <v>6.3E-2</v>
      </c>
      <c r="R16" s="16"/>
    </row>
    <row r="17" spans="1:17">
      <c r="B17" s="12" t="s">
        <v>15</v>
      </c>
      <c r="C17" s="41">
        <v>0.223</v>
      </c>
      <c r="D17" s="23">
        <v>0.22800000000000001</v>
      </c>
      <c r="E17" s="23">
        <v>0.20499999999999999</v>
      </c>
      <c r="F17" s="23">
        <v>0.19400000000000001</v>
      </c>
      <c r="G17" s="46">
        <v>0.21199999999999999</v>
      </c>
      <c r="H17" s="57">
        <v>0.24199999999999999</v>
      </c>
      <c r="I17" s="57">
        <v>0.22</v>
      </c>
      <c r="J17" s="57">
        <v>0.21</v>
      </c>
      <c r="K17" s="57">
        <v>0.16400000000000001</v>
      </c>
      <c r="L17" s="46">
        <v>0.20799999999999999</v>
      </c>
      <c r="M17" s="23">
        <v>0.22</v>
      </c>
      <c r="N17" s="23">
        <v>0.23</v>
      </c>
      <c r="O17" s="23">
        <v>0.188</v>
      </c>
      <c r="P17" s="23">
        <v>0.191</v>
      </c>
      <c r="Q17" s="46">
        <v>0.20699999999999999</v>
      </c>
    </row>
    <row r="18" spans="1:17" ht="18" thickBot="1">
      <c r="B18" s="9" t="s">
        <v>16</v>
      </c>
      <c r="C18" s="40">
        <v>0.30299999999999999</v>
      </c>
      <c r="D18" s="19">
        <v>0.29099999999999998</v>
      </c>
      <c r="E18" s="19">
        <v>0.29699999999999999</v>
      </c>
      <c r="F18" s="19">
        <v>0.16300000000000001</v>
      </c>
      <c r="G18" s="47">
        <v>0.26200000000000001</v>
      </c>
      <c r="H18" s="19">
        <v>0.29099999999999998</v>
      </c>
      <c r="I18" s="19">
        <v>0.32700000000000001</v>
      </c>
      <c r="J18" s="19">
        <v>0.25700000000000001</v>
      </c>
      <c r="K18" s="19">
        <v>0.112</v>
      </c>
      <c r="L18" s="47">
        <v>0.26700000000000002</v>
      </c>
      <c r="M18" s="19">
        <v>0.29199999999999998</v>
      </c>
      <c r="N18" s="19">
        <v>0.21099999999999999</v>
      </c>
      <c r="O18" s="19">
        <v>0.17699999999999999</v>
      </c>
      <c r="P18" s="99" t="s">
        <v>83</v>
      </c>
      <c r="Q18" s="47">
        <v>0.253</v>
      </c>
    </row>
    <row r="21" spans="1:17" ht="19.8" thickBot="1">
      <c r="A21" s="3" t="s">
        <v>6</v>
      </c>
      <c r="B21" s="2" t="s">
        <v>7</v>
      </c>
      <c r="C21" s="33" t="s">
        <v>64</v>
      </c>
      <c r="D21" s="33" t="s">
        <v>68</v>
      </c>
      <c r="E21" s="33" t="s">
        <v>70</v>
      </c>
      <c r="F21" s="33" t="s">
        <v>71</v>
      </c>
      <c r="G21" s="33">
        <v>2021</v>
      </c>
      <c r="H21" s="33" t="s">
        <v>72</v>
      </c>
      <c r="I21" s="33" t="s">
        <v>74</v>
      </c>
      <c r="J21" s="33" t="s">
        <v>76</v>
      </c>
      <c r="K21" s="33" t="s">
        <v>77</v>
      </c>
      <c r="L21" s="33">
        <v>2022</v>
      </c>
      <c r="M21" s="33" t="s">
        <v>78</v>
      </c>
      <c r="N21" s="33" t="s">
        <v>80</v>
      </c>
      <c r="O21" s="33" t="s">
        <v>81</v>
      </c>
      <c r="P21" s="33" t="s">
        <v>82</v>
      </c>
      <c r="Q21" s="33">
        <v>2023</v>
      </c>
    </row>
    <row r="22" spans="1:17">
      <c r="B22" s="8" t="s">
        <v>17</v>
      </c>
      <c r="C22" s="37">
        <v>7724600</v>
      </c>
      <c r="D22" s="27">
        <v>7755700</v>
      </c>
      <c r="E22" s="27">
        <v>8396100</v>
      </c>
      <c r="F22" s="27">
        <v>8437700</v>
      </c>
      <c r="G22" s="43">
        <v>8437700</v>
      </c>
      <c r="H22" s="27">
        <v>8894900</v>
      </c>
      <c r="I22" s="27">
        <v>10074500</v>
      </c>
      <c r="J22" s="27">
        <v>10366600</v>
      </c>
      <c r="K22" s="27">
        <v>10006700</v>
      </c>
      <c r="L22" s="43">
        <v>10006700</v>
      </c>
      <c r="M22" s="27">
        <v>10577100</v>
      </c>
      <c r="N22" s="27">
        <v>10036000</v>
      </c>
      <c r="O22" s="65">
        <v>10309.5</v>
      </c>
      <c r="P22" s="65">
        <v>10218.200000000001</v>
      </c>
      <c r="Q22" s="95">
        <v>10218.200000000001</v>
      </c>
    </row>
    <row r="23" spans="1:17">
      <c r="B23" s="6" t="s">
        <v>13</v>
      </c>
      <c r="C23" s="38">
        <v>4971600</v>
      </c>
      <c r="D23" s="28">
        <v>4658700</v>
      </c>
      <c r="E23" s="28">
        <v>5307200</v>
      </c>
      <c r="F23" s="28">
        <v>5418100</v>
      </c>
      <c r="G23" s="44">
        <v>5418100</v>
      </c>
      <c r="H23" s="27">
        <v>6212700</v>
      </c>
      <c r="I23" s="27">
        <v>7252800</v>
      </c>
      <c r="J23" s="27">
        <v>7271500</v>
      </c>
      <c r="K23" s="27">
        <v>7557600</v>
      </c>
      <c r="L23" s="44">
        <v>7557600</v>
      </c>
      <c r="M23" s="28">
        <v>8467900</v>
      </c>
      <c r="N23" s="28">
        <v>8230500</v>
      </c>
      <c r="O23" s="77">
        <v>7199.1</v>
      </c>
      <c r="P23" s="77">
        <v>7338.6</v>
      </c>
      <c r="Q23" s="96">
        <v>7338.6</v>
      </c>
    </row>
    <row r="24" spans="1:17">
      <c r="B24" s="5" t="s">
        <v>5</v>
      </c>
      <c r="C24" s="41">
        <v>0.32400000000000001</v>
      </c>
      <c r="D24" s="23">
        <v>0.29699999999999999</v>
      </c>
      <c r="E24" s="23">
        <v>0.33</v>
      </c>
      <c r="F24" s="23">
        <v>0.32700000000000001</v>
      </c>
      <c r="G24" s="46">
        <v>0.32700000000000001</v>
      </c>
      <c r="H24" s="58">
        <v>0.374</v>
      </c>
      <c r="I24" s="58">
        <v>0.42899999999999999</v>
      </c>
      <c r="J24" s="58">
        <v>0.40600000000000003</v>
      </c>
      <c r="K24" s="58">
        <v>0.41</v>
      </c>
      <c r="L24" s="46">
        <v>0.41</v>
      </c>
      <c r="M24" s="23">
        <v>0.46600000000000003</v>
      </c>
      <c r="N24" s="23">
        <v>0.44600000000000001</v>
      </c>
      <c r="O24" s="23">
        <v>0.38500000000000001</v>
      </c>
      <c r="P24" s="23">
        <v>0.39500000000000002</v>
      </c>
      <c r="Q24" s="46">
        <v>0.39500000000000002</v>
      </c>
    </row>
    <row r="25" spans="1:17" ht="18" thickBot="1">
      <c r="B25" s="9" t="s">
        <v>12</v>
      </c>
      <c r="C25" s="24"/>
      <c r="D25" s="24"/>
      <c r="E25" s="24"/>
      <c r="F25" s="24"/>
      <c r="G25" s="48">
        <v>1.0262622088034821</v>
      </c>
      <c r="L25" s="48">
        <v>1.3935426769678978</v>
      </c>
      <c r="M25" s="24"/>
      <c r="N25" s="24"/>
      <c r="O25" s="24"/>
      <c r="P25" s="24"/>
      <c r="Q25" s="48">
        <v>1.3</v>
      </c>
    </row>
    <row r="26" spans="1:17">
      <c r="C26" s="25"/>
    </row>
  </sheetData>
  <phoneticPr fontId="1" type="noConversion"/>
  <pageMargins left="0.25" right="0.25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이은지(IR2팀)</cp:lastModifiedBy>
  <cp:lastPrinted>2023-05-10T05:03:06Z</cp:lastPrinted>
  <dcterms:created xsi:type="dcterms:W3CDTF">2012-01-10T00:01:55Z</dcterms:created>
  <dcterms:modified xsi:type="dcterms:W3CDTF">2024-04-08T01:17:46Z</dcterms:modified>
</cp:coreProperties>
</file>