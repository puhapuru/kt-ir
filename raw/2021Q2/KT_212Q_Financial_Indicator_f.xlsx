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74883\Desktop\Rabbit Hole\바탕화면\Desktop\실적발표\21 2Q\동고비\"/>
    </mc:Choice>
  </mc:AlternateContent>
  <bookViews>
    <workbookView xWindow="7710" yWindow="285" windowWidth="14085" windowHeight="11835" tabRatio="726" activeTab="1"/>
  </bookViews>
  <sheets>
    <sheet name="Separate" sheetId="1" r:id="rId1"/>
    <sheet name="Consolidated" sheetId="4" r:id="rId2"/>
  </sheets>
  <definedNames>
    <definedName name="_xlnm.Print_Area" localSheetId="1">Consolidated!$A$1:$S$25</definedName>
    <definedName name="_xlnm.Print_Area" localSheetId="0">Separate!$A$1:$AC$52</definedName>
  </definedNames>
  <calcPr calcId="152511"/>
</workbook>
</file>

<file path=xl/calcChain.xml><?xml version="1.0" encoding="utf-8"?>
<calcChain xmlns="http://schemas.openxmlformats.org/spreadsheetml/2006/main">
  <c r="AB29" i="1" l="1"/>
  <c r="AC29" i="1" s="1"/>
  <c r="X39" i="1" l="1"/>
  <c r="AA31" i="1" l="1"/>
  <c r="AA30" i="1"/>
  <c r="AA29" i="1"/>
  <c r="X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W39" i="1" s="1"/>
  <c r="W40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<sst xmlns="http://schemas.openxmlformats.org/spreadsheetml/2006/main" count="196" uniqueCount="129">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</sst>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view="pageBreakPreview" topLeftCell="A7" zoomScale="80" zoomScaleNormal="80" zoomScaleSheetLayoutView="80" workbookViewId="0">
      <selection activeCell="AC29" sqref="AC29"/>
    </sheetView>
  </sheetViews>
  <sheetFormatPr defaultColWidth="9" defaultRowHeight="16.5"/>
  <cols>
    <col min="1" max="1" width="3.75" style="1" customWidth="1"/>
    <col min="2" max="2" width="27" style="1" customWidth="1"/>
    <col min="3" max="22" width="10" style="1" hidden="1" customWidth="1"/>
    <col min="23" max="29" width="10" style="1" customWidth="1"/>
    <col min="30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3645418.7964079999</v>
      </c>
      <c r="S7" s="38">
        <v>3751257.227339</v>
      </c>
      <c r="T7" s="38">
        <v>3765903.784184</v>
      </c>
      <c r="U7" s="38">
        <v>3768450.1016199999</v>
      </c>
      <c r="V7" s="63">
        <v>14931029.909551</v>
      </c>
      <c r="W7" s="75">
        <v>3749</v>
      </c>
      <c r="X7" s="75">
        <v>3743.2</v>
      </c>
      <c r="Y7" s="75">
        <v>3805</v>
      </c>
      <c r="Z7" s="75">
        <v>3785.5261346270063</v>
      </c>
      <c r="AA7" s="63">
        <v>15082826.013178</v>
      </c>
      <c r="AB7" s="38">
        <v>3822854.7289849999</v>
      </c>
      <c r="AC7" s="38">
        <v>3867888.6849369998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688865.54724800005</v>
      </c>
      <c r="S8" s="38">
        <v>807271.03491499997</v>
      </c>
      <c r="T8" s="38">
        <v>939818.59591499995</v>
      </c>
      <c r="U8" s="38">
        <v>837766.16045800003</v>
      </c>
      <c r="V8" s="63">
        <v>3273721.3385359999</v>
      </c>
      <c r="W8" s="75">
        <v>680.1</v>
      </c>
      <c r="X8" s="75">
        <v>596.4</v>
      </c>
      <c r="Y8" s="75">
        <v>715.5</v>
      </c>
      <c r="Z8" s="75">
        <v>804.54659483899968</v>
      </c>
      <c r="AA8" s="63">
        <v>2796454.7146080001</v>
      </c>
      <c r="AB8" s="38">
        <v>751598.19608000002</v>
      </c>
      <c r="AC8" s="38">
        <v>610912.09702600003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/>
      <c r="AE15"/>
      <c r="AF15"/>
      <c r="AG15" s="52"/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/>
      <c r="AE16"/>
      <c r="AF16"/>
      <c r="AG16" s="52"/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/>
      <c r="AE17"/>
      <c r="AF17"/>
      <c r="AG17" s="52"/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/>
      <c r="AE18"/>
      <c r="AF18"/>
      <c r="AG18" s="52"/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/>
      <c r="AE19"/>
      <c r="AF19"/>
      <c r="AG19" s="52"/>
      <c r="AH19" s="52"/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/>
      <c r="AE20"/>
      <c r="AF20"/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AB29</f>
        <v>234241.24400000001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</row>
    <row r="33" spans="1:29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</row>
    <row r="34" spans="1:29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</row>
    <row r="35" spans="1:29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</row>
    <row r="36" spans="1:29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</row>
    <row r="37" spans="1:29">
      <c r="G37" s="35"/>
      <c r="H37" s="29"/>
      <c r="W37" s="35"/>
      <c r="X37" s="35"/>
      <c r="Y37" s="35"/>
      <c r="Z37" s="35"/>
    </row>
    <row r="38" spans="1:29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W38" s="16">
        <v>2019</v>
      </c>
      <c r="X38" s="78">
        <v>2020</v>
      </c>
    </row>
    <row r="39" spans="1:29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35"/>
      <c r="K39" s="29"/>
      <c r="O39" s="61"/>
      <c r="P39" s="35"/>
      <c r="Q39" s="35"/>
      <c r="U39" s="62"/>
      <c r="W39" s="29">
        <f>V10*10^3/V29</f>
        <v>1746.9418680765964</v>
      </c>
      <c r="X39" s="71">
        <f>AA10*10^3/AA29</f>
        <v>2751.7951483473948</v>
      </c>
    </row>
    <row r="40" spans="1:29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35"/>
      <c r="K40" s="35"/>
      <c r="O40" s="35"/>
      <c r="P40" s="35"/>
      <c r="Q40" s="35"/>
      <c r="U40" s="35"/>
      <c r="W40" s="27">
        <f>U31/W39</f>
        <v>15.455580115969925</v>
      </c>
      <c r="X40" s="74">
        <f>AA31/X39</f>
        <v>8.7215794440270482</v>
      </c>
    </row>
    <row r="41" spans="1:29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35"/>
      <c r="K41" s="35"/>
      <c r="O41" s="35"/>
      <c r="P41" s="35"/>
      <c r="Q41" s="35"/>
      <c r="U41" s="35"/>
      <c r="V41" s="35"/>
      <c r="W41" s="27">
        <v>3.0975311154974303</v>
      </c>
      <c r="X41" s="74">
        <v>2.8382569414446635</v>
      </c>
      <c r="Y41" s="35"/>
      <c r="Z41" s="35"/>
      <c r="AA41" s="35"/>
      <c r="AB41" s="35"/>
      <c r="AC41" s="35"/>
    </row>
    <row r="42" spans="1:29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5"/>
      <c r="K42" s="35"/>
      <c r="O42" s="35"/>
      <c r="P42" s="35"/>
      <c r="Q42" s="35"/>
      <c r="U42" s="35"/>
      <c r="V42" s="35"/>
      <c r="W42" s="30">
        <v>3.4000000000000002E-2</v>
      </c>
      <c r="X42" s="66">
        <v>5.1001935897905554E-2</v>
      </c>
      <c r="Y42" s="35"/>
      <c r="Z42" s="35"/>
      <c r="AA42" s="35"/>
      <c r="AB42" s="35"/>
      <c r="AC42" s="35"/>
    </row>
    <row r="43" spans="1:29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35"/>
      <c r="K43" s="35"/>
      <c r="O43" s="35"/>
      <c r="P43" s="35"/>
      <c r="Q43" s="35"/>
      <c r="U43" s="35"/>
      <c r="V43" s="35"/>
      <c r="W43" s="26">
        <v>1.6E-2</v>
      </c>
      <c r="X43" s="67">
        <v>2.3665953080260198E-2</v>
      </c>
      <c r="Y43" s="35"/>
      <c r="Z43" s="35"/>
      <c r="AA43" s="35"/>
      <c r="AB43" s="35"/>
      <c r="AC43" s="35"/>
    </row>
    <row r="44" spans="1:29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pans="1:29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pans="1:29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pans="1:29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pans="1:29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2:29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pans="2:29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pans="2:29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2:29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6"/>
  <sheetViews>
    <sheetView showGridLines="0" tabSelected="1" view="pageBreakPreview" zoomScale="80" zoomScaleNormal="80" zoomScaleSheetLayoutView="80" workbookViewId="0">
      <selection activeCell="Q29" sqref="Q29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19" width="9.25" style="1" customWidth="1"/>
    <col min="20" max="16384" width="9" style="1"/>
  </cols>
  <sheetData>
    <row r="2" spans="1:19" ht="20.25">
      <c r="B2" s="10" t="s">
        <v>9</v>
      </c>
    </row>
    <row r="3" spans="1:19">
      <c r="B3" s="11" t="s">
        <v>12</v>
      </c>
    </row>
    <row r="4" spans="1:19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19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</row>
    <row r="6" spans="1:19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</row>
    <row r="7" spans="1:19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</row>
    <row r="8" spans="1:19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</row>
    <row r="9" spans="1:19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</row>
    <row r="10" spans="1:19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</row>
    <row r="11" spans="1:19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</row>
    <row r="12" spans="1:19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</row>
    <row r="13" spans="1:19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</row>
    <row r="15" spans="1:19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</row>
    <row r="16" spans="1:19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</row>
    <row r="17" spans="1:19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</row>
    <row r="18" spans="1:19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</row>
    <row r="21" spans="1:19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</row>
    <row r="22" spans="1:19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</row>
    <row r="23" spans="1:19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</row>
    <row r="24" spans="1:19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</row>
    <row r="25" spans="1:19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</row>
    <row r="26" spans="1:19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2021-05-10T04:59:32Z</cp:lastPrinted>
  <dcterms:created xsi:type="dcterms:W3CDTF">2012-01-10T00:01:55Z</dcterms:created>
  <dcterms:modified xsi:type="dcterms:W3CDTF">2021-08-09T13:06:40Z</dcterms:modified>
</cp:coreProperties>
</file>