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5235" windowWidth="23700" windowHeight="5775"/>
  </bookViews>
  <sheets>
    <sheet name="KT Only" sheetId="1" r:id="rId1"/>
    <sheet name="Consolidated" sheetId="4" r:id="rId2"/>
  </sheets>
  <externalReferences>
    <externalReference r:id="rId3"/>
  </externalReferences>
  <definedNames>
    <definedName name="_xlnm.Print_Area" localSheetId="1">Consolidated!$A$1:$M$28</definedName>
    <definedName name="_xlnm.Print_Area" localSheetId="0">'KT Only'!$A$1:$I$51</definedName>
  </definedNames>
  <calcPr calcId="145621"/>
</workbook>
</file>

<file path=xl/calcChain.xml><?xml version="1.0" encoding="utf-8"?>
<calcChain xmlns="http://schemas.openxmlformats.org/spreadsheetml/2006/main">
  <c r="L19" i="4" l="1"/>
  <c r="L18" i="4"/>
  <c r="L11" i="4" l="1"/>
  <c r="K20" i="4" l="1"/>
  <c r="K18" i="4"/>
  <c r="K14" i="4"/>
  <c r="K19" i="4" s="1"/>
  <c r="K13" i="4"/>
  <c r="K12" i="4"/>
  <c r="K11" i="4"/>
  <c r="K10" i="4"/>
  <c r="K9" i="4"/>
  <c r="K8" i="4"/>
  <c r="K7" i="4"/>
  <c r="K6" i="4"/>
</calcChain>
</file>

<file path=xl/sharedStrings.xml><?xml version="1.0" encoding="utf-8"?>
<sst xmlns="http://schemas.openxmlformats.org/spreadsheetml/2006/main" count="109" uniqueCount="61">
  <si>
    <t>Stock &amp; Dividend</t>
    <phoneticPr fontId="1" type="noConversion"/>
  </si>
  <si>
    <t>Other Indicator</t>
    <phoneticPr fontId="1" type="noConversion"/>
  </si>
  <si>
    <t>Capital Expenditures</t>
    <phoneticPr fontId="1" type="noConversion"/>
  </si>
  <si>
    <t>KT Financial Indicators (KT Only)</t>
    <phoneticPr fontId="1" type="noConversion"/>
  </si>
  <si>
    <t>Financial Highlights</t>
    <phoneticPr fontId="1" type="noConversion"/>
  </si>
  <si>
    <t>Revenue</t>
    <phoneticPr fontId="1" type="noConversion"/>
  </si>
  <si>
    <t xml:space="preserve"> - Service</t>
    <phoneticPr fontId="1" type="noConversion"/>
  </si>
  <si>
    <t xml:space="preserve"> - Others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</si>
  <si>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</si>
  <si>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</si>
  <si>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</si>
  <si>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Capex</t>
    <phoneticPr fontId="1" type="noConversion"/>
  </si>
  <si>
    <t xml:space="preserve"> - Mobile</t>
    <phoneticPr fontId="1" type="noConversion"/>
  </si>
  <si>
    <t xml:space="preserve"> - Fixed line</t>
    <phoneticPr fontId="1" type="noConversion"/>
  </si>
  <si>
    <t>Depreciation</t>
    <phoneticPr fontId="1" type="noConversion"/>
  </si>
  <si>
    <t>Interest-Bearing Debt</t>
    <phoneticPr fontId="1" type="noConversion"/>
  </si>
  <si>
    <t>Net Debt to Equity</t>
    <phoneticPr fontId="1" type="noConversion"/>
  </si>
  <si>
    <t>Cash Dividend (per share)</t>
    <phoneticPr fontId="1" type="noConversion"/>
  </si>
  <si>
    <t>Payout Ratio</t>
    <phoneticPr fontId="1" type="noConversion"/>
  </si>
  <si>
    <t>Earnings Per Share (EPS)</t>
    <phoneticPr fontId="1" type="noConversion"/>
  </si>
  <si>
    <t>Price Earning Ratio (PER)</t>
    <phoneticPr fontId="1" type="noConversion"/>
  </si>
  <si>
    <t>EV/EBITDA</t>
    <phoneticPr fontId="1" type="noConversion"/>
  </si>
  <si>
    <t>ROE</t>
    <phoneticPr fontId="1" type="noConversion"/>
  </si>
  <si>
    <t>ROA</t>
    <phoneticPr fontId="1" type="noConversion"/>
  </si>
  <si>
    <t>√</t>
    <phoneticPr fontId="1" type="noConversion"/>
  </si>
  <si>
    <t>(1) EBITDA = Operating Income + Depreciation</t>
    <phoneticPr fontId="1" type="noConversion"/>
  </si>
  <si>
    <t>(2) EBITDA margin = EBITDA / Revenue</t>
    <phoneticPr fontId="1" type="noConversion"/>
  </si>
  <si>
    <t>(3) Payout ratio = Total Shareholders Return / Net Income</t>
    <phoneticPr fontId="1" type="noConversion"/>
  </si>
  <si>
    <t>(4) EV = Net Debt + Market Capitalization</t>
    <phoneticPr fontId="1" type="noConversion"/>
  </si>
  <si>
    <t>* Closed price (KRW)</t>
    <phoneticPr fontId="1" type="noConversion"/>
  </si>
  <si>
    <t xml:space="preserve"> - Merchandise</t>
    <phoneticPr fontId="1" type="noConversion"/>
  </si>
  <si>
    <t>Debt Status</t>
    <phoneticPr fontId="1" type="noConversion"/>
  </si>
  <si>
    <t>(5) ROE (Return on Equity) = Net Income / Average Shareholdders' Equity over fiscal year x 100</t>
    <phoneticPr fontId="1" type="noConversion"/>
  </si>
  <si>
    <t>(6) ROA (Return on Asset) = Net Income / Average Total Assets over fiscal year x 100</t>
    <phoneticPr fontId="1" type="noConversion"/>
  </si>
  <si>
    <t>KT Financial Indicators (Consolidated)</t>
    <phoneticPr fontId="1" type="noConversion"/>
  </si>
  <si>
    <t>Total Shareholder Return</t>
    <phoneticPr fontId="1" type="noConversion"/>
  </si>
  <si>
    <t>Net income attributable to KT</t>
    <phoneticPr fontId="1" type="noConversion"/>
  </si>
  <si>
    <t>Income(loss) from discontinued operations</t>
    <phoneticPr fontId="1" type="noConversion"/>
  </si>
  <si>
    <t>Income(loss) from continued operations</t>
    <phoneticPr fontId="1" type="noConversion"/>
  </si>
  <si>
    <t>Net Debt to EBITDA</t>
    <phoneticPr fontId="1" type="noConversion"/>
  </si>
  <si>
    <t>K-GAAP</t>
    <phoneticPr fontId="1" type="noConversion"/>
  </si>
  <si>
    <t>K-IFRS</t>
    <phoneticPr fontId="1" type="noConversion"/>
  </si>
  <si>
    <t>Ratio (service rev.)</t>
    <phoneticPr fontId="1" type="noConversion"/>
  </si>
  <si>
    <t>Share Outstanding (*000)</t>
    <phoneticPr fontId="1" type="noConversion"/>
  </si>
  <si>
    <t>Treasury Stock (*000)</t>
    <phoneticPr fontId="1" type="noConversion"/>
  </si>
  <si>
    <t xml:space="preserve"> - Cash Dividend (bn KRW)</t>
    <phoneticPr fontId="1" type="noConversion"/>
  </si>
  <si>
    <t xml:space="preserve"> - Share-buy back (bn KRW)</t>
    <phoneticPr fontId="1" type="noConversion"/>
  </si>
  <si>
    <t>(Billion KRW)</t>
    <phoneticPr fontId="1" type="noConversion"/>
  </si>
  <si>
    <t>Net Debt to EBITDA</t>
    <phoneticPr fontId="1" type="noConversion"/>
  </si>
  <si>
    <t>Net Debt</t>
    <phoneticPr fontId="1" type="noConversion"/>
  </si>
  <si>
    <t>Operating Income Margin</t>
    <phoneticPr fontId="1" type="noConversion"/>
  </si>
  <si>
    <t>EBITDA Margin</t>
    <phoneticPr fontId="1" type="noConversion"/>
  </si>
  <si>
    <t>Effective Tax Rate</t>
    <phoneticPr fontId="1" type="noConversion"/>
  </si>
  <si>
    <t>Interest-bearing Debt</t>
    <phoneticPr fontId="1" type="noConversion"/>
  </si>
  <si>
    <t>1Q 14</t>
    <phoneticPr fontId="1" type="noConversion"/>
  </si>
  <si>
    <t>K-IFRS</t>
    <phoneticPr fontId="1" type="noConversion"/>
  </si>
  <si>
    <t>2Q 14</t>
    <phoneticPr fontId="1" type="noConversion"/>
  </si>
  <si>
    <t>2Q 14</t>
    <phoneticPr fontId="1" type="noConversion"/>
  </si>
  <si>
    <t>2Q 14</t>
    <phoneticPr fontId="1" type="noConversion"/>
  </si>
  <si>
    <t>2Q 14</t>
    <phoneticPr fontId="1" type="noConversion"/>
  </si>
  <si>
    <t>3Q 14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</si>
</sst>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1" formatCode="_-* #,##0_-;\-* #,##0_-;_-* &quot;-&quot;_-;_-@_-"/>
    <numFmt numFmtId="43" formatCode="_-* #,##0.00_-;\-* #,##0.00_-;_-* &quot;-&quot;??_-;_-@_-"/>
    <numFmt numFmtId="176" formatCode="0.0%"/>
    <numFmt numFmtId="177" formatCode="_-* #,##0.0_-;\-* #,##0.0_-;_-* &quot;-&quot;_-;_-@_-"/>
    <numFmt numFmtId="178" formatCode="#,##0.0,"/>
    <numFmt numFmtId="179" formatCode="_-* #,##0.000000_-;\-* #,##0.000000_-;_-* &quot;-&quot;_-;_-@_-"/>
    <numFmt numFmtId="180" formatCode="0.000000_ "/>
    <numFmt numFmtId="181" formatCode="_-* #,##0.0000000_-;\-* #,##0.0000000_-;_-* &quot;-&quot;??_-;_-@_-"/>
    <numFmt numFmtId="182" formatCode="#,##0.0_ "/>
    <numFmt numFmtId="183" formatCode="_-* #,##0.000_-;\-* #,##0.000_-;_-* &quot;-&quot;??_-;_-@_-"/>
  </numFmts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FF"/>
      </bottom>
      <diagonal/>
    </border>
  </borders>
  <cellStyleXfs count="3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6" fillId="0" borderId="0" xfId="0" applyFont="1">
      <alignment vertical="center"/>
    </xf>
    <xf numFmtId="0" fontId="2" fillId="3" borderId="0" xfId="0" applyFont="1" applyFill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Border="1">
      <alignment vertical="center"/>
    </xf>
    <xf numFmtId="0" fontId="2" fillId="0" borderId="2" xfId="0" applyFont="1" applyFill="1" applyBorder="1">
      <alignment vertical="center"/>
    </xf>
    <xf numFmtId="0" fontId="2" fillId="0" borderId="0" xfId="0" applyFont="1" applyBorder="1" applyAlignment="1">
      <alignment vertical="center" wrapText="1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5" fillId="2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41" fontId="2" fillId="0" borderId="0" xfId="1" applyFont="1" applyBorder="1">
      <alignment vertical="center"/>
    </xf>
    <xf numFmtId="41" fontId="2" fillId="0" borderId="2" xfId="1" applyFont="1" applyBorder="1">
      <alignment vertical="center"/>
    </xf>
    <xf numFmtId="41" fontId="2" fillId="0" borderId="4" xfId="1" applyFont="1" applyBorder="1">
      <alignment vertical="center"/>
    </xf>
    <xf numFmtId="0" fontId="5" fillId="5" borderId="0" xfId="0" applyFont="1" applyFill="1" applyBorder="1" applyAlignment="1">
      <alignment horizontal="center" vertical="center"/>
    </xf>
    <xf numFmtId="176" fontId="2" fillId="0" borderId="4" xfId="2" applyNumberFormat="1" applyFont="1" applyBorder="1">
      <alignment vertical="center"/>
    </xf>
    <xf numFmtId="176" fontId="2" fillId="0" borderId="0" xfId="2" applyNumberFormat="1" applyFont="1">
      <alignment vertical="center"/>
    </xf>
    <xf numFmtId="177" fontId="2" fillId="0" borderId="0" xfId="1" applyNumberFormat="1" applyFont="1" applyBorder="1">
      <alignment vertical="center"/>
    </xf>
    <xf numFmtId="177" fontId="2" fillId="0" borderId="2" xfId="1" applyNumberFormat="1" applyFont="1" applyBorder="1">
      <alignment vertical="center"/>
    </xf>
    <xf numFmtId="41" fontId="7" fillId="0" borderId="0" xfId="1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176" fontId="2" fillId="0" borderId="0" xfId="2" applyNumberFormat="1" applyFont="1" applyBorder="1">
      <alignment vertical="center"/>
    </xf>
    <xf numFmtId="177" fontId="2" fillId="0" borderId="4" xfId="1" applyNumberFormat="1" applyFont="1" applyBorder="1">
      <alignment vertical="center"/>
    </xf>
    <xf numFmtId="177" fontId="2" fillId="0" borderId="1" xfId="1" applyNumberFormat="1" applyFont="1" applyBorder="1">
      <alignment vertical="center"/>
    </xf>
    <xf numFmtId="41" fontId="2" fillId="0" borderId="5" xfId="1" applyFont="1" applyBorder="1">
      <alignment vertical="center"/>
    </xf>
    <xf numFmtId="176" fontId="2" fillId="0" borderId="4" xfId="2" applyNumberFormat="1" applyFont="1" applyFill="1" applyBorder="1">
      <alignment vertical="center"/>
    </xf>
    <xf numFmtId="0" fontId="11" fillId="0" borderId="0" xfId="0" applyFont="1">
      <alignment vertical="center"/>
    </xf>
    <xf numFmtId="177" fontId="2" fillId="0" borderId="0" xfId="1" applyNumberFormat="1" applyFont="1" applyFill="1" applyBorder="1">
      <alignment vertical="center"/>
    </xf>
    <xf numFmtId="0" fontId="2" fillId="0" borderId="4" xfId="0" applyFont="1" applyFill="1" applyBorder="1">
      <alignment vertical="center"/>
    </xf>
    <xf numFmtId="41" fontId="2" fillId="0" borderId="0" xfId="1" applyFont="1" applyFill="1" applyBorder="1">
      <alignment vertical="center"/>
    </xf>
    <xf numFmtId="176" fontId="2" fillId="0" borderId="0" xfId="2" applyNumberFormat="1" applyFont="1" applyFill="1" applyBorder="1">
      <alignment vertical="center"/>
    </xf>
    <xf numFmtId="178" fontId="2" fillId="0" borderId="0" xfId="1" applyNumberFormat="1" applyFont="1" applyBorder="1">
      <alignment vertical="center"/>
    </xf>
    <xf numFmtId="177" fontId="2" fillId="3" borderId="4" xfId="1" applyNumberFormat="1" applyFont="1" applyFill="1" applyBorder="1">
      <alignment vertical="center"/>
    </xf>
    <xf numFmtId="177" fontId="2" fillId="0" borderId="0" xfId="0" applyNumberFormat="1" applyFont="1">
      <alignment vertical="center"/>
    </xf>
    <xf numFmtId="179" fontId="2" fillId="0" borderId="0" xfId="1" applyNumberFormat="1" applyFont="1" applyBorder="1">
      <alignment vertical="center"/>
    </xf>
    <xf numFmtId="180" fontId="2" fillId="0" borderId="0" xfId="0" applyNumberFormat="1" applyFont="1">
      <alignment vertical="center"/>
    </xf>
    <xf numFmtId="181" fontId="2" fillId="0" borderId="0" xfId="0" applyNumberFormat="1" applyFont="1">
      <alignment vertical="center"/>
    </xf>
    <xf numFmtId="43" fontId="2" fillId="0" borderId="0" xfId="0" applyNumberFormat="1" applyFont="1">
      <alignment vertical="center"/>
    </xf>
    <xf numFmtId="176" fontId="2" fillId="3" borderId="0" xfId="2" applyNumberFormat="1" applyFont="1" applyFill="1" applyBorder="1">
      <alignment vertical="center"/>
    </xf>
    <xf numFmtId="176" fontId="2" fillId="3" borderId="4" xfId="2" applyNumberFormat="1" applyFont="1" applyFill="1" applyBorder="1">
      <alignment vertical="center"/>
    </xf>
    <xf numFmtId="0" fontId="5" fillId="0" borderId="0" xfId="0" applyFont="1" applyFill="1" applyBorder="1" applyAlignment="1">
      <alignment horizontal="center" vertical="center"/>
    </xf>
    <xf numFmtId="182" fontId="2" fillId="0" borderId="0" xfId="1" applyNumberFormat="1" applyFont="1" applyBorder="1">
      <alignment vertical="center"/>
    </xf>
    <xf numFmtId="182" fontId="2" fillId="0" borderId="2" xfId="1" applyNumberFormat="1" applyFont="1" applyBorder="1">
      <alignment vertical="center"/>
    </xf>
    <xf numFmtId="182" fontId="2" fillId="0" borderId="0" xfId="1" applyNumberFormat="1" applyFont="1" applyFill="1" applyBorder="1">
      <alignment vertical="center"/>
    </xf>
    <xf numFmtId="182" fontId="2" fillId="3" borderId="0" xfId="1" applyNumberFormat="1" applyFont="1" applyFill="1" applyBorder="1">
      <alignment vertical="center"/>
    </xf>
    <xf numFmtId="182" fontId="2" fillId="3" borderId="2" xfId="1" applyNumberFormat="1" applyFont="1" applyFill="1" applyBorder="1">
      <alignment vertical="center"/>
    </xf>
    <xf numFmtId="182" fontId="2" fillId="0" borderId="5" xfId="1" applyNumberFormat="1" applyFont="1" applyBorder="1">
      <alignment vertical="center"/>
    </xf>
    <xf numFmtId="182" fontId="2" fillId="3" borderId="5" xfId="1" applyNumberFormat="1" applyFont="1" applyFill="1" applyBorder="1">
      <alignment vertical="center"/>
    </xf>
    <xf numFmtId="41" fontId="2" fillId="0" borderId="0" xfId="0" applyNumberFormat="1" applyFont="1">
      <alignment vertical="center"/>
    </xf>
    <xf numFmtId="183" fontId="2" fillId="0" borderId="0" xfId="0" applyNumberFormat="1" applyFont="1">
      <alignment vertical="center"/>
    </xf>
    <xf numFmtId="177" fontId="2" fillId="3" borderId="0" xfId="1" applyNumberFormat="1" applyFont="1" applyFill="1" applyBorder="1">
      <alignment vertical="center"/>
    </xf>
    <xf numFmtId="182" fontId="2" fillId="0" borderId="2" xfId="1" applyNumberFormat="1" applyFont="1" applyFill="1" applyBorder="1">
      <alignment vertical="center"/>
    </xf>
    <xf numFmtId="182" fontId="2" fillId="0" borderId="5" xfId="1" applyNumberFormat="1" applyFont="1" applyFill="1" applyBorder="1">
      <alignment vertical="center"/>
    </xf>
    <xf numFmtId="177" fontId="2" fillId="0" borderId="4" xfId="1" applyNumberFormat="1" applyFont="1" applyFill="1" applyBorder="1">
      <alignment vertical="center"/>
    </xf>
    <xf numFmtId="177" fontId="2" fillId="3" borderId="2" xfId="1" applyNumberFormat="1" applyFont="1" applyFill="1" applyBorder="1">
      <alignment vertical="center"/>
    </xf>
    <xf numFmtId="41" fontId="2" fillId="3" borderId="0" xfId="1" applyFont="1" applyFill="1" applyBorder="1">
      <alignment vertical="center"/>
    </xf>
    <xf numFmtId="41" fontId="2" fillId="3" borderId="2" xfId="1" applyFont="1" applyFill="1" applyBorder="1">
      <alignment vertical="center"/>
    </xf>
    <xf numFmtId="0" fontId="2" fillId="0" borderId="0" xfId="0" applyFont="1" applyFill="1">
      <alignment vertical="center"/>
    </xf>
    <xf numFmtId="177" fontId="2" fillId="0" borderId="2" xfId="1" applyNumberFormat="1" applyFont="1" applyFill="1" applyBorder="1">
      <alignment vertical="center"/>
    </xf>
    <xf numFmtId="0" fontId="5" fillId="4" borderId="6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/>
    </xf>
    <xf numFmtId="41" fontId="2" fillId="0" borderId="2" xfId="1" applyFont="1" applyFill="1" applyBorder="1">
      <alignment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Y14%202Q_&#50672;&#44208;_WS_v.0.5.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증감요약"/>
      <sheetName val="L6_IS (최종)"/>
      <sheetName val="L6_IS"/>
      <sheetName val="L6_BS"/>
      <sheetName val="L5"/>
      <sheetName val="L4"/>
      <sheetName val="L3"/>
      <sheetName val="L2_con"/>
      <sheetName val="L2_kt"/>
      <sheetName val="L1(Q)"/>
      <sheetName val="L1(YTD)"/>
      <sheetName val="2Q14정산표"/>
      <sheetName val="KT"/>
      <sheetName val="Skylife"/>
      <sheetName val="캐피탈"/>
      <sheetName val="렌탈"/>
      <sheetName val="1Q14정산표"/>
      <sheetName val="4Q13정산표"/>
      <sheetName val="3Q13정산표"/>
      <sheetName val="2Q13정산표"/>
      <sheetName val="1Q13정산표"/>
      <sheetName val="4Q12정산표"/>
      <sheetName val="3Q12정산표"/>
      <sheetName val="2Q12정산표"/>
      <sheetName val="1Q12정산표"/>
      <sheetName val="법인코드"/>
      <sheetName val="회사별 요약_신기준"/>
    </sheetNames>
    <sheetDataSet>
      <sheetData sheetId="0" refreshError="1"/>
      <sheetData sheetId="1" refreshError="1"/>
      <sheetData sheetId="2" refreshError="1">
        <row r="6">
          <cell r="X6">
            <v>5895473.4425434871</v>
          </cell>
        </row>
        <row r="8">
          <cell r="X8">
            <v>4988015.9578434872</v>
          </cell>
        </row>
        <row r="15">
          <cell r="X15">
            <v>907457.48470000003</v>
          </cell>
        </row>
        <row r="27">
          <cell r="X27">
            <v>-813038.39227808267</v>
          </cell>
        </row>
        <row r="28">
          <cell r="X28">
            <v>125097.05238600739</v>
          </cell>
        </row>
        <row r="38">
          <cell r="X38">
            <v>-757106.92698524264</v>
          </cell>
        </row>
        <row r="39">
          <cell r="X39">
            <v>0</v>
          </cell>
        </row>
        <row r="41">
          <cell r="X41">
            <v>-757106.92698524264</v>
          </cell>
        </row>
        <row r="42">
          <cell r="X42">
            <v>-793787.68469491997</v>
          </cell>
        </row>
      </sheetData>
      <sheetData sheetId="3" refreshError="1"/>
      <sheetData sheetId="4" refreshError="1"/>
      <sheetData sheetId="5" refreshError="1"/>
      <sheetData sheetId="6" refreshError="1">
        <row r="1400">
          <cell r="Q1400">
            <v>0.23715399517122845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50"/>
  <sheetViews>
    <sheetView showGridLines="0" tabSelected="1" view="pageBreakPreview" topLeftCell="A4" zoomScale="80" zoomScaleNormal="80" zoomScaleSheetLayoutView="80" workbookViewId="0">
      <selection activeCell="L26" sqref="L26"/>
    </sheetView>
  </sheetViews>
  <sheetFormatPr defaultRowHeight="16.5"/>
  <cols>
    <col min="1" max="1" width="3.75" style="1" customWidth="1"/>
    <col min="2" max="2" width="27" style="1" customWidth="1"/>
    <col min="3" max="3" width="12.75" style="1" bestFit="1" customWidth="1"/>
    <col min="4" max="6" width="10.875" style="1" bestFit="1" customWidth="1"/>
    <col min="7" max="9" width="10.5" style="1" customWidth="1"/>
    <col min="10" max="10" width="1.25" style="1" customWidth="1"/>
    <col min="11" max="11" width="12.125" style="1" bestFit="1" customWidth="1"/>
    <col min="12" max="12" width="9.875" style="1" bestFit="1" customWidth="1"/>
    <col min="13" max="13" width="15.75" style="1" bestFit="1" customWidth="1"/>
    <col min="14" max="16384" width="9" style="1"/>
  </cols>
  <sheetData>
    <row r="2" spans="1:13" ht="20.25">
      <c r="B2" s="10" t="s">
        <v>3</v>
      </c>
    </row>
    <row r="3" spans="1:13">
      <c r="B3" s="12" t="s">
        <v>47</v>
      </c>
      <c r="C3" s="28"/>
      <c r="D3" s="28"/>
      <c r="E3" s="28"/>
      <c r="F3" s="28"/>
      <c r="G3" s="28"/>
      <c r="H3" s="28"/>
      <c r="I3" s="28"/>
    </row>
    <row r="4" spans="1:13" ht="13.5" customHeight="1">
      <c r="C4" s="69" t="s">
        <v>41</v>
      </c>
      <c r="D4" s="69" t="s">
        <v>41</v>
      </c>
      <c r="E4" s="69" t="s">
        <v>41</v>
      </c>
      <c r="F4" s="69" t="s">
        <v>41</v>
      </c>
      <c r="G4" s="69" t="s">
        <v>55</v>
      </c>
      <c r="H4" s="69" t="s">
        <v>55</v>
      </c>
      <c r="I4" s="69" t="s">
        <v>41</v>
      </c>
    </row>
    <row r="5" spans="1:13" ht="18" thickBot="1">
      <c r="A5" s="3" t="s">
        <v>24</v>
      </c>
      <c r="B5" s="2" t="s">
        <v>4</v>
      </c>
      <c r="C5" s="18">
        <v>2010</v>
      </c>
      <c r="D5" s="18">
        <v>2011</v>
      </c>
      <c r="E5" s="18">
        <v>2012</v>
      </c>
      <c r="F5" s="18">
        <v>2013</v>
      </c>
      <c r="G5" s="68" t="s">
        <v>54</v>
      </c>
      <c r="H5" s="68" t="s">
        <v>56</v>
      </c>
      <c r="I5" s="68" t="s">
        <v>60</v>
      </c>
    </row>
    <row r="6" spans="1:13">
      <c r="B6" s="8" t="s">
        <v>5</v>
      </c>
      <c r="C6" s="26">
        <v>19551.5</v>
      </c>
      <c r="D6" s="26">
        <v>19323.599999999999</v>
      </c>
      <c r="E6" s="26">
        <v>18863.2</v>
      </c>
      <c r="F6" s="50">
        <v>17937.106937488003</v>
      </c>
      <c r="G6" s="50">
        <v>4460.8527731370004</v>
      </c>
      <c r="H6" s="52">
        <v>4442.4771631549993</v>
      </c>
      <c r="I6" s="53">
        <v>4372.3969349480003</v>
      </c>
      <c r="K6" s="26"/>
      <c r="L6" s="26"/>
      <c r="M6" s="43"/>
    </row>
    <row r="7" spans="1:13">
      <c r="B7" s="5" t="s">
        <v>6</v>
      </c>
      <c r="C7" s="26">
        <v>15796.4</v>
      </c>
      <c r="D7" s="26">
        <v>15062.9</v>
      </c>
      <c r="E7" s="26">
        <v>14462.7</v>
      </c>
      <c r="F7" s="50">
        <v>14259.439439397998</v>
      </c>
      <c r="G7" s="50">
        <v>3485.6191879480007</v>
      </c>
      <c r="H7" s="52">
        <v>3558.2692294269996</v>
      </c>
      <c r="I7" s="53">
        <v>3637.6307156580001</v>
      </c>
      <c r="K7" s="26"/>
      <c r="L7" s="26"/>
      <c r="M7" s="5"/>
    </row>
    <row r="8" spans="1:13">
      <c r="B8" s="5" t="s">
        <v>30</v>
      </c>
      <c r="C8" s="26">
        <v>3755.1</v>
      </c>
      <c r="D8" s="26">
        <v>4260.7</v>
      </c>
      <c r="E8" s="26">
        <v>4400.5</v>
      </c>
      <c r="F8" s="50">
        <v>3677.6674980899998</v>
      </c>
      <c r="G8" s="50">
        <v>975.233585189</v>
      </c>
      <c r="H8" s="52">
        <v>884.20793372800006</v>
      </c>
      <c r="I8" s="53">
        <v>734.76621928999998</v>
      </c>
      <c r="K8" s="26"/>
      <c r="L8" s="26"/>
      <c r="M8" s="5"/>
    </row>
    <row r="9" spans="1:13">
      <c r="B9" s="5" t="s">
        <v>8</v>
      </c>
      <c r="C9" s="26">
        <v>2122.6</v>
      </c>
      <c r="D9" s="26">
        <v>1665.9</v>
      </c>
      <c r="E9" s="26">
        <v>1060.8498675009989</v>
      </c>
      <c r="F9" s="50">
        <v>309.9784002909991</v>
      </c>
      <c r="G9" s="50">
        <v>22.407333991999739</v>
      </c>
      <c r="H9" s="52">
        <v>-956.50648520100026</v>
      </c>
      <c r="I9" s="53">
        <v>198.098408732</v>
      </c>
      <c r="K9" s="26"/>
      <c r="L9" s="26"/>
      <c r="M9" s="5"/>
    </row>
    <row r="10" spans="1:13">
      <c r="B10" s="6" t="s">
        <v>9</v>
      </c>
      <c r="C10" s="27">
        <v>1272.2</v>
      </c>
      <c r="D10" s="27">
        <v>1289</v>
      </c>
      <c r="E10" s="27">
        <v>708.90795008299892</v>
      </c>
      <c r="F10" s="51">
        <v>-392.28345023300085</v>
      </c>
      <c r="G10" s="51">
        <v>-4.4069663150002087</v>
      </c>
      <c r="H10" s="60">
        <v>-869.73508717600021</v>
      </c>
      <c r="I10" s="54">
        <v>-3.42255863200017</v>
      </c>
      <c r="K10" s="26"/>
      <c r="L10" s="26"/>
      <c r="M10" s="5"/>
    </row>
    <row r="11" spans="1:13">
      <c r="B11" s="13" t="s">
        <v>10</v>
      </c>
      <c r="C11" s="36">
        <v>5162</v>
      </c>
      <c r="D11" s="36">
        <v>4500.7</v>
      </c>
      <c r="E11" s="36">
        <v>3986.4549561889985</v>
      </c>
      <c r="F11" s="52">
        <v>3241.5574033339985</v>
      </c>
      <c r="G11" s="52">
        <v>780.38141575899976</v>
      </c>
      <c r="H11" s="52">
        <v>-205.67899001700025</v>
      </c>
      <c r="I11" s="53">
        <v>956.21982781999998</v>
      </c>
      <c r="K11" s="26"/>
      <c r="L11" s="26"/>
      <c r="M11" s="5"/>
    </row>
    <row r="12" spans="1:13" ht="17.25" thickBot="1">
      <c r="B12" s="37" t="s">
        <v>51</v>
      </c>
      <c r="C12" s="34">
        <v>0.26402066337621155</v>
      </c>
      <c r="D12" s="34">
        <v>0.23291208677472108</v>
      </c>
      <c r="E12" s="34">
        <v>0.21133473695203317</v>
      </c>
      <c r="F12" s="34">
        <v>0.18071796163288983</v>
      </c>
      <c r="G12" s="34">
        <v>0.17493996225529163</v>
      </c>
      <c r="H12" s="34">
        <v>-4.6298266139184661E-2</v>
      </c>
      <c r="I12" s="48">
        <v>0.21869465239467606</v>
      </c>
      <c r="K12" s="5"/>
      <c r="L12" s="26"/>
      <c r="M12" s="5"/>
    </row>
    <row r="13" spans="1:13">
      <c r="C13" s="25"/>
      <c r="D13" s="25"/>
      <c r="E13" s="25"/>
      <c r="F13" s="25"/>
      <c r="G13" s="25"/>
      <c r="H13" s="25"/>
      <c r="I13" s="25"/>
      <c r="K13" s="5"/>
      <c r="L13" s="26"/>
      <c r="M13" s="5"/>
    </row>
    <row r="14" spans="1:13" ht="18" thickBot="1">
      <c r="A14" s="3" t="s">
        <v>24</v>
      </c>
      <c r="B14" s="2" t="s">
        <v>2</v>
      </c>
      <c r="C14" s="18">
        <v>2010</v>
      </c>
      <c r="D14" s="18">
        <v>2011</v>
      </c>
      <c r="E14" s="18">
        <v>2012</v>
      </c>
      <c r="F14" s="18">
        <v>2013</v>
      </c>
      <c r="G14" s="68" t="s">
        <v>54</v>
      </c>
      <c r="H14" s="68" t="s">
        <v>57</v>
      </c>
      <c r="I14" s="68" t="s">
        <v>60</v>
      </c>
      <c r="J14" s="19"/>
      <c r="K14" s="5"/>
      <c r="L14" s="26"/>
      <c r="M14" s="5"/>
    </row>
    <row r="15" spans="1:13">
      <c r="B15" s="8" t="s">
        <v>11</v>
      </c>
      <c r="C15" s="26">
        <v>3057.2</v>
      </c>
      <c r="D15" s="26">
        <v>3318.5</v>
      </c>
      <c r="E15" s="26">
        <v>3710.5999999999995</v>
      </c>
      <c r="F15" s="26">
        <v>3312.5</v>
      </c>
      <c r="G15" s="26">
        <v>357.2</v>
      </c>
      <c r="H15" s="36">
        <v>562.70000000000005</v>
      </c>
      <c r="I15" s="59">
        <v>584.9</v>
      </c>
      <c r="K15" s="26"/>
      <c r="L15" s="26"/>
      <c r="M15" s="5"/>
    </row>
    <row r="16" spans="1:13">
      <c r="B16" s="5" t="s">
        <v>12</v>
      </c>
      <c r="C16" s="26">
        <v>1085.5999999999999</v>
      </c>
      <c r="D16" s="26">
        <v>1607.7</v>
      </c>
      <c r="E16" s="26">
        <v>2105.1999999999998</v>
      </c>
      <c r="F16" s="26">
        <v>1293.8</v>
      </c>
      <c r="G16" s="26">
        <v>177.7</v>
      </c>
      <c r="H16" s="36">
        <v>206.1</v>
      </c>
      <c r="I16" s="59">
        <v>188.8</v>
      </c>
      <c r="K16" s="26"/>
      <c r="L16" s="26"/>
      <c r="M16" s="5"/>
    </row>
    <row r="17" spans="1:13">
      <c r="B17" s="5" t="s">
        <v>13</v>
      </c>
      <c r="C17" s="26">
        <v>1618.4</v>
      </c>
      <c r="D17" s="26">
        <v>1273.3</v>
      </c>
      <c r="E17" s="26">
        <v>1106.2</v>
      </c>
      <c r="F17" s="26">
        <v>1282.5</v>
      </c>
      <c r="G17" s="26">
        <v>122.8</v>
      </c>
      <c r="H17" s="36">
        <v>255.6</v>
      </c>
      <c r="I17" s="59">
        <v>306.2</v>
      </c>
      <c r="K17" s="26"/>
      <c r="L17" s="26"/>
      <c r="M17" s="5"/>
    </row>
    <row r="18" spans="1:13">
      <c r="B18" s="6" t="s">
        <v>7</v>
      </c>
      <c r="C18" s="27">
        <v>353.2</v>
      </c>
      <c r="D18" s="27">
        <v>437.5</v>
      </c>
      <c r="E18" s="27">
        <v>499.2</v>
      </c>
      <c r="F18" s="27">
        <v>736.2</v>
      </c>
      <c r="G18" s="27">
        <v>56.7</v>
      </c>
      <c r="H18" s="67">
        <v>101</v>
      </c>
      <c r="I18" s="63">
        <v>89.9</v>
      </c>
      <c r="K18" s="26"/>
      <c r="L18" s="26"/>
      <c r="M18" s="5"/>
    </row>
    <row r="19" spans="1:13" ht="17.25" thickBot="1">
      <c r="B19" s="9" t="s">
        <v>14</v>
      </c>
      <c r="C19" s="31">
        <v>3039.4</v>
      </c>
      <c r="D19" s="31">
        <v>2834.8</v>
      </c>
      <c r="E19" s="31">
        <v>2925.6</v>
      </c>
      <c r="F19" s="31">
        <v>2931.5790030429998</v>
      </c>
      <c r="G19" s="31">
        <v>757.97408176700003</v>
      </c>
      <c r="H19" s="62">
        <v>750.82749518399999</v>
      </c>
      <c r="I19" s="41">
        <v>758.12141908800004</v>
      </c>
      <c r="K19" s="26"/>
      <c r="L19" s="26"/>
      <c r="M19" s="5"/>
    </row>
    <row r="20" spans="1:13">
      <c r="K20" s="5"/>
      <c r="L20" s="26"/>
      <c r="M20" s="5"/>
    </row>
    <row r="21" spans="1:13" ht="18" thickBot="1">
      <c r="A21" s="3" t="s">
        <v>24</v>
      </c>
      <c r="B21" s="2" t="s">
        <v>31</v>
      </c>
      <c r="C21" s="18">
        <v>2010</v>
      </c>
      <c r="D21" s="18">
        <v>2011</v>
      </c>
      <c r="E21" s="18">
        <v>2012</v>
      </c>
      <c r="F21" s="18">
        <v>2013</v>
      </c>
      <c r="G21" s="68" t="s">
        <v>54</v>
      </c>
      <c r="H21" s="68" t="s">
        <v>58</v>
      </c>
      <c r="I21" s="68" t="s">
        <v>60</v>
      </c>
      <c r="K21" s="5"/>
      <c r="L21" s="26"/>
      <c r="M21" s="5"/>
    </row>
    <row r="22" spans="1:13">
      <c r="B22" s="8" t="s">
        <v>15</v>
      </c>
      <c r="C22" s="26">
        <v>7497.3517202170005</v>
      </c>
      <c r="D22" s="26">
        <v>8501.5483771409999</v>
      </c>
      <c r="E22" s="26">
        <v>7566.18294599</v>
      </c>
      <c r="F22" s="26">
        <v>7285.8315816309996</v>
      </c>
      <c r="G22" s="26">
        <v>8116.7811393729999</v>
      </c>
      <c r="H22" s="36">
        <v>9380.4440155039993</v>
      </c>
      <c r="I22" s="59">
        <v>9112.5144495589993</v>
      </c>
      <c r="K22" s="40"/>
      <c r="L22" s="26"/>
      <c r="M22" s="5"/>
    </row>
    <row r="23" spans="1:13">
      <c r="B23" s="6" t="s">
        <v>49</v>
      </c>
      <c r="C23" s="27">
        <v>6596.0436954830011</v>
      </c>
      <c r="D23" s="27">
        <v>7711.4411661170006</v>
      </c>
      <c r="E23" s="27">
        <v>6393.2022996509995</v>
      </c>
      <c r="F23" s="27">
        <v>6261.8860732189996</v>
      </c>
      <c r="G23" s="27">
        <v>7676.164525053</v>
      </c>
      <c r="H23" s="67">
        <v>8445.8398470049979</v>
      </c>
      <c r="I23" s="63">
        <v>8606.0887387910007</v>
      </c>
      <c r="K23" s="40"/>
      <c r="L23" s="26"/>
      <c r="M23" s="5"/>
    </row>
    <row r="24" spans="1:13">
      <c r="B24" s="5" t="s">
        <v>16</v>
      </c>
      <c r="C24" s="30">
        <v>0.59471304873814079</v>
      </c>
      <c r="D24" s="30">
        <v>0.65719150079217092</v>
      </c>
      <c r="E24" s="30">
        <v>0.53854748659905727</v>
      </c>
      <c r="F24" s="30">
        <v>0.56699149039334584</v>
      </c>
      <c r="G24" s="30">
        <v>0.69996498075742819</v>
      </c>
      <c r="H24" s="39">
        <v>0.83754872925407597</v>
      </c>
      <c r="I24" s="47">
        <v>0.85473690847879769</v>
      </c>
      <c r="K24" s="5"/>
      <c r="L24" s="5"/>
      <c r="M24" s="5"/>
    </row>
    <row r="25" spans="1:13" ht="17.25" thickBot="1">
      <c r="B25" s="9" t="s">
        <v>39</v>
      </c>
      <c r="C25" s="31">
        <v>1.2778077674318096</v>
      </c>
      <c r="D25" s="31">
        <v>1.7133870655935746</v>
      </c>
      <c r="E25" s="31">
        <v>1.6037312273466202</v>
      </c>
      <c r="F25" s="31">
        <v>1.9317523320051466</v>
      </c>
      <c r="G25" s="31"/>
      <c r="H25" s="62"/>
      <c r="I25" s="41"/>
    </row>
    <row r="26" spans="1:13">
      <c r="F26" s="57"/>
      <c r="G26" s="57"/>
    </row>
    <row r="27" spans="1:13" ht="18" thickBot="1">
      <c r="A27" s="3" t="s">
        <v>24</v>
      </c>
      <c r="B27" s="2" t="s">
        <v>0</v>
      </c>
      <c r="C27" s="18">
        <v>2010</v>
      </c>
      <c r="D27" s="18">
        <v>2011</v>
      </c>
      <c r="E27" s="18">
        <v>2012</v>
      </c>
      <c r="F27" s="18">
        <v>2013</v>
      </c>
      <c r="G27" s="68" t="s">
        <v>54</v>
      </c>
      <c r="H27" s="68" t="s">
        <v>58</v>
      </c>
      <c r="I27" s="68" t="s">
        <v>60</v>
      </c>
    </row>
    <row r="28" spans="1:13">
      <c r="B28" s="8" t="s">
        <v>43</v>
      </c>
      <c r="C28" s="20">
        <v>243215.84400000001</v>
      </c>
      <c r="D28" s="20">
        <v>243301.24600000001</v>
      </c>
      <c r="E28" s="20">
        <v>243722.391</v>
      </c>
      <c r="F28" s="20">
        <v>243890.23300000001</v>
      </c>
      <c r="G28" s="20">
        <v>244877.02</v>
      </c>
      <c r="H28" s="38">
        <v>244862.70799999998</v>
      </c>
      <c r="I28" s="64">
        <v>244862.70800000001</v>
      </c>
    </row>
    <row r="29" spans="1:13">
      <c r="B29" s="5" t="s">
        <v>44</v>
      </c>
      <c r="C29" s="20">
        <v>17895.964</v>
      </c>
      <c r="D29" s="20">
        <v>17810.562000000002</v>
      </c>
      <c r="E29" s="20">
        <v>17389.417000000001</v>
      </c>
      <c r="F29" s="20">
        <v>17221.575000000001</v>
      </c>
      <c r="G29" s="20">
        <v>16234.788</v>
      </c>
      <c r="H29" s="38">
        <v>16249.1</v>
      </c>
      <c r="I29" s="64">
        <v>16249.1</v>
      </c>
      <c r="K29" s="57"/>
      <c r="L29" s="42"/>
      <c r="M29" s="58"/>
    </row>
    <row r="30" spans="1:13">
      <c r="B30" s="6" t="s">
        <v>29</v>
      </c>
      <c r="C30" s="21">
        <v>46250</v>
      </c>
      <c r="D30" s="21">
        <v>35650</v>
      </c>
      <c r="E30" s="21">
        <v>35500</v>
      </c>
      <c r="F30" s="21">
        <v>31550</v>
      </c>
      <c r="G30" s="21">
        <v>29550</v>
      </c>
      <c r="H30" s="70">
        <v>30550</v>
      </c>
      <c r="I30" s="65">
        <v>34300</v>
      </c>
    </row>
    <row r="31" spans="1:13">
      <c r="B31" s="5" t="s">
        <v>17</v>
      </c>
      <c r="C31" s="20">
        <v>2410</v>
      </c>
      <c r="D31" s="20">
        <v>2000</v>
      </c>
      <c r="E31" s="20">
        <v>2000</v>
      </c>
      <c r="F31" s="20">
        <v>800</v>
      </c>
      <c r="G31" s="20"/>
      <c r="H31" s="38"/>
      <c r="I31" s="38"/>
    </row>
    <row r="32" spans="1:13">
      <c r="B32" s="4" t="s">
        <v>35</v>
      </c>
      <c r="C32" s="32">
        <v>586.15018404000011</v>
      </c>
      <c r="D32" s="32">
        <v>486.60249199999998</v>
      </c>
      <c r="E32" s="32">
        <v>487.44478200000003</v>
      </c>
      <c r="F32" s="32">
        <v>195.11218640000001</v>
      </c>
      <c r="G32" s="32"/>
      <c r="H32" s="32"/>
      <c r="I32" s="32"/>
    </row>
    <row r="33" spans="1:11">
      <c r="B33" s="5" t="s">
        <v>45</v>
      </c>
      <c r="C33" s="26">
        <v>586.15018404000011</v>
      </c>
      <c r="D33" s="26">
        <v>486.60249199999998</v>
      </c>
      <c r="E33" s="26">
        <v>487.44478200000003</v>
      </c>
      <c r="F33" s="26">
        <v>195.11218640000001</v>
      </c>
      <c r="G33" s="26"/>
      <c r="H33" s="26"/>
      <c r="I33" s="26"/>
    </row>
    <row r="34" spans="1:11">
      <c r="B34" s="6" t="s">
        <v>46</v>
      </c>
      <c r="C34" s="21">
        <v>0</v>
      </c>
      <c r="D34" s="21">
        <v>0</v>
      </c>
      <c r="E34" s="21">
        <v>0</v>
      </c>
      <c r="F34" s="21">
        <v>0</v>
      </c>
      <c r="G34" s="21"/>
      <c r="H34" s="21"/>
      <c r="I34" s="21"/>
    </row>
    <row r="35" spans="1:11" ht="17.25" thickBot="1">
      <c r="B35" s="9" t="s">
        <v>18</v>
      </c>
      <c r="C35" s="24">
        <v>0.5</v>
      </c>
      <c r="D35" s="34">
        <v>0.3775038727695888</v>
      </c>
      <c r="E35" s="34">
        <v>0.68759954228603304</v>
      </c>
      <c r="F35" s="34">
        <v>-0.49735454091256692</v>
      </c>
      <c r="G35" s="34"/>
      <c r="H35" s="34"/>
      <c r="I35" s="34"/>
    </row>
    <row r="37" spans="1:11" ht="18" thickBot="1">
      <c r="A37" s="3" t="s">
        <v>24</v>
      </c>
      <c r="B37" s="2" t="s">
        <v>1</v>
      </c>
      <c r="C37" s="18">
        <v>2010</v>
      </c>
      <c r="D37" s="18">
        <v>2011</v>
      </c>
      <c r="E37" s="18">
        <v>2012</v>
      </c>
      <c r="F37" s="18">
        <v>2013</v>
      </c>
      <c r="G37" s="49"/>
      <c r="H37" s="49"/>
      <c r="I37" s="49"/>
    </row>
    <row r="38" spans="1:11">
      <c r="B38" s="8" t="s">
        <v>19</v>
      </c>
      <c r="C38" s="20">
        <v>5240</v>
      </c>
      <c r="D38" s="20">
        <v>5299</v>
      </c>
      <c r="E38" s="20">
        <v>2951.3086468940805</v>
      </c>
      <c r="F38" s="20">
        <v>-1608.9962848582882</v>
      </c>
      <c r="G38" s="20"/>
      <c r="H38" s="20"/>
      <c r="I38" s="20"/>
      <c r="K38" s="46"/>
    </row>
    <row r="39" spans="1:11">
      <c r="B39" s="5" t="s">
        <v>20</v>
      </c>
      <c r="C39" s="26">
        <v>8.8000000000000007</v>
      </c>
      <c r="D39" s="26">
        <v>6.7</v>
      </c>
      <c r="E39" s="26">
        <v>12.028562325177255</v>
      </c>
      <c r="F39" s="26">
        <v>-19.608497730483421</v>
      </c>
      <c r="G39" s="26"/>
      <c r="H39" s="26"/>
      <c r="I39" s="26"/>
    </row>
    <row r="40" spans="1:11">
      <c r="B40" s="5" t="s">
        <v>21</v>
      </c>
      <c r="C40" s="26">
        <v>3.7</v>
      </c>
      <c r="D40" s="26">
        <v>3.6</v>
      </c>
      <c r="E40" s="26">
        <v>4.0296900692448068</v>
      </c>
      <c r="F40" s="26">
        <v>4.7303628711174373</v>
      </c>
      <c r="G40" s="26"/>
      <c r="H40" s="26"/>
      <c r="I40" s="26"/>
    </row>
    <row r="41" spans="1:11">
      <c r="B41" s="5" t="s">
        <v>22</v>
      </c>
      <c r="C41" s="30">
        <v>0.11899999999999999</v>
      </c>
      <c r="D41" s="30">
        <v>0.113</v>
      </c>
      <c r="E41" s="30">
        <v>6.059204588784068E-2</v>
      </c>
      <c r="F41" s="30">
        <v>-3.4237760599942692E-2</v>
      </c>
      <c r="G41" s="30"/>
      <c r="H41" s="30"/>
      <c r="I41" s="30"/>
    </row>
    <row r="42" spans="1:11" ht="17.25" thickBot="1">
      <c r="B42" s="9" t="s">
        <v>23</v>
      </c>
      <c r="C42" s="24">
        <v>5.1999999999999998E-2</v>
      </c>
      <c r="D42" s="24">
        <v>5.0999999999999997E-2</v>
      </c>
      <c r="E42" s="24">
        <v>2.7134410346011561E-2</v>
      </c>
      <c r="F42" s="24">
        <v>-1.5029248475776941E-2</v>
      </c>
      <c r="G42" s="24"/>
      <c r="H42" s="30"/>
      <c r="I42" s="30"/>
    </row>
    <row r="43" spans="1:11">
      <c r="C43" s="45"/>
      <c r="D43" s="45"/>
      <c r="E43" s="42"/>
      <c r="F43" s="42"/>
    </row>
    <row r="45" spans="1:11">
      <c r="B45" s="11" t="s">
        <v>25</v>
      </c>
      <c r="C45" s="11"/>
      <c r="D45" s="11"/>
      <c r="E45" s="11"/>
      <c r="F45" s="11"/>
      <c r="G45" s="11"/>
      <c r="H45" s="11"/>
      <c r="I45" s="11"/>
    </row>
    <row r="46" spans="1:11">
      <c r="B46" s="11" t="s">
        <v>26</v>
      </c>
      <c r="C46" s="11"/>
      <c r="D46" s="11"/>
      <c r="E46" s="11"/>
      <c r="F46" s="11"/>
      <c r="G46" s="11"/>
      <c r="H46" s="11"/>
      <c r="I46" s="11"/>
    </row>
    <row r="47" spans="1:11">
      <c r="B47" s="11" t="s">
        <v>27</v>
      </c>
      <c r="C47" s="11"/>
      <c r="D47" s="11"/>
      <c r="E47" s="11"/>
      <c r="F47" s="11"/>
      <c r="G47" s="11"/>
      <c r="H47" s="11"/>
      <c r="I47" s="11"/>
    </row>
    <row r="48" spans="1:11">
      <c r="B48" s="11" t="s">
        <v>28</v>
      </c>
      <c r="C48" s="11"/>
      <c r="D48" s="11"/>
      <c r="E48" s="11"/>
      <c r="F48" s="11"/>
      <c r="G48" s="11"/>
      <c r="H48" s="11"/>
      <c r="I48" s="11"/>
    </row>
    <row r="49" spans="2:9">
      <c r="B49" s="11" t="s">
        <v>32</v>
      </c>
      <c r="C49" s="11"/>
      <c r="D49" s="11"/>
      <c r="E49" s="11"/>
      <c r="F49" s="11"/>
      <c r="G49" s="11"/>
      <c r="H49" s="11"/>
      <c r="I49" s="11"/>
    </row>
    <row r="50" spans="2:9">
      <c r="B50" s="11" t="s">
        <v>33</v>
      </c>
      <c r="C50" s="11"/>
      <c r="D50" s="11"/>
      <c r="E50" s="11"/>
      <c r="F50" s="11"/>
      <c r="G50" s="11"/>
      <c r="H50" s="11"/>
      <c r="I50" s="11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62" orientation="portrait" r:id="rId1"/>
  <colBreaks count="1" manualBreakCount="1">
    <brk id="9" max="51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27"/>
  <sheetViews>
    <sheetView showGridLines="0" view="pageBreakPreview" zoomScale="80" zoomScaleNormal="80" zoomScaleSheetLayoutView="80" workbookViewId="0">
      <selection activeCell="U28" sqref="U28"/>
    </sheetView>
  </sheetViews>
  <sheetFormatPr defaultRowHeight="16.5"/>
  <cols>
    <col min="1" max="1" width="3.75" style="1" customWidth="1"/>
    <col min="2" max="2" width="38" style="1" customWidth="1"/>
    <col min="3" max="5" width="13" style="1" hidden="1" customWidth="1"/>
    <col min="6" max="7" width="10.875" style="1" bestFit="1" customWidth="1"/>
    <col min="8" max="12" width="10.875" style="1" customWidth="1"/>
    <col min="13" max="13" width="1.375" style="1" customWidth="1"/>
    <col min="14" max="14" width="9" style="1"/>
    <col min="15" max="16" width="9.875" style="1" bestFit="1" customWidth="1"/>
    <col min="17" max="17" width="14.25" style="1" bestFit="1" customWidth="1"/>
    <col min="18" max="16384" width="9" style="1"/>
  </cols>
  <sheetData>
    <row r="2" spans="1:17" ht="20.25">
      <c r="B2" s="10" t="s">
        <v>34</v>
      </c>
      <c r="G2" s="35"/>
      <c r="H2" s="35"/>
      <c r="I2" s="35"/>
      <c r="J2" s="35"/>
      <c r="K2" s="35"/>
      <c r="L2" s="35"/>
    </row>
    <row r="3" spans="1:17">
      <c r="B3" s="12" t="s">
        <v>47</v>
      </c>
    </row>
    <row r="4" spans="1:17">
      <c r="B4" s="7"/>
      <c r="C4" s="29" t="s">
        <v>40</v>
      </c>
      <c r="D4" s="29" t="s">
        <v>40</v>
      </c>
      <c r="E4" s="29" t="s">
        <v>40</v>
      </c>
      <c r="F4" s="69" t="s">
        <v>41</v>
      </c>
      <c r="G4" s="69" t="s">
        <v>41</v>
      </c>
      <c r="H4" s="69" t="s">
        <v>41</v>
      </c>
      <c r="I4" s="69" t="s">
        <v>41</v>
      </c>
      <c r="J4" s="69" t="s">
        <v>41</v>
      </c>
      <c r="K4" s="69" t="s">
        <v>41</v>
      </c>
      <c r="L4" s="69" t="s">
        <v>41</v>
      </c>
    </row>
    <row r="5" spans="1:17" ht="18" thickBot="1">
      <c r="A5" s="3" t="s">
        <v>24</v>
      </c>
      <c r="B5" s="2" t="s">
        <v>4</v>
      </c>
      <c r="C5" s="23">
        <v>2008</v>
      </c>
      <c r="D5" s="23">
        <v>2009</v>
      </c>
      <c r="E5" s="23">
        <v>2010</v>
      </c>
      <c r="F5" s="18">
        <v>2010</v>
      </c>
      <c r="G5" s="18">
        <v>2011</v>
      </c>
      <c r="H5" s="18">
        <v>2012</v>
      </c>
      <c r="I5" s="18">
        <v>2013</v>
      </c>
      <c r="J5" s="68" t="s">
        <v>54</v>
      </c>
      <c r="K5" s="68" t="s">
        <v>59</v>
      </c>
      <c r="L5" s="68" t="s">
        <v>60</v>
      </c>
    </row>
    <row r="6" spans="1:17">
      <c r="B6" s="8" t="s">
        <v>5</v>
      </c>
      <c r="C6" s="20"/>
      <c r="D6" s="20"/>
      <c r="E6" s="20"/>
      <c r="F6" s="50">
        <v>20009.350345142913</v>
      </c>
      <c r="G6" s="52">
        <v>21257.910373495772</v>
      </c>
      <c r="H6" s="52">
        <v>23790.290116847067</v>
      </c>
      <c r="I6" s="52">
        <v>23810.622761016464</v>
      </c>
      <c r="J6" s="52">
        <v>5846.0717171032202</v>
      </c>
      <c r="K6" s="52">
        <f>+'[1]L6_IS (최종)'!$X$6/10^3</f>
        <v>5895.4734425434872</v>
      </c>
      <c r="L6" s="53">
        <v>5955.5549180840599</v>
      </c>
      <c r="N6" s="42"/>
      <c r="O6" s="42"/>
      <c r="P6" s="42"/>
      <c r="Q6" s="44"/>
    </row>
    <row r="7" spans="1:17">
      <c r="B7" s="5" t="s">
        <v>6</v>
      </c>
      <c r="C7" s="20"/>
      <c r="D7" s="20"/>
      <c r="E7" s="20"/>
      <c r="F7" s="50">
        <v>16415.15937700521</v>
      </c>
      <c r="G7" s="52">
        <v>16946.92698879847</v>
      </c>
      <c r="H7" s="52">
        <v>19189.366962295324</v>
      </c>
      <c r="I7" s="52">
        <v>19844.129803369469</v>
      </c>
      <c r="J7" s="52">
        <v>4858.7156715292203</v>
      </c>
      <c r="K7" s="52">
        <f>+'[1]L6_IS (최종)'!$X$8/10^3</f>
        <v>4988.0159578434868</v>
      </c>
      <c r="L7" s="53">
        <v>5130.5368264230601</v>
      </c>
      <c r="N7" s="42"/>
      <c r="O7" s="42"/>
      <c r="P7" s="42"/>
    </row>
    <row r="8" spans="1:17">
      <c r="B8" s="5" t="s">
        <v>30</v>
      </c>
      <c r="C8" s="20"/>
      <c r="D8" s="20"/>
      <c r="E8" s="20"/>
      <c r="F8" s="50">
        <v>3594.1909681377006</v>
      </c>
      <c r="G8" s="52">
        <v>4310.9833846973006</v>
      </c>
      <c r="H8" s="52">
        <v>4600.9231545517505</v>
      </c>
      <c r="I8" s="52">
        <v>3966.4929576470004</v>
      </c>
      <c r="J8" s="52">
        <v>987.35604557399984</v>
      </c>
      <c r="K8" s="52">
        <f>+'[1]L6_IS (최종)'!$X$15/10^3</f>
        <v>907.45748470000001</v>
      </c>
      <c r="L8" s="53">
        <v>825.01809166099997</v>
      </c>
      <c r="N8" s="42"/>
      <c r="O8" s="42"/>
      <c r="P8" s="42"/>
    </row>
    <row r="9" spans="1:17">
      <c r="B9" s="5" t="s">
        <v>8</v>
      </c>
      <c r="C9" s="20"/>
      <c r="D9" s="20"/>
      <c r="E9" s="20"/>
      <c r="F9" s="50">
        <v>2050.6507915095167</v>
      </c>
      <c r="G9" s="52">
        <v>1737.2443110871827</v>
      </c>
      <c r="H9" s="52">
        <v>1213.9110888681523</v>
      </c>
      <c r="I9" s="52">
        <v>839.36704830344956</v>
      </c>
      <c r="J9" s="52">
        <v>152.02959759875108</v>
      </c>
      <c r="K9" s="52">
        <f>+'[1]L6_IS (최종)'!$X$27/10^3</f>
        <v>-813.03839227808271</v>
      </c>
      <c r="L9" s="53">
        <v>335.10452752770601</v>
      </c>
      <c r="N9" s="42"/>
      <c r="O9" s="42"/>
      <c r="P9" s="42"/>
    </row>
    <row r="10" spans="1:17">
      <c r="B10" s="15" t="s">
        <v>38</v>
      </c>
      <c r="C10" s="20"/>
      <c r="D10" s="20"/>
      <c r="E10" s="20"/>
      <c r="F10" s="50">
        <v>1320.1143734035861</v>
      </c>
      <c r="G10" s="52">
        <v>1276.2465062809695</v>
      </c>
      <c r="H10" s="52">
        <v>1143.0914745201123</v>
      </c>
      <c r="I10" s="52">
        <v>-60.227228844630361</v>
      </c>
      <c r="J10" s="52">
        <v>-40.894019487388903</v>
      </c>
      <c r="K10" s="52">
        <f>+'[1]L6_IS (최종)'!$X$38/1000</f>
        <v>-757.10692698524258</v>
      </c>
      <c r="L10" s="53">
        <v>74.001425679055799</v>
      </c>
      <c r="N10" s="42"/>
      <c r="O10" s="42"/>
      <c r="P10" s="42"/>
    </row>
    <row r="11" spans="1:17">
      <c r="B11" s="13" t="s">
        <v>37</v>
      </c>
      <c r="C11" s="20"/>
      <c r="D11" s="20"/>
      <c r="E11" s="20"/>
      <c r="F11" s="50">
        <v>18.143715141890002</v>
      </c>
      <c r="G11" s="52">
        <v>164.61132972490864</v>
      </c>
      <c r="H11" s="52">
        <v>-31.533871472999998</v>
      </c>
      <c r="I11" s="52">
        <v>0</v>
      </c>
      <c r="J11" s="52">
        <v>0</v>
      </c>
      <c r="K11" s="52">
        <f>+'[1]L6_IS (최종)'!$X$39/10^3</f>
        <v>0</v>
      </c>
      <c r="L11" s="53">
        <f>+'[1]L6_IS (최종)'!$X$39/10^3</f>
        <v>0</v>
      </c>
      <c r="N11" s="42"/>
      <c r="O11" s="42"/>
      <c r="P11" s="42"/>
    </row>
    <row r="12" spans="1:17">
      <c r="B12" s="5" t="s">
        <v>9</v>
      </c>
      <c r="C12" s="20"/>
      <c r="D12" s="20"/>
      <c r="E12" s="20"/>
      <c r="F12" s="50">
        <v>1338.2580885454761</v>
      </c>
      <c r="G12" s="52">
        <v>1440.8578360058782</v>
      </c>
      <c r="H12" s="52">
        <v>1111.5576030471125</v>
      </c>
      <c r="I12" s="52">
        <v>-60.227228844630361</v>
      </c>
      <c r="J12" s="52">
        <v>-40.894019487388903</v>
      </c>
      <c r="K12" s="52">
        <f>+'[1]L6_IS (최종)'!$X$41/10^3</f>
        <v>-757.10692698524258</v>
      </c>
      <c r="L12" s="53">
        <v>74.001425679055799</v>
      </c>
      <c r="N12" s="42"/>
      <c r="O12" s="42"/>
      <c r="P12" s="42"/>
    </row>
    <row r="13" spans="1:17">
      <c r="B13" s="14" t="s">
        <v>36</v>
      </c>
      <c r="C13" s="21"/>
      <c r="D13" s="21"/>
      <c r="E13" s="21"/>
      <c r="F13" s="51">
        <v>1321.3949044717619</v>
      </c>
      <c r="G13" s="60">
        <v>1446.55146478436</v>
      </c>
      <c r="H13" s="60">
        <v>1057.12265397242</v>
      </c>
      <c r="I13" s="60">
        <v>-162.43703460525001</v>
      </c>
      <c r="J13" s="60">
        <v>-72.038110932710012</v>
      </c>
      <c r="K13" s="60">
        <f>+'[1]L6_IS (최종)'!$X$42/10^3</f>
        <v>-793.78768469492002</v>
      </c>
      <c r="L13" s="54">
        <v>48.847322541569902</v>
      </c>
      <c r="N13" s="42"/>
      <c r="O13" s="42"/>
      <c r="P13" s="42"/>
    </row>
    <row r="14" spans="1:17" ht="17.25" thickBot="1">
      <c r="B14" s="17" t="s">
        <v>10</v>
      </c>
      <c r="C14" s="33"/>
      <c r="D14" s="33"/>
      <c r="E14" s="33"/>
      <c r="F14" s="55">
        <v>5159.0932152189162</v>
      </c>
      <c r="G14" s="61">
        <v>4661.9613962724898</v>
      </c>
      <c r="H14" s="61">
        <v>4481.7024203536921</v>
      </c>
      <c r="I14" s="61">
        <v>4405.5416345658296</v>
      </c>
      <c r="J14" s="61">
        <v>1083.8712271144211</v>
      </c>
      <c r="K14" s="61">
        <f>+'[1]L6_IS (최종)'!$X$28/10^3</f>
        <v>125.09705238600739</v>
      </c>
      <c r="L14" s="56">
        <v>1280.2892252576901</v>
      </c>
      <c r="N14" s="42"/>
      <c r="O14" s="42"/>
      <c r="P14" s="42"/>
    </row>
    <row r="15" spans="1:17">
      <c r="G15" s="66"/>
      <c r="H15" s="66"/>
      <c r="I15" s="66"/>
      <c r="J15" s="66"/>
    </row>
    <row r="16" spans="1:17">
      <c r="G16" s="66"/>
      <c r="H16" s="66"/>
      <c r="I16" s="66"/>
      <c r="J16" s="66"/>
    </row>
    <row r="17" spans="1:16" ht="18" thickBot="1">
      <c r="A17" s="3" t="s">
        <v>24</v>
      </c>
      <c r="B17" s="16" t="s">
        <v>42</v>
      </c>
      <c r="C17" s="23">
        <v>2008</v>
      </c>
      <c r="D17" s="23">
        <v>2009</v>
      </c>
      <c r="E17" s="23">
        <v>2010</v>
      </c>
      <c r="F17" s="18">
        <v>2010</v>
      </c>
      <c r="G17" s="18">
        <v>2011</v>
      </c>
      <c r="H17" s="18">
        <v>2012</v>
      </c>
      <c r="I17" s="18">
        <v>2013</v>
      </c>
      <c r="J17" s="68" t="s">
        <v>54</v>
      </c>
      <c r="K17" s="68" t="s">
        <v>59</v>
      </c>
      <c r="L17" s="68" t="s">
        <v>60</v>
      </c>
    </row>
    <row r="18" spans="1:16">
      <c r="B18" s="13" t="s">
        <v>50</v>
      </c>
      <c r="C18" s="38"/>
      <c r="D18" s="38"/>
      <c r="E18" s="38"/>
      <c r="F18" s="39">
        <v>0.10248462624411458</v>
      </c>
      <c r="G18" s="39">
        <v>8.0461384004588854E-2</v>
      </c>
      <c r="H18" s="39">
        <v>5.102131546553073E-2</v>
      </c>
      <c r="I18" s="39">
        <v>3.5251788948489363E-2</v>
      </c>
      <c r="J18" s="39">
        <v>2.60054280815568E-2</v>
      </c>
      <c r="K18" s="39">
        <f>+K9/K6</f>
        <v>-0.13790892287139422</v>
      </c>
      <c r="L18" s="47">
        <f>+L9/L6</f>
        <v>5.6267557286754276E-2</v>
      </c>
    </row>
    <row r="19" spans="1:16">
      <c r="B19" s="13" t="s">
        <v>51</v>
      </c>
      <c r="C19" s="38"/>
      <c r="D19" s="38"/>
      <c r="E19" s="38"/>
      <c r="F19" s="39">
        <v>0.25783411886089741</v>
      </c>
      <c r="G19" s="39">
        <v>0.21994686730180857</v>
      </c>
      <c r="H19" s="39">
        <v>0.18837951141167672</v>
      </c>
      <c r="I19" s="39">
        <v>0.18502420868129191</v>
      </c>
      <c r="J19" s="39">
        <v>0.18540163028507778</v>
      </c>
      <c r="K19" s="39">
        <f>+K14/K6</f>
        <v>2.1219169860603546E-2</v>
      </c>
      <c r="L19" s="47">
        <f>+L14/L6</f>
        <v>0.21497396008726041</v>
      </c>
    </row>
    <row r="20" spans="1:16" ht="17.25" thickBot="1">
      <c r="B20" s="9" t="s">
        <v>52</v>
      </c>
      <c r="C20" s="22"/>
      <c r="D20" s="22"/>
      <c r="E20" s="22"/>
      <c r="F20" s="34">
        <v>0.23433343753614455</v>
      </c>
      <c r="G20" s="34">
        <v>0.19999307013375925</v>
      </c>
      <c r="H20" s="34">
        <v>0.19645292762703448</v>
      </c>
      <c r="I20" s="34">
        <v>-10.50704343214036</v>
      </c>
      <c r="J20" s="34">
        <v>-0.57938468033457213</v>
      </c>
      <c r="K20" s="34">
        <f>+[1]L4!$Q$1400</f>
        <v>0.23715399517122845</v>
      </c>
      <c r="L20" s="48">
        <v>0.175560979017713</v>
      </c>
    </row>
    <row r="23" spans="1:16" ht="18" thickBot="1">
      <c r="A23" s="3" t="s">
        <v>24</v>
      </c>
      <c r="B23" s="2" t="s">
        <v>31</v>
      </c>
      <c r="C23" s="23">
        <v>2008</v>
      </c>
      <c r="D23" s="23">
        <v>2009</v>
      </c>
      <c r="E23" s="23">
        <v>2010</v>
      </c>
      <c r="F23" s="18">
        <v>2010</v>
      </c>
      <c r="G23" s="18">
        <v>2011</v>
      </c>
      <c r="H23" s="18">
        <v>2012</v>
      </c>
      <c r="I23" s="18">
        <v>2013</v>
      </c>
      <c r="J23" s="68" t="s">
        <v>54</v>
      </c>
      <c r="K23" s="68" t="s">
        <v>59</v>
      </c>
      <c r="L23" s="68" t="s">
        <v>60</v>
      </c>
    </row>
    <row r="24" spans="1:16">
      <c r="B24" s="8" t="s">
        <v>53</v>
      </c>
      <c r="C24" s="20"/>
      <c r="D24" s="20"/>
      <c r="E24" s="20"/>
      <c r="F24" s="36">
        <v>9382.4</v>
      </c>
      <c r="G24" s="36">
        <v>10998.6</v>
      </c>
      <c r="H24" s="52">
        <v>11436.119569464041</v>
      </c>
      <c r="I24" s="52">
        <v>11482.0569611923</v>
      </c>
      <c r="J24" s="52">
        <v>11745.476002444351</v>
      </c>
      <c r="K24" s="52">
        <v>13111.232698669799</v>
      </c>
      <c r="L24" s="53">
        <v>12928.7</v>
      </c>
      <c r="P24" s="42"/>
    </row>
    <row r="25" spans="1:16">
      <c r="B25" s="6" t="s">
        <v>49</v>
      </c>
      <c r="C25" s="21"/>
      <c r="D25" s="21"/>
      <c r="E25" s="21"/>
      <c r="F25" s="67">
        <v>8220.7000000000007</v>
      </c>
      <c r="G25" s="67">
        <v>9553.4</v>
      </c>
      <c r="H25" s="60">
        <v>9378.5062390619314</v>
      </c>
      <c r="I25" s="60">
        <v>9411.188165191692</v>
      </c>
      <c r="J25" s="60">
        <v>10050.713726104801</v>
      </c>
      <c r="K25" s="60">
        <v>10795.418670519508</v>
      </c>
      <c r="L25" s="54">
        <v>10887.4</v>
      </c>
      <c r="P25" s="42"/>
    </row>
    <row r="26" spans="1:16">
      <c r="B26" s="5" t="s">
        <v>16</v>
      </c>
      <c r="C26" s="20"/>
      <c r="D26" s="20"/>
      <c r="E26" s="20"/>
      <c r="F26" s="39">
        <v>0.72399999999999998</v>
      </c>
      <c r="G26" s="39">
        <v>0.76196592644220018</v>
      </c>
      <c r="H26" s="39">
        <v>0.70952673929099574</v>
      </c>
      <c r="I26" s="39">
        <v>0.73153934588005409</v>
      </c>
      <c r="J26" s="39">
        <v>0.79744283796948845</v>
      </c>
      <c r="K26" s="39">
        <v>0.91242335234112915</v>
      </c>
      <c r="L26" s="47">
        <v>0.91274700011295051</v>
      </c>
    </row>
    <row r="27" spans="1:16" ht="17.25" thickBot="1">
      <c r="B27" s="9" t="s">
        <v>48</v>
      </c>
      <c r="C27" s="22"/>
      <c r="D27" s="22"/>
      <c r="E27" s="22"/>
      <c r="F27" s="62">
        <v>1.5934389353054501</v>
      </c>
      <c r="G27" s="62">
        <v>2.0492233178160806</v>
      </c>
      <c r="H27" s="62">
        <v>2.0926213655929855</v>
      </c>
      <c r="I27" s="62">
        <v>2.136215917550663</v>
      </c>
      <c r="J27" s="62"/>
      <c r="K27" s="62"/>
      <c r="L27" s="62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KT Only</vt:lpstr>
      <vt:lpstr>Consolidated</vt:lpstr>
      <vt:lpstr>Consolidated!Print_Area</vt:lpstr>
      <vt:lpstr>'KT Only'!Print_Area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greatKANGmae</dc:creator>
  <cp:lastModifiedBy>Windows 사용자</cp:lastModifiedBy>
  <cp:lastPrinted>2012-05-03T12:47:17Z</cp:lastPrinted>
  <dcterms:created xsi:type="dcterms:W3CDTF">2012-01-10T00:01:55Z</dcterms:created>
  <dcterms:modified xsi:type="dcterms:W3CDTF">2014-10-28T23:28:18Z</dcterms:modified>
</cp:coreProperties>
</file>