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" yWindow="-270" windowWidth="18195" windowHeight="6150"/>
  </bookViews>
  <sheets>
    <sheet name="KT Only" sheetId="1" r:id="rId1"/>
    <sheet name="Consolidated" sheetId="4" r:id="rId2"/>
  </sheets>
  <externalReferences>
    <externalReference r:id="rId3"/>
    <externalReference r:id="rId4"/>
  </externalReferences>
  <definedNames>
    <definedName name="_xlnm.Print_Area" localSheetId="1">Consolidated!$A$1:$K$29</definedName>
    <definedName name="_xlnm.Print_Area" localSheetId="0">'KT Only'!$A$1:$K$52</definedName>
  </definedNames>
  <calcPr calcId="125725"/>
</workbook>
</file>

<file path=xl/calcChain.xml><?xml version="1.0" encoding="utf-8"?>
<calcChain xmlns="http://schemas.openxmlformats.org/spreadsheetml/2006/main">
  <c r="I26" i="4"/>
  <c r="H26"/>
  <c r="I25"/>
  <c r="H25"/>
  <c r="G36" i="1" l="1"/>
  <c r="G34"/>
  <c r="G33"/>
  <c r="H21" i="4"/>
  <c r="H20"/>
  <c r="H19"/>
  <c r="G13" i="1" l="1"/>
  <c r="F13"/>
  <c r="E13"/>
  <c r="D13"/>
  <c r="C13"/>
  <c r="C34" l="1"/>
  <c r="D33"/>
  <c r="D36" s="1"/>
  <c r="D34"/>
  <c r="E34"/>
  <c r="E33" s="1"/>
  <c r="F34"/>
  <c r="F33" s="1"/>
  <c r="C33" l="1"/>
  <c r="F36"/>
  <c r="E36"/>
  <c r="C36" l="1"/>
</calcChain>
</file>

<file path=xl/sharedStrings.xml><?xml version="1.0" encoding="utf-8"?>
<sst xmlns="http://schemas.openxmlformats.org/spreadsheetml/2006/main" count="112" uniqueCount="62">
  <si>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</si>
  <si>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</si>
  <si>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</si>
  <si>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</si>
  <si>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</si>
  <si>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</si>
  <si>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</si>
  <si>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</si>
  <si>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</si>
  <si>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</si>
  <si>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</si>
  <si>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</si>
  <si>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</si>
  <si>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</si>
  <si>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</si>
  <si>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</si>
  <si>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</si>
  <si>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</si>
  <si>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</si>
  <si>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</si>
  <si>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</si>
  <si>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</si>
  <si>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</si>
  <si>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</si>
  <si>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</si>
  <si>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</si>
  <si>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</si>
  <si>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</si>
  <si>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</si>
  <si>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</si>
  <si>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</si>
  <si>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</si>
  <si>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</si>
  <si>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</si>
  <si>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</si>
  <si>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</si>
  <si>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</si>
  <si>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</si>
  <si>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</si>
  <si>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</si>
  <si>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</si>
  <si>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</si>
  <si>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</si>
  <si>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</si>
  <si>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</si>
  <si>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</si>
  <si>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</si>
  <si>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</si>
  <si>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</si>
  <si>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</si>
  <si>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</si>
  <si>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</si>
  <si>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</si>
  <si>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</si>
  <si>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</si>
  <si>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12</t>
    <phoneticPr fontId="1" type="noConversion"/>
  </si>
  <si>
    <t>2Q 12</t>
    <phoneticPr fontId="1" type="noConversion"/>
  </si>
  <si>
    <t>2Q 12</t>
    <phoneticPr fontId="1" type="noConversion"/>
  </si>
  <si>
    <t>2Q 12</t>
    <phoneticPr fontId="1" type="noConversion"/>
  </si>
  <si>
    <t>3Q 12</t>
    <phoneticPr fontId="1" type="noConversion"/>
  </si>
  <si>
    <t>3Q 12</t>
    <phoneticPr fontId="1" type="noConversion"/>
  </si>
  <si>
    <t>3Q 12</t>
    <phoneticPr fontId="1" type="noConversion"/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</si>
</sst>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8" fontId="2" fillId="0" borderId="2" xfId="1" applyNumberFormat="1" applyFont="1" applyBorder="1">
      <alignment vertical="center"/>
    </xf>
    <xf numFmtId="41" fontId="2" fillId="3" borderId="0" xfId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76" fontId="2" fillId="3" borderId="5" xfId="2" applyNumberFormat="1" applyFont="1" applyFill="1" applyBorder="1">
      <alignment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Outlook\XQHZW5EE\&#50672;&#44208;\FY12%201Q_&#50672;&#44208;_WS_BIT%20Modified(1Q_&#52572;&#51333;)_v10_0503_&#49707;&#51088;&#54869;&#5122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Outlook\XQHZW5EE\FY12%203Q_&#50672;&#44208;_WS_v1_8(v_0%203)_&#49707;&#51088;&#54869;&#51221;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L6_IS"/>
      <sheetName val="L6_BS"/>
      <sheetName val="L5"/>
      <sheetName val="L4"/>
      <sheetName val="L3"/>
      <sheetName val="L2_kt"/>
      <sheetName val="L2_con"/>
      <sheetName val="L1(Q)"/>
      <sheetName val="L1(YTD)"/>
      <sheetName val="1Q12 정산표"/>
      <sheetName val="KT"/>
      <sheetName val="Skylife"/>
      <sheetName val="캐피탈"/>
      <sheetName val="KT(YTD)"/>
      <sheetName val="Skylife(YTD)"/>
      <sheetName val="캐피탈(YTD)"/>
      <sheetName val="법인코드"/>
      <sheetName val="Sheet1"/>
    </sheetNames>
    <sheetDataSet>
      <sheetData sheetId="0"/>
      <sheetData sheetId="1"/>
      <sheetData sheetId="2">
        <row r="145">
          <cell r="I145">
            <v>0.83905521955203621</v>
          </cell>
        </row>
      </sheetData>
      <sheetData sheetId="3">
        <row r="46">
          <cell r="H46">
            <v>9.9817780082193761E-2</v>
          </cell>
        </row>
        <row r="48">
          <cell r="H48">
            <v>0.23237518655896344</v>
          </cell>
        </row>
        <row r="50">
          <cell r="H50">
            <v>0.22435532974033667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L6_IS"/>
      <sheetName val="L6_IS (렌탈)"/>
      <sheetName val="L6_BS"/>
      <sheetName val="L5"/>
      <sheetName val="L4"/>
      <sheetName val="L3"/>
      <sheetName val="L2_con"/>
      <sheetName val="L2_kt"/>
      <sheetName val="L1(Q)"/>
      <sheetName val="L1(YTD)"/>
      <sheetName val="3Q12정산표"/>
      <sheetName val="2Q12정산표"/>
      <sheetName val="1Q12정산표"/>
      <sheetName val="KT"/>
      <sheetName val="Skylife"/>
      <sheetName val="캐피탈"/>
      <sheetName val="렌탈"/>
      <sheetName val="법인코드"/>
      <sheetName val="SUM"/>
      <sheetName val="인건비"/>
      <sheetName val="감가상각비"/>
      <sheetName val="지급수수료"/>
      <sheetName val="서비스원가"/>
      <sheetName val="판매비"/>
    </sheetNames>
    <sheetDataSet>
      <sheetData sheetId="0"/>
      <sheetData sheetId="1"/>
      <sheetData sheetId="2"/>
      <sheetData sheetId="3">
        <row r="102">
          <cell r="M102">
            <v>11451041.25926533</v>
          </cell>
          <cell r="N102">
            <v>10999225.71726387</v>
          </cell>
        </row>
        <row r="137">
          <cell r="M137">
            <v>9880054.6835017204</v>
          </cell>
          <cell r="N137">
            <v>9597934.8341092598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51"/>
  <sheetViews>
    <sheetView showGridLines="0" tabSelected="1" view="pageBreakPreview" zoomScale="80" zoomScaleNormal="80" zoomScaleSheetLayoutView="80" workbookViewId="0">
      <selection activeCell="H34" sqref="H34"/>
    </sheetView>
  </sheetViews>
  <sheetFormatPr defaultRowHeight="16.5"/>
  <cols>
    <col min="1" max="1" width="3.75" style="1" customWidth="1"/>
    <col min="2" max="2" width="27" style="1" customWidth="1"/>
    <col min="3" max="7" width="10.875" style="1" bestFit="1" customWidth="1"/>
    <col min="8" max="10" width="10.5" style="1" bestFit="1" customWidth="1"/>
    <col min="11" max="11" width="1.25" style="1" customWidth="1"/>
    <col min="12" max="12" width="12.125" style="1" bestFit="1" customWidth="1"/>
    <col min="13" max="13" width="9.875" style="1" bestFit="1" customWidth="1"/>
    <col min="14" max="14" width="15.75" style="1" bestFit="1" customWidth="1"/>
    <col min="15" max="16384" width="9" style="1"/>
  </cols>
  <sheetData>
    <row r="2" spans="1:14" ht="20.25">
      <c r="B2" s="10" t="s">
        <v>3</v>
      </c>
      <c r="D2" s="36"/>
    </row>
    <row r="3" spans="1:14">
      <c r="B3" s="12" t="s">
        <v>48</v>
      </c>
      <c r="C3" s="28"/>
      <c r="D3" s="28"/>
      <c r="E3" s="28"/>
      <c r="F3" s="28"/>
      <c r="G3" s="28"/>
      <c r="H3" s="28"/>
      <c r="I3" s="28"/>
      <c r="J3" s="28"/>
    </row>
    <row r="4" spans="1:14" ht="13.5" customHeight="1">
      <c r="C4" s="55" t="s">
        <v>43</v>
      </c>
      <c r="D4" s="55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</row>
    <row r="5" spans="1:14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9" t="s">
        <v>55</v>
      </c>
      <c r="I5" s="19" t="s">
        <v>56</v>
      </c>
      <c r="J5" s="19" t="s">
        <v>59</v>
      </c>
    </row>
    <row r="6" spans="1:14">
      <c r="B6" s="8" t="s">
        <v>5</v>
      </c>
      <c r="C6" s="26">
        <v>18932.8</v>
      </c>
      <c r="D6" s="26">
        <v>18955.8</v>
      </c>
      <c r="E6" s="26">
        <v>20233.5</v>
      </c>
      <c r="F6" s="26">
        <v>19918.400000000001</v>
      </c>
      <c r="G6" s="26">
        <v>20166.8</v>
      </c>
      <c r="H6" s="26">
        <v>4645.3</v>
      </c>
      <c r="I6" s="26">
        <v>4633.8999999999996</v>
      </c>
      <c r="J6" s="26">
        <v>5161.3</v>
      </c>
      <c r="L6" s="26"/>
      <c r="M6" s="26"/>
      <c r="N6" s="52"/>
    </row>
    <row r="7" spans="1:14">
      <c r="B7" s="5" t="s">
        <v>6</v>
      </c>
      <c r="C7" s="26">
        <v>15722.2</v>
      </c>
      <c r="D7" s="26">
        <v>15434.1</v>
      </c>
      <c r="E7" s="26">
        <v>15732.6</v>
      </c>
      <c r="F7" s="26">
        <v>15796.5</v>
      </c>
      <c r="G7" s="26">
        <v>15059.9</v>
      </c>
      <c r="H7" s="26">
        <v>3639.9</v>
      </c>
      <c r="I7" s="26">
        <v>3621.5</v>
      </c>
      <c r="J7" s="26">
        <v>3638.8</v>
      </c>
      <c r="L7" s="26"/>
      <c r="M7" s="26"/>
      <c r="N7" s="5"/>
    </row>
    <row r="8" spans="1:14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4263.8</v>
      </c>
      <c r="H8" s="26">
        <v>961.1</v>
      </c>
      <c r="I8" s="26">
        <v>953.2</v>
      </c>
      <c r="J8" s="26">
        <v>1301.8</v>
      </c>
      <c r="L8" s="26"/>
      <c r="M8" s="26"/>
      <c r="N8" s="5"/>
    </row>
    <row r="9" spans="1:14">
      <c r="B9" s="5" t="s">
        <v>7</v>
      </c>
      <c r="C9" s="26">
        <v>0</v>
      </c>
      <c r="D9" s="26">
        <v>0</v>
      </c>
      <c r="E9" s="26">
        <v>0</v>
      </c>
      <c r="F9" s="26">
        <v>366.8</v>
      </c>
      <c r="G9" s="26">
        <v>843.2</v>
      </c>
      <c r="H9" s="26">
        <v>44.4</v>
      </c>
      <c r="I9" s="26">
        <v>59.1</v>
      </c>
      <c r="J9" s="26">
        <v>220.7</v>
      </c>
      <c r="L9" s="26"/>
      <c r="M9" s="26"/>
      <c r="N9" s="5"/>
    </row>
    <row r="10" spans="1:14">
      <c r="B10" s="5" t="s">
        <v>8</v>
      </c>
      <c r="C10" s="26">
        <v>1442.5</v>
      </c>
      <c r="D10" s="26">
        <v>945.2</v>
      </c>
      <c r="E10" s="26">
        <v>2053.3000000000002</v>
      </c>
      <c r="F10" s="26">
        <v>2033.5</v>
      </c>
      <c r="G10" s="26">
        <v>2025.9</v>
      </c>
      <c r="H10" s="26">
        <v>515.9</v>
      </c>
      <c r="I10" s="26">
        <v>312.3</v>
      </c>
      <c r="J10" s="26">
        <v>409.9</v>
      </c>
      <c r="L10" s="26"/>
      <c r="M10" s="26"/>
      <c r="N10" s="5"/>
    </row>
    <row r="11" spans="1:14">
      <c r="B11" s="6" t="s">
        <v>9</v>
      </c>
      <c r="C11" s="27">
        <v>527.1</v>
      </c>
      <c r="D11" s="27">
        <v>605.1</v>
      </c>
      <c r="E11" s="27">
        <v>1171.9000000000001</v>
      </c>
      <c r="F11" s="27">
        <v>1272.2</v>
      </c>
      <c r="G11" s="27">
        <v>1289.0999999999999</v>
      </c>
      <c r="H11" s="27">
        <v>363.3</v>
      </c>
      <c r="I11" s="27">
        <v>189.3</v>
      </c>
      <c r="J11" s="27">
        <v>266</v>
      </c>
      <c r="L11" s="26"/>
      <c r="M11" s="26"/>
      <c r="N11" s="5"/>
    </row>
    <row r="12" spans="1:14">
      <c r="B12" s="13" t="s">
        <v>10</v>
      </c>
      <c r="C12" s="39">
        <v>4890.6000000000004</v>
      </c>
      <c r="D12" s="39">
        <v>4065.4</v>
      </c>
      <c r="E12" s="39">
        <v>4967.7</v>
      </c>
      <c r="F12" s="39">
        <v>5072.8999999999996</v>
      </c>
      <c r="G12" s="39">
        <v>4863.7</v>
      </c>
      <c r="H12" s="39">
        <v>1240.4000000000001</v>
      </c>
      <c r="I12" s="39">
        <v>1045.9000000000001</v>
      </c>
      <c r="J12" s="39">
        <v>1146.2</v>
      </c>
      <c r="L12" s="26"/>
      <c r="M12" s="26"/>
      <c r="N12" s="5"/>
    </row>
    <row r="13" spans="1:14" ht="17.25" thickBot="1">
      <c r="B13" s="40" t="s">
        <v>52</v>
      </c>
      <c r="C13" s="35">
        <f>+C12/C6</f>
        <v>0.25831361446801321</v>
      </c>
      <c r="D13" s="35">
        <f t="shared" ref="D13:G13" si="0">+D12/D6</f>
        <v>0.21446733981156166</v>
      </c>
      <c r="E13" s="35">
        <f t="shared" si="0"/>
        <v>0.24551857068722663</v>
      </c>
      <c r="F13" s="35">
        <f t="shared" si="0"/>
        <v>0.25468411117358819</v>
      </c>
      <c r="G13" s="35">
        <f t="shared" si="0"/>
        <v>0.24117361207529206</v>
      </c>
      <c r="H13" s="35">
        <v>0.2670306403109533</v>
      </c>
      <c r="I13" s="35">
        <v>0.22569628850542156</v>
      </c>
      <c r="J13" s="35">
        <v>0.22208182251448899</v>
      </c>
      <c r="L13" s="5"/>
      <c r="M13" s="26"/>
      <c r="N13" s="5"/>
    </row>
    <row r="14" spans="1:14">
      <c r="F14" s="25"/>
      <c r="G14" s="25"/>
      <c r="H14" s="25"/>
      <c r="I14" s="25"/>
      <c r="J14" s="25"/>
      <c r="L14" s="5"/>
      <c r="M14" s="26"/>
      <c r="N14" s="5"/>
    </row>
    <row r="15" spans="1:14" ht="18" thickBot="1">
      <c r="A15" s="3" t="s">
        <v>24</v>
      </c>
      <c r="B15" s="2" t="s">
        <v>2</v>
      </c>
      <c r="C15" s="23">
        <v>2008</v>
      </c>
      <c r="D15" s="23">
        <v>2009</v>
      </c>
      <c r="E15" s="23">
        <v>2010</v>
      </c>
      <c r="F15" s="18">
        <v>2010</v>
      </c>
      <c r="G15" s="18">
        <v>2011</v>
      </c>
      <c r="H15" s="19" t="s">
        <v>55</v>
      </c>
      <c r="I15" s="19" t="s">
        <v>56</v>
      </c>
      <c r="J15" s="19" t="s">
        <v>60</v>
      </c>
      <c r="L15" s="5"/>
      <c r="M15" s="26"/>
      <c r="N15" s="5"/>
    </row>
    <row r="16" spans="1:14">
      <c r="B16" s="8" t="s">
        <v>11</v>
      </c>
      <c r="C16" s="26">
        <v>3150.8</v>
      </c>
      <c r="D16" s="26">
        <v>2958.7</v>
      </c>
      <c r="E16" s="26">
        <v>3057.2</v>
      </c>
      <c r="F16" s="26">
        <v>3057.2</v>
      </c>
      <c r="G16" s="26">
        <v>3318.5</v>
      </c>
      <c r="H16" s="26">
        <v>8974</v>
      </c>
      <c r="I16" s="26">
        <v>9985</v>
      </c>
      <c r="J16" s="26">
        <v>5923</v>
      </c>
      <c r="L16" s="26"/>
      <c r="M16" s="26"/>
      <c r="N16" s="5"/>
    </row>
    <row r="17" spans="1:14">
      <c r="B17" s="5" t="s">
        <v>12</v>
      </c>
      <c r="C17" s="26">
        <v>1179.3</v>
      </c>
      <c r="D17" s="26">
        <v>759.3</v>
      </c>
      <c r="E17" s="26">
        <v>1085.5999999999999</v>
      </c>
      <c r="F17" s="26">
        <v>1085.5999999999999</v>
      </c>
      <c r="G17" s="26">
        <v>1607.7</v>
      </c>
      <c r="H17" s="26">
        <v>6609</v>
      </c>
      <c r="I17" s="26">
        <v>5604</v>
      </c>
      <c r="J17" s="26">
        <v>2615</v>
      </c>
      <c r="L17" s="26"/>
      <c r="M17" s="26"/>
      <c r="N17" s="5"/>
    </row>
    <row r="18" spans="1:14">
      <c r="B18" s="5" t="s">
        <v>13</v>
      </c>
      <c r="C18" s="26">
        <v>1853.6</v>
      </c>
      <c r="D18" s="26">
        <v>1809.9</v>
      </c>
      <c r="E18" s="26">
        <v>1618.4</v>
      </c>
      <c r="F18" s="26">
        <v>1618.4</v>
      </c>
      <c r="G18" s="26">
        <v>1273.3</v>
      </c>
      <c r="H18" s="26">
        <v>1493</v>
      </c>
      <c r="I18" s="26">
        <v>2885</v>
      </c>
      <c r="J18" s="26">
        <v>2178</v>
      </c>
      <c r="L18" s="26"/>
      <c r="M18" s="26"/>
      <c r="N18" s="5"/>
    </row>
    <row r="19" spans="1:14">
      <c r="B19" s="6" t="s">
        <v>7</v>
      </c>
      <c r="C19" s="27">
        <v>117.9</v>
      </c>
      <c r="D19" s="27">
        <v>389.5</v>
      </c>
      <c r="E19" s="27">
        <v>353.2</v>
      </c>
      <c r="F19" s="27">
        <v>353.2</v>
      </c>
      <c r="G19" s="27">
        <v>437.5</v>
      </c>
      <c r="H19" s="27">
        <v>872</v>
      </c>
      <c r="I19" s="27">
        <v>1496</v>
      </c>
      <c r="J19" s="27">
        <v>1130</v>
      </c>
      <c r="L19" s="26"/>
      <c r="M19" s="26"/>
      <c r="N19" s="5"/>
    </row>
    <row r="20" spans="1:14" ht="17.25" thickBot="1">
      <c r="B20" s="9" t="s">
        <v>14</v>
      </c>
      <c r="C20" s="32">
        <v>3448.1</v>
      </c>
      <c r="D20" s="32">
        <v>3120.3</v>
      </c>
      <c r="E20" s="32">
        <v>2914.4</v>
      </c>
      <c r="F20" s="32">
        <v>3039.4</v>
      </c>
      <c r="G20" s="32">
        <v>2837.8</v>
      </c>
      <c r="H20" s="37">
        <v>724.6</v>
      </c>
      <c r="I20" s="37">
        <v>733.5</v>
      </c>
      <c r="J20" s="37">
        <v>736.4</v>
      </c>
      <c r="L20" s="26"/>
      <c r="M20" s="26"/>
      <c r="N20" s="5"/>
    </row>
    <row r="21" spans="1:14">
      <c r="L21" s="5"/>
      <c r="M21" s="26"/>
      <c r="N21" s="5"/>
    </row>
    <row r="22" spans="1:14" ht="18" thickBot="1">
      <c r="A22" s="3" t="s">
        <v>24</v>
      </c>
      <c r="B22" s="2" t="s">
        <v>31</v>
      </c>
      <c r="C22" s="23">
        <v>2008</v>
      </c>
      <c r="D22" s="23">
        <v>2009</v>
      </c>
      <c r="E22" s="23">
        <v>2010</v>
      </c>
      <c r="F22" s="18">
        <v>2010</v>
      </c>
      <c r="G22" s="18">
        <v>2011</v>
      </c>
      <c r="H22" s="19" t="s">
        <v>55</v>
      </c>
      <c r="I22" s="19" t="s">
        <v>56</v>
      </c>
      <c r="J22" s="19" t="s">
        <v>60</v>
      </c>
      <c r="L22" s="5"/>
      <c r="M22" s="26"/>
      <c r="N22" s="5"/>
    </row>
    <row r="23" spans="1:14">
      <c r="B23" s="8" t="s">
        <v>15</v>
      </c>
      <c r="C23" s="26">
        <v>8567.1</v>
      </c>
      <c r="D23" s="26">
        <v>8136.3</v>
      </c>
      <c r="E23" s="26">
        <v>7665.7</v>
      </c>
      <c r="F23" s="26">
        <v>7651.7</v>
      </c>
      <c r="G23" s="26">
        <v>8917.4</v>
      </c>
      <c r="H23" s="43">
        <v>9099698.5346290004</v>
      </c>
      <c r="I23" s="43">
        <v>8662154</v>
      </c>
      <c r="J23" s="43">
        <v>8246300</v>
      </c>
      <c r="L23" s="43"/>
      <c r="M23" s="26"/>
      <c r="N23" s="5"/>
    </row>
    <row r="24" spans="1:14">
      <c r="B24" s="6" t="s">
        <v>50</v>
      </c>
      <c r="C24" s="27">
        <v>6742.3</v>
      </c>
      <c r="D24" s="27">
        <v>6561.7</v>
      </c>
      <c r="E24" s="27">
        <v>6730.6</v>
      </c>
      <c r="F24" s="27">
        <v>6750.4</v>
      </c>
      <c r="G24" s="27">
        <v>8127.2</v>
      </c>
      <c r="H24" s="44">
        <v>8291135.857872</v>
      </c>
      <c r="I24" s="44">
        <v>7871347</v>
      </c>
      <c r="J24" s="44">
        <v>7745100</v>
      </c>
      <c r="L24" s="43"/>
      <c r="M24" s="26"/>
      <c r="N24" s="5"/>
    </row>
    <row r="25" spans="1:14">
      <c r="B25" s="5" t="s">
        <v>16</v>
      </c>
      <c r="C25" s="31">
        <v>0.622</v>
      </c>
      <c r="D25" s="31">
        <v>0.63100000000000001</v>
      </c>
      <c r="E25" s="31">
        <v>0.61</v>
      </c>
      <c r="F25" s="31">
        <v>0.60899999999999999</v>
      </c>
      <c r="G25" s="31">
        <v>0.69299999999999995</v>
      </c>
      <c r="H25" s="31">
        <v>0.71330977963493358</v>
      </c>
      <c r="I25" s="31">
        <v>0.66590310850475798</v>
      </c>
      <c r="J25" s="31">
        <v>0.64041742733018892</v>
      </c>
      <c r="L25" s="5"/>
      <c r="M25" s="5"/>
      <c r="N25" s="5"/>
    </row>
    <row r="26" spans="1:14" ht="17.25" thickBot="1">
      <c r="B26" s="9" t="s">
        <v>39</v>
      </c>
      <c r="C26" s="32">
        <v>1.4</v>
      </c>
      <c r="D26" s="32">
        <v>1.6</v>
      </c>
      <c r="E26" s="32">
        <v>1.4</v>
      </c>
      <c r="F26" s="32">
        <v>1.3</v>
      </c>
      <c r="G26" s="32">
        <v>1.7</v>
      </c>
      <c r="H26" s="49"/>
      <c r="I26" s="49"/>
      <c r="J26" s="49"/>
    </row>
    <row r="28" spans="1:14" ht="18" thickBot="1">
      <c r="A28" s="3" t="s">
        <v>24</v>
      </c>
      <c r="B28" s="2" t="s">
        <v>0</v>
      </c>
      <c r="C28" s="23">
        <v>2008</v>
      </c>
      <c r="D28" s="23">
        <v>2009</v>
      </c>
      <c r="E28" s="23">
        <v>2010</v>
      </c>
      <c r="F28" s="18">
        <v>2010</v>
      </c>
      <c r="G28" s="18">
        <v>2011</v>
      </c>
      <c r="H28" s="19" t="s">
        <v>55</v>
      </c>
      <c r="I28" s="19" t="s">
        <v>56</v>
      </c>
      <c r="J28" s="19" t="s">
        <v>60</v>
      </c>
    </row>
    <row r="29" spans="1:14">
      <c r="B29" s="8" t="s">
        <v>44</v>
      </c>
      <c r="C29" s="20">
        <v>202035.296</v>
      </c>
      <c r="D29" s="20">
        <v>243196.46799999999</v>
      </c>
      <c r="E29" s="20">
        <v>243215.84400000001</v>
      </c>
      <c r="F29" s="20">
        <v>243215.84400000001</v>
      </c>
      <c r="G29" s="20">
        <v>243301.24600000001</v>
      </c>
      <c r="H29" s="20">
        <v>243301.24600000001</v>
      </c>
      <c r="I29" s="20">
        <v>243301.24600000001</v>
      </c>
      <c r="J29" s="20">
        <v>243301.24600000001</v>
      </c>
    </row>
    <row r="30" spans="1:14">
      <c r="B30" s="5" t="s">
        <v>45</v>
      </c>
      <c r="C30" s="20">
        <v>71500.403999999995</v>
      </c>
      <c r="D30" s="20">
        <v>17915.34</v>
      </c>
      <c r="E30" s="20">
        <v>17895.964</v>
      </c>
      <c r="F30" s="20">
        <v>17895.964</v>
      </c>
      <c r="G30" s="20">
        <v>17810.562000000002</v>
      </c>
      <c r="H30" s="20">
        <v>17810.562000000002</v>
      </c>
      <c r="I30" s="20">
        <v>17810.562000000002</v>
      </c>
      <c r="J30" s="20">
        <v>17810.562000000002</v>
      </c>
    </row>
    <row r="31" spans="1:14">
      <c r="B31" s="6" t="s">
        <v>29</v>
      </c>
      <c r="C31" s="21">
        <v>37500</v>
      </c>
      <c r="D31" s="21">
        <v>39100</v>
      </c>
      <c r="E31" s="21">
        <v>46250</v>
      </c>
      <c r="F31" s="21">
        <v>46250</v>
      </c>
      <c r="G31" s="21">
        <v>35650</v>
      </c>
      <c r="H31" s="21">
        <v>31450</v>
      </c>
      <c r="I31" s="21">
        <v>30350</v>
      </c>
      <c r="J31" s="21">
        <v>35200</v>
      </c>
    </row>
    <row r="32" spans="1:14">
      <c r="B32" s="5" t="s">
        <v>17</v>
      </c>
      <c r="C32" s="20">
        <v>1120</v>
      </c>
      <c r="D32" s="20">
        <v>2000</v>
      </c>
      <c r="E32" s="20">
        <v>2410</v>
      </c>
      <c r="F32" s="20">
        <v>2410</v>
      </c>
      <c r="G32" s="20">
        <v>2000</v>
      </c>
      <c r="H32" s="45"/>
      <c r="I32" s="45"/>
      <c r="J32" s="45"/>
    </row>
    <row r="33" spans="1:10">
      <c r="B33" s="4" t="s">
        <v>35</v>
      </c>
      <c r="C33" s="33">
        <f>C34+C35</f>
        <v>226.27953152000003</v>
      </c>
      <c r="D33" s="33">
        <f t="shared" ref="D33:F33" si="1">D34+D35</f>
        <v>994.9929360000001</v>
      </c>
      <c r="E33" s="33">
        <f t="shared" si="1"/>
        <v>586.15018404000011</v>
      </c>
      <c r="F33" s="33">
        <f t="shared" si="1"/>
        <v>586.15018404000011</v>
      </c>
      <c r="G33" s="33">
        <f>G34+G35</f>
        <v>486.60249199999998</v>
      </c>
      <c r="H33" s="33"/>
      <c r="I33" s="33"/>
      <c r="J33" s="33"/>
    </row>
    <row r="34" spans="1:10">
      <c r="B34" s="5" t="s">
        <v>46</v>
      </c>
      <c r="C34" s="26">
        <f>(C32*C29/1000000000)*1000</f>
        <v>226.27953152000003</v>
      </c>
      <c r="D34" s="26">
        <f>(D32*D29/1000000000)*1000</f>
        <v>486.39293600000002</v>
      </c>
      <c r="E34" s="26">
        <f>(E32*E29/1000000000)*1000</f>
        <v>586.15018404000011</v>
      </c>
      <c r="F34" s="26">
        <f>(F32*F29/1000000000)*1000</f>
        <v>586.15018404000011</v>
      </c>
      <c r="G34" s="26">
        <f>(G32*G29/1000000000)*1000</f>
        <v>486.60249199999998</v>
      </c>
      <c r="H34" s="26"/>
      <c r="I34" s="26"/>
      <c r="J34" s="26"/>
    </row>
    <row r="35" spans="1:10">
      <c r="B35" s="6" t="s">
        <v>47</v>
      </c>
      <c r="C35" s="21">
        <v>0</v>
      </c>
      <c r="D35" s="38">
        <v>508.6</v>
      </c>
      <c r="E35" s="21">
        <v>0</v>
      </c>
      <c r="F35" s="21">
        <v>0</v>
      </c>
      <c r="G35" s="21">
        <v>0</v>
      </c>
      <c r="H35" s="21"/>
      <c r="I35" s="21"/>
      <c r="J35" s="21"/>
    </row>
    <row r="36" spans="1:10" ht="17.25" thickBot="1">
      <c r="B36" s="9" t="s">
        <v>18</v>
      </c>
      <c r="C36" s="24">
        <f t="shared" ref="C36:E36" si="2">C33/C11</f>
        <v>0.42929146560424969</v>
      </c>
      <c r="D36" s="24">
        <f t="shared" si="2"/>
        <v>1.6443446306395637</v>
      </c>
      <c r="E36" s="24">
        <f t="shared" si="2"/>
        <v>0.50017082006997193</v>
      </c>
      <c r="F36" s="24">
        <f>F33/E11</f>
        <v>0.50017082006997193</v>
      </c>
      <c r="G36" s="35">
        <f>G33/G11</f>
        <v>0.37747458847257775</v>
      </c>
      <c r="H36" s="47"/>
      <c r="I36" s="54"/>
      <c r="J36" s="54"/>
    </row>
    <row r="38" spans="1:10" ht="18" thickBot="1">
      <c r="A38" s="3" t="s">
        <v>24</v>
      </c>
      <c r="B38" s="2" t="s">
        <v>1</v>
      </c>
      <c r="C38" s="23">
        <v>2008</v>
      </c>
      <c r="D38" s="23">
        <v>2009</v>
      </c>
      <c r="E38" s="23">
        <v>2010</v>
      </c>
      <c r="F38" s="18">
        <v>2010</v>
      </c>
      <c r="G38" s="18">
        <v>2011</v>
      </c>
      <c r="H38" s="19" t="s">
        <v>55</v>
      </c>
      <c r="I38" s="19" t="s">
        <v>56</v>
      </c>
      <c r="J38" s="19" t="s">
        <v>59</v>
      </c>
    </row>
    <row r="39" spans="1:10">
      <c r="B39" s="8" t="s">
        <v>19</v>
      </c>
      <c r="C39" s="20">
        <v>2609.1999999999998</v>
      </c>
      <c r="D39" s="20">
        <v>2718</v>
      </c>
      <c r="E39" s="20">
        <v>4818.3999999999996</v>
      </c>
      <c r="F39" s="20">
        <v>5240</v>
      </c>
      <c r="G39" s="20">
        <v>5299</v>
      </c>
      <c r="H39" s="45"/>
      <c r="I39" s="45"/>
      <c r="J39" s="45"/>
    </row>
    <row r="40" spans="1:10">
      <c r="B40" s="5" t="s">
        <v>20</v>
      </c>
      <c r="C40" s="26">
        <v>14.4</v>
      </c>
      <c r="D40" s="26">
        <v>14.4</v>
      </c>
      <c r="E40" s="26">
        <v>9.6</v>
      </c>
      <c r="F40" s="26">
        <v>8.8000000000000007</v>
      </c>
      <c r="G40" s="26">
        <v>6.7</v>
      </c>
      <c r="H40" s="46"/>
      <c r="I40" s="46"/>
      <c r="J40" s="46"/>
    </row>
    <row r="41" spans="1:10">
      <c r="B41" s="5" t="s">
        <v>21</v>
      </c>
      <c r="C41" s="26">
        <v>3.5</v>
      </c>
      <c r="D41" s="26">
        <v>4.0999999999999996</v>
      </c>
      <c r="E41" s="26">
        <v>3.8</v>
      </c>
      <c r="F41" s="26">
        <v>3.7</v>
      </c>
      <c r="G41" s="26">
        <v>3.6</v>
      </c>
      <c r="H41" s="46"/>
      <c r="I41" s="46"/>
      <c r="J41" s="46"/>
    </row>
    <row r="42" spans="1:10">
      <c r="B42" s="5" t="s">
        <v>22</v>
      </c>
      <c r="C42" s="31">
        <v>5.3999999999999999E-2</v>
      </c>
      <c r="D42" s="31">
        <v>5.7000000000000002E-2</v>
      </c>
      <c r="E42" s="31">
        <v>0.109</v>
      </c>
      <c r="F42" s="31">
        <v>0.11899999999999999</v>
      </c>
      <c r="G42" s="31">
        <v>0.113</v>
      </c>
      <c r="H42" s="48"/>
      <c r="I42" s="48"/>
      <c r="J42" s="48"/>
    </row>
    <row r="43" spans="1:10" ht="17.25" thickBot="1">
      <c r="B43" s="9" t="s">
        <v>23</v>
      </c>
      <c r="C43" s="24">
        <v>2.5000000000000001E-2</v>
      </c>
      <c r="D43" s="24">
        <v>2.5000000000000001E-2</v>
      </c>
      <c r="E43" s="24">
        <v>4.8000000000000001E-2</v>
      </c>
      <c r="F43" s="24">
        <v>5.1999999999999998E-2</v>
      </c>
      <c r="G43" s="24">
        <v>5.0999999999999997E-2</v>
      </c>
      <c r="H43" s="47"/>
      <c r="I43" s="47"/>
      <c r="J43" s="47"/>
    </row>
    <row r="46" spans="1:10">
      <c r="B46" s="11" t="s">
        <v>25</v>
      </c>
      <c r="C46" s="11"/>
      <c r="D46" s="11"/>
      <c r="E46" s="11"/>
      <c r="F46" s="11"/>
      <c r="G46" s="11"/>
      <c r="H46" s="11"/>
      <c r="I46" s="11"/>
      <c r="J46" s="11"/>
    </row>
    <row r="47" spans="1:10">
      <c r="B47" s="11" t="s">
        <v>26</v>
      </c>
      <c r="C47" s="11"/>
      <c r="D47" s="11"/>
      <c r="E47" s="11"/>
      <c r="F47" s="11"/>
      <c r="G47" s="11"/>
      <c r="H47" s="11"/>
      <c r="I47" s="11"/>
      <c r="J47" s="11"/>
    </row>
    <row r="48" spans="1:10">
      <c r="B48" s="11" t="s">
        <v>27</v>
      </c>
      <c r="C48" s="11"/>
      <c r="D48" s="11"/>
      <c r="E48" s="11"/>
      <c r="F48" s="11"/>
      <c r="G48" s="11"/>
      <c r="H48" s="11"/>
      <c r="I48" s="11"/>
      <c r="J48" s="11"/>
    </row>
    <row r="49" spans="2:10">
      <c r="B49" s="11" t="s">
        <v>28</v>
      </c>
      <c r="C49" s="11"/>
      <c r="D49" s="11"/>
      <c r="E49" s="11"/>
      <c r="F49" s="11"/>
      <c r="G49" s="11"/>
      <c r="H49" s="11"/>
      <c r="I49" s="11"/>
      <c r="J49" s="11"/>
    </row>
    <row r="50" spans="2:10">
      <c r="B50" s="11" t="s">
        <v>32</v>
      </c>
      <c r="C50" s="11"/>
      <c r="D50" s="11"/>
      <c r="E50" s="11"/>
      <c r="F50" s="11"/>
      <c r="G50" s="11"/>
      <c r="H50" s="11"/>
      <c r="I50" s="11"/>
      <c r="J50" s="11"/>
    </row>
    <row r="51" spans="2:10">
      <c r="B51" s="11" t="s">
        <v>33</v>
      </c>
      <c r="C51" s="11"/>
      <c r="D51" s="11"/>
      <c r="E51" s="11"/>
      <c r="F51" s="11"/>
      <c r="G51" s="11"/>
      <c r="H51" s="11"/>
      <c r="I51" s="11"/>
      <c r="J51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71" orientation="portrait" verticalDpi="0" r:id="rId1"/>
  <ignoredErrors>
    <ignoredError sqref="F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O28"/>
  <sheetViews>
    <sheetView showGridLines="0" view="pageBreakPreview" zoomScale="80" zoomScaleNormal="80" zoomScaleSheetLayoutView="80" workbookViewId="0">
      <selection activeCell="G27" sqref="G27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10" width="10.875" style="1" bestFit="1" customWidth="1"/>
    <col min="11" max="11" width="2.75" style="1" customWidth="1"/>
    <col min="12" max="12" width="9" style="1"/>
    <col min="13" max="14" width="9.875" style="1" bestFit="1" customWidth="1"/>
    <col min="15" max="15" width="14.25" style="1" bestFit="1" customWidth="1"/>
    <col min="16" max="16384" width="9" style="1"/>
  </cols>
  <sheetData>
    <row r="2" spans="1:15" ht="20.25">
      <c r="B2" s="10" t="s">
        <v>34</v>
      </c>
      <c r="G2" s="36"/>
      <c r="H2" s="36"/>
      <c r="I2" s="36"/>
      <c r="J2" s="36"/>
    </row>
    <row r="3" spans="1:15">
      <c r="B3" s="12" t="s">
        <v>48</v>
      </c>
    </row>
    <row r="4" spans="1:15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</row>
    <row r="5" spans="1:15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9" t="s">
        <v>55</v>
      </c>
      <c r="I5" s="19" t="s">
        <v>57</v>
      </c>
      <c r="J5" s="19" t="s">
        <v>60</v>
      </c>
    </row>
    <row r="6" spans="1:15">
      <c r="B6" s="8" t="s">
        <v>5</v>
      </c>
      <c r="C6" s="20"/>
      <c r="D6" s="20"/>
      <c r="E6" s="20"/>
      <c r="F6" s="26">
        <v>20339.099999999999</v>
      </c>
      <c r="G6" s="26">
        <v>21990.1</v>
      </c>
      <c r="H6" s="26">
        <v>5757.8</v>
      </c>
      <c r="I6" s="26">
        <v>5773.3</v>
      </c>
      <c r="J6" s="26">
        <v>6519.4</v>
      </c>
      <c r="M6" s="50"/>
      <c r="N6" s="51"/>
      <c r="O6" s="53"/>
    </row>
    <row r="7" spans="1:15">
      <c r="B7" s="5" t="s">
        <v>6</v>
      </c>
      <c r="C7" s="20"/>
      <c r="D7" s="20"/>
      <c r="E7" s="20"/>
      <c r="F7" s="26">
        <v>16415.2</v>
      </c>
      <c r="G7" s="26">
        <v>16881.8</v>
      </c>
      <c r="H7" s="26">
        <v>4708.3</v>
      </c>
      <c r="I7" s="26">
        <v>4736</v>
      </c>
      <c r="J7" s="26">
        <v>4860.1000000000004</v>
      </c>
      <c r="M7" s="50"/>
      <c r="N7" s="51"/>
    </row>
    <row r="8" spans="1:15">
      <c r="B8" s="5" t="s">
        <v>30</v>
      </c>
      <c r="C8" s="20"/>
      <c r="D8" s="20"/>
      <c r="E8" s="20"/>
      <c r="F8" s="26">
        <v>3594.2</v>
      </c>
      <c r="G8" s="26">
        <v>4328.2</v>
      </c>
      <c r="H8" s="26">
        <v>997.5</v>
      </c>
      <c r="I8" s="26">
        <v>972.8</v>
      </c>
      <c r="J8" s="26">
        <v>1312.4</v>
      </c>
      <c r="M8" s="50"/>
      <c r="N8" s="51"/>
    </row>
    <row r="9" spans="1:15">
      <c r="B9" s="5" t="s">
        <v>7</v>
      </c>
      <c r="C9" s="20"/>
      <c r="D9" s="20"/>
      <c r="E9" s="20"/>
      <c r="F9" s="26">
        <v>329.8</v>
      </c>
      <c r="G9" s="26">
        <v>780</v>
      </c>
      <c r="H9" s="26">
        <v>52</v>
      </c>
      <c r="I9" s="26">
        <v>64.5</v>
      </c>
      <c r="J9" s="26">
        <v>346.8</v>
      </c>
      <c r="M9" s="50"/>
      <c r="N9" s="51"/>
    </row>
    <row r="10" spans="1:15">
      <c r="B10" s="5" t="s">
        <v>8</v>
      </c>
      <c r="C10" s="20"/>
      <c r="D10" s="20"/>
      <c r="E10" s="20"/>
      <c r="F10" s="26">
        <v>2050.6999999999998</v>
      </c>
      <c r="G10" s="26">
        <v>1957.3</v>
      </c>
      <c r="H10" s="26">
        <v>574.70000000000005</v>
      </c>
      <c r="I10" s="26">
        <v>371.7</v>
      </c>
      <c r="J10" s="26">
        <v>538.79999999999995</v>
      </c>
      <c r="M10" s="50"/>
      <c r="N10" s="51"/>
    </row>
    <row r="11" spans="1:15">
      <c r="B11" s="15" t="s">
        <v>38</v>
      </c>
      <c r="C11" s="20"/>
      <c r="D11" s="20"/>
      <c r="E11" s="20"/>
      <c r="F11" s="26">
        <v>1320.1</v>
      </c>
      <c r="G11" s="26">
        <v>1271.0999999999999</v>
      </c>
      <c r="H11" s="26">
        <v>407.3</v>
      </c>
      <c r="I11" s="26">
        <v>237.8</v>
      </c>
      <c r="J11" s="26">
        <v>372.3</v>
      </c>
      <c r="M11" s="50"/>
      <c r="N11" s="51"/>
    </row>
    <row r="12" spans="1:15">
      <c r="B12" s="13" t="s">
        <v>37</v>
      </c>
      <c r="C12" s="20"/>
      <c r="D12" s="20"/>
      <c r="E12" s="20"/>
      <c r="F12" s="26">
        <v>18.100000000000001</v>
      </c>
      <c r="G12" s="26">
        <v>171.1</v>
      </c>
      <c r="H12" s="26">
        <v>0.2</v>
      </c>
      <c r="I12" s="26">
        <v>0.2</v>
      </c>
      <c r="J12" s="26">
        <v>0</v>
      </c>
      <c r="M12" s="50"/>
      <c r="N12" s="51"/>
    </row>
    <row r="13" spans="1:15">
      <c r="B13" s="5" t="s">
        <v>9</v>
      </c>
      <c r="C13" s="20"/>
      <c r="D13" s="20"/>
      <c r="E13" s="20"/>
      <c r="F13" s="26">
        <v>1338.3</v>
      </c>
      <c r="G13" s="26">
        <v>1442.2</v>
      </c>
      <c r="H13" s="26">
        <v>407.6</v>
      </c>
      <c r="I13" s="26">
        <v>238</v>
      </c>
      <c r="J13" s="26">
        <v>372.3</v>
      </c>
      <c r="M13" s="50"/>
      <c r="N13" s="51"/>
    </row>
    <row r="14" spans="1:15">
      <c r="B14" s="14" t="s">
        <v>36</v>
      </c>
      <c r="C14" s="21"/>
      <c r="D14" s="21"/>
      <c r="E14" s="21"/>
      <c r="F14" s="27">
        <v>1321.4</v>
      </c>
      <c r="G14" s="27">
        <v>1437.5</v>
      </c>
      <c r="H14" s="27">
        <v>386.9</v>
      </c>
      <c r="I14" s="27">
        <v>220</v>
      </c>
      <c r="J14" s="27">
        <v>358.7</v>
      </c>
      <c r="M14" s="50"/>
      <c r="N14" s="51"/>
    </row>
    <row r="15" spans="1:15" ht="17.25" thickBot="1">
      <c r="B15" s="17" t="s">
        <v>10</v>
      </c>
      <c r="C15" s="34"/>
      <c r="D15" s="34"/>
      <c r="E15" s="34"/>
      <c r="F15" s="37">
        <v>5159.1000000000004</v>
      </c>
      <c r="G15" s="37">
        <v>4913.6000000000004</v>
      </c>
      <c r="H15" s="37">
        <v>1338</v>
      </c>
      <c r="I15" s="37">
        <v>1145</v>
      </c>
      <c r="J15" s="37">
        <v>1412.8</v>
      </c>
      <c r="M15" s="50"/>
      <c r="N15" s="51"/>
    </row>
    <row r="18" spans="1:14" ht="18" thickBot="1">
      <c r="A18" s="3" t="s">
        <v>24</v>
      </c>
      <c r="B18" s="16" t="s">
        <v>42</v>
      </c>
      <c r="C18" s="23">
        <v>2008</v>
      </c>
      <c r="D18" s="23">
        <v>2009</v>
      </c>
      <c r="E18" s="23">
        <v>2010</v>
      </c>
      <c r="F18" s="18">
        <v>2010</v>
      </c>
      <c r="G18" s="18">
        <v>2011</v>
      </c>
      <c r="H18" s="19" t="s">
        <v>55</v>
      </c>
      <c r="I18" s="19" t="s">
        <v>58</v>
      </c>
      <c r="J18" s="19" t="s">
        <v>60</v>
      </c>
    </row>
    <row r="19" spans="1:14">
      <c r="B19" s="13" t="s">
        <v>51</v>
      </c>
      <c r="C19" s="41"/>
      <c r="D19" s="41"/>
      <c r="E19" s="41"/>
      <c r="F19" s="42">
        <v>0.125</v>
      </c>
      <c r="G19" s="42">
        <v>0.11600000000000001</v>
      </c>
      <c r="H19" s="42">
        <f>+[1]L5!$H$46</f>
        <v>9.9817780082193761E-2</v>
      </c>
      <c r="I19" s="42">
        <v>6.4390279210208679E-2</v>
      </c>
      <c r="J19" s="42">
        <v>8.2646878946665517E-2</v>
      </c>
    </row>
    <row r="20" spans="1:14">
      <c r="B20" s="13" t="s">
        <v>52</v>
      </c>
      <c r="C20" s="41"/>
      <c r="D20" s="41"/>
      <c r="E20" s="41"/>
      <c r="F20" s="42">
        <v>0.314</v>
      </c>
      <c r="G20" s="42">
        <v>0.29099999999999998</v>
      </c>
      <c r="H20" s="42">
        <f>+[1]L5!$H$48</f>
        <v>0.23237518655896344</v>
      </c>
      <c r="I20" s="42">
        <v>0.1983191032207354</v>
      </c>
      <c r="J20" s="42">
        <v>0.21670731392499717</v>
      </c>
    </row>
    <row r="21" spans="1:14" ht="17.25" thickBot="1">
      <c r="B21" s="9" t="s">
        <v>53</v>
      </c>
      <c r="C21" s="22"/>
      <c r="D21" s="22"/>
      <c r="E21" s="22"/>
      <c r="F21" s="24">
        <v>0.23300000000000001</v>
      </c>
      <c r="G21" s="24">
        <v>0.19600000000000001</v>
      </c>
      <c r="H21" s="24">
        <f>+[1]L5!$H$50</f>
        <v>0.22435532974033667</v>
      </c>
      <c r="I21" s="24">
        <v>0.20851100463732672</v>
      </c>
      <c r="J21" s="24">
        <v>0.20726885061383041</v>
      </c>
    </row>
    <row r="24" spans="1:14" ht="18" thickBot="1">
      <c r="A24" s="3" t="s">
        <v>24</v>
      </c>
      <c r="B24" s="2" t="s">
        <v>31</v>
      </c>
      <c r="C24" s="23">
        <v>2008</v>
      </c>
      <c r="D24" s="23">
        <v>2009</v>
      </c>
      <c r="E24" s="23">
        <v>2010</v>
      </c>
      <c r="F24" s="18">
        <v>2010</v>
      </c>
      <c r="G24" s="18">
        <v>2011</v>
      </c>
      <c r="H24" s="19" t="s">
        <v>55</v>
      </c>
      <c r="I24" s="19" t="s">
        <v>58</v>
      </c>
      <c r="J24" s="19" t="s">
        <v>61</v>
      </c>
    </row>
    <row r="25" spans="1:14">
      <c r="B25" s="8" t="s">
        <v>54</v>
      </c>
      <c r="C25" s="20"/>
      <c r="D25" s="20"/>
      <c r="E25" s="20"/>
      <c r="F25" s="26">
        <v>9382.4</v>
      </c>
      <c r="G25" s="26">
        <v>10998.6</v>
      </c>
      <c r="H25" s="26">
        <f>ROUND([2]L6_BS!M102,0)/1000</f>
        <v>11451.040999999999</v>
      </c>
      <c r="I25" s="26">
        <f>ROUND([2]L6_BS!N102,0)/1000</f>
        <v>10999.226000000001</v>
      </c>
      <c r="J25" s="26">
        <v>11416.105</v>
      </c>
      <c r="N25" s="51"/>
    </row>
    <row r="26" spans="1:14">
      <c r="B26" s="6" t="s">
        <v>50</v>
      </c>
      <c r="C26" s="21"/>
      <c r="D26" s="21"/>
      <c r="E26" s="21"/>
      <c r="F26" s="27">
        <v>8220.7000000000007</v>
      </c>
      <c r="G26" s="27">
        <v>9553.4</v>
      </c>
      <c r="H26" s="27">
        <f>ROUND([2]L6_BS!M137,0)/1000</f>
        <v>9880.0550000000003</v>
      </c>
      <c r="I26" s="27">
        <f>ROUND([2]L6_BS!N137,0)/1000</f>
        <v>9597.9349999999995</v>
      </c>
      <c r="J26" s="27">
        <v>10142.294</v>
      </c>
      <c r="N26" s="51"/>
    </row>
    <row r="27" spans="1:14">
      <c r="B27" s="5" t="s">
        <v>16</v>
      </c>
      <c r="C27" s="20"/>
      <c r="D27" s="20"/>
      <c r="E27" s="20"/>
      <c r="F27" s="31">
        <v>0.72399999999999998</v>
      </c>
      <c r="G27" s="31">
        <v>0.76300000000000001</v>
      </c>
      <c r="H27" s="31">
        <v>0.79364270149886684</v>
      </c>
      <c r="I27" s="31">
        <v>0.75599356302603216</v>
      </c>
      <c r="J27" s="31">
        <v>0.76793297624083112</v>
      </c>
    </row>
    <row r="28" spans="1:14" ht="17.25" thickBot="1">
      <c r="B28" s="9" t="s">
        <v>49</v>
      </c>
      <c r="C28" s="22"/>
      <c r="D28" s="22"/>
      <c r="E28" s="22"/>
      <c r="F28" s="32">
        <v>1.6</v>
      </c>
      <c r="G28" s="32">
        <v>1.9</v>
      </c>
      <c r="H28" s="49"/>
      <c r="I28" s="49"/>
      <c r="J28" s="49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강현구</cp:lastModifiedBy>
  <cp:lastPrinted>2012-05-03T12:47:17Z</cp:lastPrinted>
  <dcterms:created xsi:type="dcterms:W3CDTF">2012-01-10T00:01:55Z</dcterms:created>
  <dcterms:modified xsi:type="dcterms:W3CDTF">2012-11-01T11:10:17Z</dcterms:modified>
</cp:coreProperties>
</file>