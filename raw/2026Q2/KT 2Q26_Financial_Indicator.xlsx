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corp365.sharepoint.com/sites/test980/Shared Documents/07. 실적발표/2026년 2Q 실적발표/3.4 FS, FI/"/>
    </mc:Choice>
  </mc:AlternateContent>
  <bookViews>
    <workbookView xWindow="38280" yWindow="-120" windowWidth="29040" windowHeight="15720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Consolidated!$A$1:$X$51</definedName>
    <definedName name="_xlnm.Print_Area" localSheetId="0">Separate!$A$1:$Y$38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4" l="1"/>
  <c r="G43" i="4"/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<sst xmlns="http://schemas.openxmlformats.org/spreadsheetml/2006/main" count="226" uniqueCount="95">
  <si>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</si>
  <si>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</si>
  <si>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</si>
  <si>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</si>
  <si>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1Q 22</t>
    <phoneticPr fontId="1" type="noConversion"/>
  </si>
  <si>
    <t>2Q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</si>
  <si>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</si>
  <si>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</si>
  <si>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</si>
  <si>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</si>
  <si>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</si>
  <si>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</si>
  <si>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</si>
  <si>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</si>
  <si>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</si>
  <si>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</si>
  <si>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1Q 25</t>
    <phoneticPr fontId="1" type="noConversion"/>
  </si>
  <si>
    <t>2Q 25</t>
  </si>
  <si>
    <t>3Q 25</t>
  </si>
  <si>
    <t>4Q 25</t>
  </si>
  <si>
    <t>1Q 26</t>
    <phoneticPr fontId="1" type="noConversion"/>
  </si>
  <si>
    <t>2Q 26</t>
    <phoneticPr fontId="1" type="noConversion"/>
  </si>
  <si>
    <t>Revenue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</si>
  <si>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</si>
  <si>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</si>
  <si>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</si>
  <si>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</si>
  <si>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</si>
  <si>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</si>
  <si>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</si>
  <si>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</si>
  <si>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</si>
  <si>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</si>
  <si>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</si>
  <si>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</si>
  <si>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</si>
  <si>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</si>
  <si>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</si>
  <si>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</si>
  <si>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</si>
  <si>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</si>
  <si>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Stock &amp; Dividend</t>
    <phoneticPr fontId="1" type="noConversion"/>
  </si>
  <si>
    <t>3Q 25</t>
    <phoneticPr fontId="1" type="noConversion"/>
  </si>
  <si>
    <t>4Q 25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</si>
  <si>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</si>
  <si>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</si>
  <si>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</si>
  <si>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</si>
  <si>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</si>
  <si>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</si>
  <si>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</si>
  <si>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</si>
  <si>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KT Financial Indicators (Consolidated)</t>
    <phoneticPr fontId="1" type="noConversion"/>
  </si>
  <si>
    <t>* Sale of goods: redefined from KT handset revenue → KT handset + subsidiaries’ sale of goods</t>
    <phoneticPr fontId="1" type="noConversion"/>
  </si>
  <si>
    <t>2Q 25</t>
    <phoneticPr fontId="1" type="noConversion"/>
  </si>
  <si>
    <t xml:space="preserve"> - Sale of goods*</t>
    <phoneticPr fontId="1" type="noConversion"/>
  </si>
  <si>
    <t>Net income attributable to KT</t>
    <phoneticPr fontId="1" type="noConversion"/>
  </si>
  <si>
    <t>Ratio</t>
    <phoneticPr fontId="1" type="noConversion"/>
  </si>
  <si>
    <t>Operating Income Margin</t>
    <phoneticPr fontId="1" type="noConversion"/>
  </si>
  <si>
    <t>Effective Tax Rate</t>
    <phoneticPr fontId="1" type="noConversion"/>
  </si>
  <si>
    <t>-</t>
    <phoneticPr fontId="1" type="noConversion"/>
  </si>
  <si>
    <t>Interest-bearing Debt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</si>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</sst>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  <numFmt numFmtId="183" formatCode="_-* #,##0.000000_-;\-* #,##0.000000_-;_-* &quot;-&quot;??_-;_-@_-"/>
    <numFmt numFmtId="184" formatCode="0.0_);[Red]\(0.0\)"/>
    <numFmt numFmtId="185" formatCode="0.00000%"/>
    <numFmt numFmtId="186" formatCode="_-* #,##0.000_-;\-* #,##0.000_-;_-* &quot;-&quot;??_-;_-@_-"/>
    <numFmt numFmtId="187" formatCode="_-* #,##0.00000000_-;\-* #,##0.00000000_-;_-* &quot;-&quot;??_-;_-@_-"/>
    <numFmt numFmtId="188" formatCode="_-* #,##0.000000_-;\-* #,##0.000000_-;_-* &quot;-&quot;_-;_-@_-"/>
    <numFmt numFmtId="189" formatCode="_-* #,##0.0_-;\-* #,##0.0_-;_-* &quot;-&quot;??_-;_-@_-"/>
    <numFmt numFmtId="190" formatCode="0_);[Red]\(0\)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  <xf numFmtId="43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4" fontId="2" fillId="3" borderId="0" xfId="1" applyNumberFormat="1" applyFont="1" applyFill="1" applyBorder="1">
      <alignment vertical="center"/>
    </xf>
    <xf numFmtId="185" fontId="2" fillId="0" borderId="0" xfId="2" applyNumberFormat="1" applyFont="1">
      <alignment vertical="center"/>
    </xf>
    <xf numFmtId="186" fontId="2" fillId="0" borderId="0" xfId="0" applyNumberFormat="1" applyFont="1">
      <alignment vertical="center"/>
    </xf>
    <xf numFmtId="18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/>
    </xf>
    <xf numFmtId="183" fontId="10" fillId="0" borderId="0" xfId="0" applyNumberFormat="1" applyFont="1">
      <alignment vertical="center"/>
    </xf>
    <xf numFmtId="188" fontId="10" fillId="0" borderId="0" xfId="1" applyNumberFormat="1" applyFont="1">
      <alignment vertical="center"/>
    </xf>
    <xf numFmtId="43" fontId="10" fillId="0" borderId="0" xfId="0" applyNumberFormat="1" applyFont="1">
      <alignment vertical="center"/>
    </xf>
    <xf numFmtId="189" fontId="10" fillId="0" borderId="0" xfId="0" applyNumberFormat="1" applyFont="1">
      <alignment vertical="center"/>
    </xf>
    <xf numFmtId="176" fontId="10" fillId="0" borderId="0" xfId="2" applyNumberFormat="1" applyFont="1">
      <alignment vertical="center"/>
    </xf>
    <xf numFmtId="181" fontId="2" fillId="0" borderId="0" xfId="0" applyNumberFormat="1" applyFont="1">
      <alignment vertical="center"/>
    </xf>
    <xf numFmtId="181" fontId="5" fillId="2" borderId="2" xfId="0" applyNumberFormat="1" applyFont="1" applyFill="1" applyBorder="1" applyAlignment="1">
      <alignment horizontal="center" vertical="center"/>
    </xf>
    <xf numFmtId="190" fontId="5" fillId="2" borderId="0" xfId="0" applyNumberFormat="1" applyFont="1" applyFill="1" applyAlignment="1">
      <alignment horizontal="center" vertical="center"/>
    </xf>
    <xf numFmtId="41" fontId="2" fillId="0" borderId="0" xfId="1" applyFont="1">
      <alignment vertical="center"/>
    </xf>
    <xf numFmtId="180" fontId="2" fillId="0" borderId="5" xfId="1" applyNumberFormat="1" applyFont="1" applyFill="1" applyBorder="1" applyAlignment="1">
      <alignment horizontal="right" vertical="center"/>
    </xf>
    <xf numFmtId="41" fontId="2" fillId="0" borderId="8" xfId="1" applyFont="1" applyFill="1" applyBorder="1">
      <alignment vertical="center"/>
    </xf>
    <xf numFmtId="180" fontId="2" fillId="3" borderId="1" xfId="1" applyNumberFormat="1" applyFont="1" applyFill="1" applyBorder="1" applyAlignment="1">
      <alignment horizontal="right" vertical="center"/>
    </xf>
    <xf numFmtId="176" fontId="2" fillId="0" borderId="5" xfId="2" applyNumberFormat="1" applyFont="1" applyFill="1" applyBorder="1">
      <alignment vertical="center"/>
    </xf>
    <xf numFmtId="180" fontId="2" fillId="3" borderId="5" xfId="1" applyNumberFormat="1" applyFont="1" applyFill="1" applyBorder="1" applyAlignment="1">
      <alignment horizontal="right" vertical="center"/>
    </xf>
    <xf numFmtId="190" fontId="5" fillId="2" borderId="2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7"/>
  <sheetViews>
    <sheetView showGridLines="0" view="pageBreakPreview" topLeftCell="A14" zoomScaleNormal="80" zoomScaleSheetLayoutView="100" workbookViewId="0">
      <selection activeCell="X38" sqref="X38"/>
    </sheetView>
  </sheetViews>
  <sheetFormatPr defaultColWidth="9" defaultRowHeight="17.100000000000001"/>
  <cols>
    <col min="1" max="1" width="3.625" style="1" customWidth="1"/>
    <col min="2" max="2" width="27" style="1" customWidth="1"/>
    <col min="3" max="6" width="11" style="1" hidden="1" customWidth="1"/>
    <col min="7" max="7" width="10.125" style="1" hidden="1" customWidth="1"/>
    <col min="8" max="8" width="10.5" style="1" hidden="1" customWidth="1"/>
    <col min="9" max="9" width="10.875" style="1" hidden="1" customWidth="1"/>
    <col min="10" max="10" width="10.5" style="1" hidden="1" customWidth="1"/>
    <col min="11" max="11" width="10.375" style="1" hidden="1" customWidth="1"/>
    <col min="12" max="12" width="10.5" style="1" hidden="1" customWidth="1"/>
    <col min="13" max="13" width="10.625" style="1" customWidth="1"/>
    <col min="14" max="16" width="10.5" style="1" customWidth="1"/>
    <col min="17" max="17" width="10.875" style="1" bestFit="1" customWidth="1"/>
    <col min="18" max="18" width="10.875" style="1" customWidth="1"/>
    <col min="19" max="19" width="9" style="1" customWidth="1"/>
    <col min="20" max="20" width="9" style="1"/>
    <col min="21" max="21" width="11.625" style="107" customWidth="1"/>
    <col min="22" max="24" width="10.875" style="107" customWidth="1"/>
    <col min="25" max="25" width="1.875" style="1" customWidth="1"/>
    <col min="26" max="26" width="13" style="1" bestFit="1" customWidth="1"/>
    <col min="27" max="16384" width="9" style="1"/>
  </cols>
  <sheetData>
    <row r="2" spans="1:24" ht="21">
      <c r="B2" s="9" t="s">
        <v>0</v>
      </c>
    </row>
    <row r="3" spans="1:24">
      <c r="B3" s="10" t="s">
        <v>1</v>
      </c>
    </row>
    <row r="4" spans="1:24" ht="13.5" customHeight="1">
      <c r="L4" s="76"/>
    </row>
    <row r="5" spans="1:24" ht="18" thickBot="1">
      <c r="A5" s="3" t="s">
        <v>2</v>
      </c>
      <c r="B5" s="2" t="s">
        <v>3</v>
      </c>
      <c r="C5" s="43" t="s">
        <v>4</v>
      </c>
      <c r="D5" s="43" t="s">
        <v>5</v>
      </c>
      <c r="E5" s="43" t="s">
        <v>6</v>
      </c>
      <c r="F5" s="43" t="s">
        <v>7</v>
      </c>
      <c r="G5" s="43">
        <v>2022</v>
      </c>
      <c r="H5" s="43" t="s">
        <v>8</v>
      </c>
      <c r="I5" s="43" t="s">
        <v>9</v>
      </c>
      <c r="J5" s="43" t="s">
        <v>10</v>
      </c>
      <c r="K5" s="43" t="s">
        <v>11</v>
      </c>
      <c r="L5" s="43">
        <v>2023</v>
      </c>
      <c r="M5" s="43" t="s">
        <v>12</v>
      </c>
      <c r="N5" s="43" t="s">
        <v>13</v>
      </c>
      <c r="O5" s="43" t="s">
        <v>14</v>
      </c>
      <c r="P5" s="43" t="s">
        <v>15</v>
      </c>
      <c r="Q5" s="43">
        <v>2024</v>
      </c>
      <c r="R5" s="43" t="s">
        <v>16</v>
      </c>
      <c r="S5" s="43" t="s">
        <v>17</v>
      </c>
      <c r="T5" s="43" t="s">
        <v>18</v>
      </c>
      <c r="U5" s="108" t="s">
        <v>19</v>
      </c>
      <c r="V5" s="116">
        <v>2025</v>
      </c>
      <c r="W5" s="108" t="s">
        <v>20</v>
      </c>
      <c r="X5" s="108" t="s">
        <v>21</v>
      </c>
    </row>
    <row r="6" spans="1:24">
      <c r="B6" s="7" t="s">
        <v>22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  <c r="S6" s="51">
        <v>4772.8</v>
      </c>
      <c r="T6" s="51">
        <v>5109</v>
      </c>
      <c r="U6" s="51">
        <v>4760.2</v>
      </c>
      <c r="V6" s="48">
        <v>19324</v>
      </c>
      <c r="W6" s="51">
        <v>4834.6000000000004</v>
      </c>
      <c r="X6" s="51">
        <v>4523.5</v>
      </c>
    </row>
    <row r="7" spans="1:24">
      <c r="B7" s="1" t="s">
        <v>23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  <c r="S7" s="51">
        <v>4131.7</v>
      </c>
      <c r="T7" s="51">
        <v>4179.8999999999996</v>
      </c>
      <c r="U7" s="51">
        <v>4122.5</v>
      </c>
      <c r="V7" s="48">
        <v>16478.599999999999</v>
      </c>
      <c r="W7" s="51">
        <v>4069.1</v>
      </c>
      <c r="X7" s="51">
        <v>4079.3</v>
      </c>
    </row>
    <row r="8" spans="1:24">
      <c r="B8" s="1" t="s">
        <v>24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  <c r="S8" s="51">
        <v>641.1</v>
      </c>
      <c r="T8" s="51">
        <v>929.1</v>
      </c>
      <c r="U8" s="51">
        <v>637.70000000000005</v>
      </c>
      <c r="V8" s="48">
        <v>2845.4</v>
      </c>
      <c r="W8" s="51">
        <v>765.5</v>
      </c>
      <c r="X8" s="51">
        <v>444.2</v>
      </c>
    </row>
    <row r="9" spans="1:24">
      <c r="B9" s="1" t="s">
        <v>25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  <c r="S9" s="51">
        <v>468.7</v>
      </c>
      <c r="T9" s="51">
        <v>340.9</v>
      </c>
      <c r="U9" s="51">
        <v>95.3</v>
      </c>
      <c r="V9" s="48">
        <v>1305</v>
      </c>
      <c r="W9" s="51">
        <v>313.89999999999998</v>
      </c>
      <c r="X9" s="51">
        <v>389</v>
      </c>
    </row>
    <row r="10" spans="1:24">
      <c r="B10" s="5" t="s">
        <v>26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  <c r="S10" s="21">
        <v>358</v>
      </c>
      <c r="T10" s="21">
        <v>289.7</v>
      </c>
      <c r="U10" s="21">
        <v>48.7</v>
      </c>
      <c r="V10" s="48">
        <v>1061.8</v>
      </c>
      <c r="W10" s="21">
        <v>340</v>
      </c>
      <c r="X10" s="51">
        <v>285.3</v>
      </c>
    </row>
    <row r="11" spans="1:24">
      <c r="B11" s="1" t="s">
        <v>27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  <c r="S11" s="51">
        <v>1281.7</v>
      </c>
      <c r="T11" s="51">
        <v>1153.8</v>
      </c>
      <c r="U11" s="51">
        <v>900.2</v>
      </c>
      <c r="V11" s="40">
        <v>4546.3</v>
      </c>
      <c r="W11" s="51">
        <v>1110.5999999999999</v>
      </c>
      <c r="X11" s="25">
        <v>1171.7</v>
      </c>
    </row>
    <row r="12" spans="1:24" ht="17.45" thickBot="1">
      <c r="B12" s="8" t="s">
        <v>28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  <c r="S12" s="16">
        <v>0.26854925729994311</v>
      </c>
      <c r="T12" s="16">
        <v>0.22600000000000001</v>
      </c>
      <c r="U12" s="16">
        <v>0.189</v>
      </c>
      <c r="V12" s="36">
        <v>0.23499999999999999</v>
      </c>
      <c r="W12" s="16">
        <v>0.22972203259982515</v>
      </c>
      <c r="X12" s="16">
        <v>0.25903206978371629</v>
      </c>
    </row>
    <row r="14" spans="1:24" ht="18" thickBot="1">
      <c r="A14" s="3" t="s">
        <v>2</v>
      </c>
      <c r="B14" s="2" t="s">
        <v>29</v>
      </c>
      <c r="C14" s="43" t="s">
        <v>4</v>
      </c>
      <c r="D14" s="43" t="s">
        <v>5</v>
      </c>
      <c r="E14" s="43" t="s">
        <v>6</v>
      </c>
      <c r="F14" s="43" t="s">
        <v>7</v>
      </c>
      <c r="G14" s="43">
        <v>2022</v>
      </c>
      <c r="H14" s="43" t="s">
        <v>8</v>
      </c>
      <c r="I14" s="43" t="s">
        <v>9</v>
      </c>
      <c r="J14" s="43" t="s">
        <v>10</v>
      </c>
      <c r="K14" s="43" t="s">
        <v>11</v>
      </c>
      <c r="L14" s="43">
        <v>2023</v>
      </c>
      <c r="M14" s="43" t="s">
        <v>12</v>
      </c>
      <c r="N14" s="43" t="s">
        <v>13</v>
      </c>
      <c r="O14" s="43" t="s">
        <v>14</v>
      </c>
      <c r="P14" s="43" t="s">
        <v>15</v>
      </c>
      <c r="Q14" s="43">
        <v>2024</v>
      </c>
      <c r="R14" s="43" t="s">
        <v>16</v>
      </c>
      <c r="S14" s="43" t="s">
        <v>17</v>
      </c>
      <c r="T14" s="43" t="s">
        <v>18</v>
      </c>
      <c r="U14" s="108" t="s">
        <v>19</v>
      </c>
      <c r="V14" s="116">
        <v>2025</v>
      </c>
      <c r="W14" s="109" t="s">
        <v>20</v>
      </c>
      <c r="X14" s="108" t="s">
        <v>21</v>
      </c>
    </row>
    <row r="15" spans="1:24">
      <c r="B15" s="7" t="s">
        <v>30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  <c r="S15" s="53">
        <v>545.79999999999995</v>
      </c>
      <c r="T15" s="53">
        <v>483.7</v>
      </c>
      <c r="U15" s="51">
        <v>814.4</v>
      </c>
      <c r="V15" s="48">
        <v>2143.9</v>
      </c>
      <c r="W15" s="51">
        <v>304.2</v>
      </c>
      <c r="X15" s="51">
        <v>413.8</v>
      </c>
    </row>
    <row r="16" spans="1:24">
      <c r="B16" s="1" t="s">
        <v>31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  <c r="S16" s="54"/>
      <c r="T16" s="54"/>
      <c r="U16" s="51"/>
      <c r="V16" s="48"/>
      <c r="W16" s="51"/>
      <c r="X16" s="51"/>
    </row>
    <row r="17" spans="1:26">
      <c r="B17" s="1" t="s">
        <v>32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  <c r="S17" s="54"/>
      <c r="T17" s="54"/>
      <c r="U17" s="51"/>
      <c r="V17" s="48"/>
      <c r="W17" s="51"/>
      <c r="X17" s="51"/>
    </row>
    <row r="18" spans="1:26">
      <c r="B18" s="1" t="s">
        <v>33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  <c r="S18" s="54"/>
      <c r="T18" s="54"/>
      <c r="U18" s="51"/>
      <c r="V18" s="48"/>
      <c r="W18" s="51"/>
      <c r="X18" s="51"/>
    </row>
    <row r="19" spans="1:26">
      <c r="B19" s="5" t="s">
        <v>34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  <c r="S19" s="57"/>
      <c r="T19" s="57"/>
      <c r="U19" s="21"/>
      <c r="V19" s="41"/>
      <c r="W19" s="17"/>
      <c r="X19" s="51"/>
    </row>
    <row r="20" spans="1:26" ht="17.45" thickBot="1">
      <c r="B20" s="8" t="s">
        <v>35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61">
        <v>3230.5</v>
      </c>
      <c r="R20" s="58">
        <v>810.48380443899998</v>
      </c>
      <c r="S20" s="58">
        <v>813</v>
      </c>
      <c r="T20" s="58">
        <v>812.9</v>
      </c>
      <c r="U20" s="58">
        <v>804.9</v>
      </c>
      <c r="V20" s="115">
        <v>3241.3</v>
      </c>
      <c r="W20" s="111">
        <v>796.7</v>
      </c>
      <c r="X20" s="111">
        <v>782.8</v>
      </c>
    </row>
    <row r="22" spans="1:26" ht="18" thickBot="1">
      <c r="A22" s="3" t="s">
        <v>2</v>
      </c>
      <c r="B22" s="2" t="s">
        <v>36</v>
      </c>
      <c r="C22" s="43" t="s">
        <v>4</v>
      </c>
      <c r="D22" s="43" t="s">
        <v>5</v>
      </c>
      <c r="E22" s="43" t="s">
        <v>6</v>
      </c>
      <c r="F22" s="43" t="s">
        <v>7</v>
      </c>
      <c r="G22" s="43">
        <v>2022</v>
      </c>
      <c r="H22" s="43" t="s">
        <v>8</v>
      </c>
      <c r="I22" s="43" t="s">
        <v>9</v>
      </c>
      <c r="J22" s="43" t="s">
        <v>10</v>
      </c>
      <c r="K22" s="43" t="s">
        <v>11</v>
      </c>
      <c r="L22" s="43">
        <v>2023</v>
      </c>
      <c r="M22" s="43" t="s">
        <v>12</v>
      </c>
      <c r="N22" s="43" t="s">
        <v>13</v>
      </c>
      <c r="O22" s="43" t="s">
        <v>14</v>
      </c>
      <c r="P22" s="43" t="s">
        <v>15</v>
      </c>
      <c r="Q22" s="43">
        <v>2024</v>
      </c>
      <c r="R22" s="43" t="s">
        <v>16</v>
      </c>
      <c r="S22" s="43" t="s">
        <v>17</v>
      </c>
      <c r="T22" s="43" t="s">
        <v>18</v>
      </c>
      <c r="U22" s="108" t="s">
        <v>19</v>
      </c>
      <c r="V22" s="109">
        <v>2025</v>
      </c>
      <c r="W22" s="108" t="s">
        <v>20</v>
      </c>
      <c r="X22" s="108" t="s">
        <v>21</v>
      </c>
    </row>
    <row r="23" spans="1:26">
      <c r="B23" s="7" t="s">
        <v>37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2">
        <v>7871.9</v>
      </c>
      <c r="Q23" s="48">
        <v>7871.9</v>
      </c>
      <c r="R23" s="82">
        <v>7680.6</v>
      </c>
      <c r="S23" s="82">
        <v>7079.8</v>
      </c>
      <c r="T23" s="82">
        <v>6809.9</v>
      </c>
      <c r="U23" s="82">
        <v>7068.7</v>
      </c>
      <c r="V23" s="113">
        <v>7068.7</v>
      </c>
      <c r="W23" s="51">
        <v>7024.7</v>
      </c>
      <c r="X23" s="51">
        <v>7004.7</v>
      </c>
    </row>
    <row r="24" spans="1:26">
      <c r="B24" s="5" t="s">
        <v>38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  <c r="S24" s="63">
        <v>5659.9</v>
      </c>
      <c r="T24" s="63">
        <v>5714.5</v>
      </c>
      <c r="U24" s="63">
        <v>5482.8</v>
      </c>
      <c r="V24" s="75">
        <v>5482.8</v>
      </c>
      <c r="W24" s="51">
        <v>5755.8</v>
      </c>
      <c r="X24" s="51">
        <v>5794.3</v>
      </c>
    </row>
    <row r="25" spans="1:26">
      <c r="B25" s="1" t="s">
        <v>39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3">
        <v>0.439</v>
      </c>
      <c r="R25" s="19">
        <v>0.44600000000000001</v>
      </c>
      <c r="S25" s="19">
        <v>0.38100000000000001</v>
      </c>
      <c r="T25" s="19">
        <v>0.379</v>
      </c>
      <c r="U25" s="19">
        <v>0.36008027021270395</v>
      </c>
      <c r="V25" s="35">
        <v>0.36</v>
      </c>
      <c r="W25" s="46">
        <v>0.36533589852794257</v>
      </c>
      <c r="X25" s="46">
        <v>0.36199999999999999</v>
      </c>
    </row>
    <row r="26" spans="1:26" ht="17.45" thickBot="1">
      <c r="B26" s="8" t="s">
        <v>40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  <c r="S26" s="20"/>
      <c r="T26" s="20"/>
      <c r="U26" s="20"/>
      <c r="V26" s="37">
        <v>1.2</v>
      </c>
      <c r="W26" s="20"/>
      <c r="X26" s="20"/>
    </row>
    <row r="27" spans="1:26">
      <c r="B27" s="29">
        <v>261111.80799999999</v>
      </c>
      <c r="O27" s="90"/>
    </row>
    <row r="28" spans="1:26" ht="18" thickBot="1">
      <c r="A28" s="3" t="s">
        <v>2</v>
      </c>
      <c r="B28" s="2" t="s">
        <v>41</v>
      </c>
      <c r="C28" s="43" t="s">
        <v>4</v>
      </c>
      <c r="D28" s="43" t="s">
        <v>5</v>
      </c>
      <c r="E28" s="43" t="s">
        <v>6</v>
      </c>
      <c r="F28" s="43" t="s">
        <v>7</v>
      </c>
      <c r="G28" s="43">
        <v>2022</v>
      </c>
      <c r="H28" s="43" t="s">
        <v>8</v>
      </c>
      <c r="I28" s="43" t="s">
        <v>9</v>
      </c>
      <c r="J28" s="43" t="s">
        <v>10</v>
      </c>
      <c r="K28" s="43" t="s">
        <v>11</v>
      </c>
      <c r="L28" s="43">
        <v>2023</v>
      </c>
      <c r="M28" s="43" t="s">
        <v>12</v>
      </c>
      <c r="N28" s="43" t="s">
        <v>13</v>
      </c>
      <c r="O28" s="43" t="s">
        <v>14</v>
      </c>
      <c r="P28" s="43" t="s">
        <v>15</v>
      </c>
      <c r="Q28" s="43">
        <v>2024</v>
      </c>
      <c r="R28" s="43" t="s">
        <v>16</v>
      </c>
      <c r="S28" s="43" t="s">
        <v>17</v>
      </c>
      <c r="T28" s="43" t="s">
        <v>42</v>
      </c>
      <c r="U28" s="108" t="s">
        <v>43</v>
      </c>
      <c r="V28" s="116">
        <v>2025</v>
      </c>
      <c r="W28" s="108" t="s">
        <v>20</v>
      </c>
      <c r="X28" s="108" t="s">
        <v>21</v>
      </c>
    </row>
    <row r="29" spans="1:26">
      <c r="B29" s="7" t="s">
        <v>44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1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1">
        <f>252021.685-P30</f>
        <v>245832.98499999999</v>
      </c>
      <c r="Q29" s="84">
        <f>252021.685-Q30</f>
        <v>245832.98499999999</v>
      </c>
      <c r="R29" s="47">
        <f>252021.685-R30</f>
        <v>244972.685</v>
      </c>
      <c r="S29" s="47">
        <v>242076.685</v>
      </c>
      <c r="T29" s="47">
        <v>241095.1</v>
      </c>
      <c r="U29" s="47">
        <v>241095.1</v>
      </c>
      <c r="V29" s="84">
        <v>241095.1</v>
      </c>
      <c r="W29" s="47">
        <v>241096.4</v>
      </c>
      <c r="X29" s="47">
        <v>238631.8</v>
      </c>
      <c r="Z29" s="117"/>
    </row>
    <row r="30" spans="1:26">
      <c r="B30" s="1" t="s">
        <v>45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1">
        <v>6188.7</v>
      </c>
      <c r="Q30" s="84">
        <v>6188.7</v>
      </c>
      <c r="R30" s="47">
        <v>7049</v>
      </c>
      <c r="S30" s="47">
        <v>9945</v>
      </c>
      <c r="T30" s="47">
        <v>10926.6</v>
      </c>
      <c r="U30" s="47">
        <v>10926.6</v>
      </c>
      <c r="V30" s="84">
        <v>10926.6</v>
      </c>
      <c r="W30" s="47">
        <v>10925.2</v>
      </c>
      <c r="X30" s="47">
        <v>13390</v>
      </c>
      <c r="Z30" s="47"/>
    </row>
    <row r="31" spans="1:26">
      <c r="B31" s="5" t="s">
        <v>46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  <c r="S31" s="31">
        <v>55700</v>
      </c>
      <c r="T31" s="31">
        <v>50500</v>
      </c>
      <c r="U31" s="31">
        <v>52600</v>
      </c>
      <c r="V31" s="39">
        <v>52600</v>
      </c>
      <c r="W31" s="47">
        <v>60400</v>
      </c>
      <c r="X31" s="31">
        <v>52900</v>
      </c>
    </row>
    <row r="32" spans="1:26">
      <c r="B32" s="1" t="s">
        <v>47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>
        <v>500</v>
      </c>
      <c r="N32" s="18">
        <v>500</v>
      </c>
      <c r="O32" s="18">
        <v>500</v>
      </c>
      <c r="P32" s="18">
        <v>500</v>
      </c>
      <c r="Q32" s="92">
        <v>2000</v>
      </c>
      <c r="R32" s="18">
        <v>600</v>
      </c>
      <c r="S32" s="18">
        <v>600</v>
      </c>
      <c r="T32" s="18">
        <v>600</v>
      </c>
      <c r="U32" s="18">
        <v>600</v>
      </c>
      <c r="V32" s="38">
        <v>2400</v>
      </c>
      <c r="W32" s="112">
        <v>600</v>
      </c>
      <c r="X32" s="112">
        <v>600</v>
      </c>
      <c r="Z32" s="110"/>
    </row>
    <row r="33" spans="2:24">
      <c r="B33" s="4" t="s">
        <v>48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  <c r="S33" s="25"/>
      <c r="T33" s="25"/>
      <c r="U33" s="25"/>
      <c r="V33" s="40">
        <v>581</v>
      </c>
      <c r="W33" s="17"/>
      <c r="X33" s="17"/>
    </row>
    <row r="34" spans="2:24">
      <c r="B34" s="1" t="s">
        <v>49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  <c r="S34" s="17"/>
      <c r="T34" s="17"/>
      <c r="U34" s="17"/>
      <c r="V34" s="41">
        <v>581</v>
      </c>
      <c r="W34" s="17"/>
      <c r="X34" s="17"/>
    </row>
    <row r="35" spans="2:24">
      <c r="B35" s="5" t="s">
        <v>50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1">
        <v>250</v>
      </c>
      <c r="S35" s="24"/>
      <c r="T35" s="24"/>
      <c r="U35" s="24"/>
      <c r="V35" s="39"/>
      <c r="W35" s="21">
        <v>250</v>
      </c>
      <c r="X35" s="21"/>
    </row>
    <row r="36" spans="2:24" ht="17.45" thickBot="1">
      <c r="B36" s="8" t="s">
        <v>51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1.5038237993270116</v>
      </c>
      <c r="R36" s="16"/>
      <c r="S36" s="16"/>
      <c r="T36" s="16"/>
      <c r="U36" s="16"/>
      <c r="V36" s="36">
        <v>0.54718402712375214</v>
      </c>
      <c r="W36" s="114"/>
      <c r="X36" s="114"/>
    </row>
    <row r="37" spans="2:24">
      <c r="B37" s="93"/>
      <c r="G37" s="50"/>
      <c r="L37" s="50"/>
      <c r="Q37" s="50"/>
    </row>
  </sheetData>
  <phoneticPr fontId="1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50"/>
  <sheetViews>
    <sheetView showGridLines="0" tabSelected="1" view="pageBreakPreview" topLeftCell="B10" zoomScaleNormal="80" zoomScaleSheetLayoutView="100" workbookViewId="0">
      <selection activeCell="Y32" sqref="Y32"/>
    </sheetView>
  </sheetViews>
  <sheetFormatPr defaultColWidth="9" defaultRowHeight="17.100000000000001"/>
  <cols>
    <col min="1" max="1" width="3.625" style="1" customWidth="1"/>
    <col min="2" max="2" width="28.625" style="1" customWidth="1"/>
    <col min="3" max="5" width="10.625" style="1" hidden="1" customWidth="1"/>
    <col min="6" max="7" width="9.625" style="1" hidden="1" customWidth="1"/>
    <col min="8" max="8" width="10.375" style="1" hidden="1" customWidth="1"/>
    <col min="9" max="11" width="10.25" style="1" hidden="1" customWidth="1"/>
    <col min="12" max="14" width="10.25" style="1" bestFit="1" customWidth="1"/>
    <col min="15" max="15" width="12.625" style="1" bestFit="1" customWidth="1"/>
    <col min="16" max="16" width="10.25" style="1" bestFit="1" customWidth="1"/>
    <col min="17" max="17" width="10.125" style="1" customWidth="1"/>
    <col min="18" max="18" width="10.25" style="1" bestFit="1" customWidth="1"/>
    <col min="19" max="21" width="9" style="1"/>
    <col min="22" max="22" width="10.125" style="1" bestFit="1" customWidth="1"/>
    <col min="23" max="23" width="10.375" style="1" customWidth="1"/>
    <col min="24" max="24" width="9" style="1"/>
    <col min="25" max="25" width="13.5" style="1" bestFit="1" customWidth="1"/>
    <col min="26" max="16384" width="9" style="1"/>
  </cols>
  <sheetData>
    <row r="2" spans="1:24" ht="21">
      <c r="B2" s="9" t="s">
        <v>52</v>
      </c>
    </row>
    <row r="3" spans="1:24">
      <c r="B3" s="10" t="s">
        <v>1</v>
      </c>
    </row>
    <row r="4" spans="1:24">
      <c r="B4" s="6"/>
      <c r="X4" s="78" t="s">
        <v>53</v>
      </c>
    </row>
    <row r="5" spans="1:24" ht="18" thickBot="1">
      <c r="A5" s="3" t="s">
        <v>2</v>
      </c>
      <c r="B5" s="2" t="s">
        <v>3</v>
      </c>
      <c r="C5" s="28" t="s">
        <v>4</v>
      </c>
      <c r="D5" s="28" t="s">
        <v>5</v>
      </c>
      <c r="E5" s="28" t="s">
        <v>6</v>
      </c>
      <c r="F5" s="28" t="s">
        <v>7</v>
      </c>
      <c r="G5" s="28">
        <v>2022</v>
      </c>
      <c r="H5" s="28" t="s">
        <v>8</v>
      </c>
      <c r="I5" s="28" t="s">
        <v>9</v>
      </c>
      <c r="J5" s="28" t="s">
        <v>10</v>
      </c>
      <c r="K5" s="28" t="s">
        <v>11</v>
      </c>
      <c r="L5" s="28">
        <v>2023</v>
      </c>
      <c r="M5" s="28" t="s">
        <v>12</v>
      </c>
      <c r="N5" s="28" t="s">
        <v>13</v>
      </c>
      <c r="O5" s="28" t="s">
        <v>14</v>
      </c>
      <c r="P5" s="28" t="s">
        <v>15</v>
      </c>
      <c r="Q5" s="28">
        <v>2024</v>
      </c>
      <c r="R5" s="28" t="s">
        <v>16</v>
      </c>
      <c r="S5" s="28" t="s">
        <v>54</v>
      </c>
      <c r="T5" s="28" t="s">
        <v>42</v>
      </c>
      <c r="U5" s="28" t="s">
        <v>43</v>
      </c>
      <c r="V5" s="28">
        <v>2025</v>
      </c>
      <c r="W5" s="28" t="s">
        <v>20</v>
      </c>
      <c r="X5" s="28" t="s">
        <v>21</v>
      </c>
    </row>
    <row r="6" spans="1:24">
      <c r="B6" s="7" t="s">
        <v>22</v>
      </c>
      <c r="C6" s="22">
        <v>6277700</v>
      </c>
      <c r="D6" s="22">
        <v>6312200</v>
      </c>
      <c r="E6" s="22">
        <v>6477200</v>
      </c>
      <c r="F6" s="79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79">
        <v>6687700</v>
      </c>
      <c r="L6" s="80">
        <v>26376300</v>
      </c>
      <c r="M6" s="79">
        <v>6654600</v>
      </c>
      <c r="N6" s="79">
        <v>6546400</v>
      </c>
      <c r="O6" s="79">
        <v>6654600</v>
      </c>
      <c r="P6" s="79">
        <v>6575616</v>
      </c>
      <c r="Q6" s="80">
        <v>26431200</v>
      </c>
      <c r="R6" s="79">
        <v>6845100</v>
      </c>
      <c r="S6" s="79">
        <v>7427400</v>
      </c>
      <c r="T6" s="79">
        <v>7126700</v>
      </c>
      <c r="U6" s="79">
        <v>6845000</v>
      </c>
      <c r="V6" s="80">
        <v>28244200</v>
      </c>
      <c r="W6" s="79">
        <v>6778400</v>
      </c>
      <c r="X6" s="79">
        <v>6679900</v>
      </c>
    </row>
    <row r="7" spans="1:24">
      <c r="B7" s="1" t="s">
        <v>23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79">
        <v>5720200</v>
      </c>
      <c r="L7" s="80">
        <v>22994700</v>
      </c>
      <c r="M7" s="79">
        <v>5722700</v>
      </c>
      <c r="N7" s="79">
        <v>5776600</v>
      </c>
      <c r="O7" s="79">
        <v>5752000</v>
      </c>
      <c r="P7" s="79">
        <v>5754700</v>
      </c>
      <c r="Q7" s="80">
        <v>23005900</v>
      </c>
      <c r="R7" s="79">
        <v>5700400</v>
      </c>
      <c r="S7" s="79">
        <v>5817800</v>
      </c>
      <c r="T7" s="79">
        <v>5920800</v>
      </c>
      <c r="U7" s="79">
        <v>5949400</v>
      </c>
      <c r="V7" s="80">
        <v>23388400</v>
      </c>
      <c r="W7" s="79">
        <v>5733400</v>
      </c>
      <c r="X7" s="79">
        <v>5922900</v>
      </c>
    </row>
    <row r="8" spans="1:24">
      <c r="B8" s="1" t="s">
        <v>55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79">
        <v>967400</v>
      </c>
      <c r="L8" s="80">
        <v>3381600</v>
      </c>
      <c r="M8" s="79">
        <v>931900</v>
      </c>
      <c r="N8" s="79">
        <v>769800</v>
      </c>
      <c r="O8" s="79">
        <v>902700</v>
      </c>
      <c r="P8" s="79">
        <v>820900</v>
      </c>
      <c r="Q8" s="80">
        <v>3425200</v>
      </c>
      <c r="R8" s="79">
        <v>1144700</v>
      </c>
      <c r="S8" s="79">
        <v>1609600</v>
      </c>
      <c r="T8" s="79">
        <v>1205900</v>
      </c>
      <c r="U8" s="79">
        <v>895600</v>
      </c>
      <c r="V8" s="80">
        <v>4855900</v>
      </c>
      <c r="W8" s="79">
        <v>1045000</v>
      </c>
      <c r="X8" s="79">
        <v>756960</v>
      </c>
    </row>
    <row r="9" spans="1:24">
      <c r="B9" s="1" t="s">
        <v>25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  <c r="S9" s="22">
        <v>1014800</v>
      </c>
      <c r="T9" s="22">
        <v>538200</v>
      </c>
      <c r="U9" s="22">
        <v>227300</v>
      </c>
      <c r="V9" s="32">
        <v>2469100</v>
      </c>
      <c r="W9" s="22">
        <v>482700</v>
      </c>
      <c r="X9" s="22">
        <v>648300</v>
      </c>
    </row>
    <row r="10" spans="1:24">
      <c r="B10" s="1" t="s">
        <v>26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  <c r="S10" s="22">
        <v>733300</v>
      </c>
      <c r="T10" s="22">
        <v>445300</v>
      </c>
      <c r="U10" s="22">
        <v>91500</v>
      </c>
      <c r="V10" s="32">
        <v>1836800</v>
      </c>
      <c r="W10" s="22">
        <v>388300</v>
      </c>
      <c r="X10" s="22">
        <v>480600</v>
      </c>
    </row>
    <row r="11" spans="1:24">
      <c r="B11" s="5" t="s">
        <v>56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  <c r="S11" s="23">
        <v>687900</v>
      </c>
      <c r="T11" s="23">
        <v>391500</v>
      </c>
      <c r="U11" s="23">
        <v>111700</v>
      </c>
      <c r="V11" s="33">
        <v>1731000</v>
      </c>
      <c r="W11" s="23">
        <v>352200</v>
      </c>
      <c r="X11" s="23">
        <v>440100</v>
      </c>
    </row>
    <row r="12" spans="1:24" ht="17.45" thickBot="1">
      <c r="B12" s="12" t="s">
        <v>27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  <c r="S12" s="26">
        <v>1990700</v>
      </c>
      <c r="T12" s="26">
        <v>1503900</v>
      </c>
      <c r="U12" s="26">
        <v>1197300</v>
      </c>
      <c r="V12" s="34">
        <v>6349300</v>
      </c>
      <c r="W12" s="26">
        <v>1440000</v>
      </c>
      <c r="X12" s="26">
        <v>1589400</v>
      </c>
    </row>
    <row r="13" spans="1:24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5" spans="1:24" ht="18" thickBot="1">
      <c r="A15" s="3" t="s">
        <v>2</v>
      </c>
      <c r="B15" s="11" t="s">
        <v>57</v>
      </c>
      <c r="C15" s="28" t="s">
        <v>4</v>
      </c>
      <c r="D15" s="28" t="s">
        <v>5</v>
      </c>
      <c r="E15" s="28" t="s">
        <v>6</v>
      </c>
      <c r="F15" s="28" t="s">
        <v>7</v>
      </c>
      <c r="G15" s="28">
        <v>2022</v>
      </c>
      <c r="H15" s="28" t="s">
        <v>8</v>
      </c>
      <c r="I15" s="28" t="s">
        <v>9</v>
      </c>
      <c r="J15" s="28" t="s">
        <v>10</v>
      </c>
      <c r="K15" s="28" t="s">
        <v>11</v>
      </c>
      <c r="L15" s="28">
        <v>2023</v>
      </c>
      <c r="M15" s="28" t="s">
        <v>12</v>
      </c>
      <c r="N15" s="28" t="s">
        <v>13</v>
      </c>
      <c r="O15" s="28" t="s">
        <v>14</v>
      </c>
      <c r="P15" s="28" t="s">
        <v>15</v>
      </c>
      <c r="Q15" s="28">
        <v>2024</v>
      </c>
      <c r="R15" s="28" t="s">
        <v>16</v>
      </c>
      <c r="S15" s="28" t="s">
        <v>54</v>
      </c>
      <c r="T15" s="28" t="s">
        <v>42</v>
      </c>
      <c r="U15" s="28" t="s">
        <v>43</v>
      </c>
      <c r="V15" s="28">
        <v>2025</v>
      </c>
      <c r="W15" s="28" t="s">
        <v>20</v>
      </c>
      <c r="X15" s="28" t="s">
        <v>21</v>
      </c>
    </row>
    <row r="16" spans="1:24">
      <c r="B16" s="1" t="s">
        <v>58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  <c r="S16" s="19">
        <v>0.13700000000000001</v>
      </c>
      <c r="T16" s="19">
        <v>7.5999999999999998E-2</v>
      </c>
      <c r="U16" s="19">
        <v>3.3000000000000002E-2</v>
      </c>
      <c r="V16" s="35">
        <v>8.6999999999999994E-2</v>
      </c>
      <c r="W16" s="19">
        <v>7.0999999999999994E-2</v>
      </c>
      <c r="X16" s="19">
        <v>9.7000000000000003E-2</v>
      </c>
    </row>
    <row r="17" spans="1:25">
      <c r="B17" s="1" t="s">
        <v>28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  <c r="S17" s="19">
        <v>0.26800000000000002</v>
      </c>
      <c r="T17" s="19">
        <v>0.21099999999999999</v>
      </c>
      <c r="U17" s="19">
        <v>0.17499999999999999</v>
      </c>
      <c r="V17" s="35">
        <v>0.22500000000000001</v>
      </c>
      <c r="W17" s="19">
        <v>0.21199999999999999</v>
      </c>
      <c r="X17" s="19">
        <v>0.23799999999999999</v>
      </c>
    </row>
    <row r="18" spans="1:25" ht="17.45" thickBot="1">
      <c r="B18" s="8" t="s">
        <v>59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7" t="s">
        <v>60</v>
      </c>
      <c r="L18" s="36">
        <v>0.253</v>
      </c>
      <c r="M18" s="77">
        <v>0.25700000000000001</v>
      </c>
      <c r="N18" s="77">
        <v>0.26300000000000001</v>
      </c>
      <c r="O18" s="77">
        <v>0.247</v>
      </c>
      <c r="P18" s="77">
        <v>0.23799999999999999</v>
      </c>
      <c r="Q18" s="36">
        <v>0.28699999999999998</v>
      </c>
      <c r="R18" s="77">
        <v>0.20399999999999999</v>
      </c>
      <c r="S18" s="77">
        <v>0.248</v>
      </c>
      <c r="T18" s="77">
        <v>0.25</v>
      </c>
      <c r="U18" s="77">
        <v>0.33700000000000002</v>
      </c>
      <c r="V18" s="36">
        <v>0.24</v>
      </c>
      <c r="W18" s="77">
        <v>0.24199999999999999</v>
      </c>
      <c r="X18" s="77">
        <v>0.25600000000000001</v>
      </c>
    </row>
    <row r="20" spans="1:25">
      <c r="Y20" s="94"/>
    </row>
    <row r="21" spans="1:25" ht="18" thickBot="1">
      <c r="A21" s="3" t="s">
        <v>2</v>
      </c>
      <c r="B21" s="2" t="s">
        <v>36</v>
      </c>
      <c r="C21" s="28" t="s">
        <v>4</v>
      </c>
      <c r="D21" s="28" t="s">
        <v>5</v>
      </c>
      <c r="E21" s="28" t="s">
        <v>6</v>
      </c>
      <c r="F21" s="28" t="s">
        <v>7</v>
      </c>
      <c r="G21" s="28">
        <v>2022</v>
      </c>
      <c r="H21" s="28" t="s">
        <v>8</v>
      </c>
      <c r="I21" s="28" t="s">
        <v>9</v>
      </c>
      <c r="J21" s="28" t="s">
        <v>10</v>
      </c>
      <c r="K21" s="28" t="s">
        <v>11</v>
      </c>
      <c r="L21" s="28">
        <v>2023</v>
      </c>
      <c r="M21" s="28" t="s">
        <v>12</v>
      </c>
      <c r="N21" s="28" t="s">
        <v>13</v>
      </c>
      <c r="O21" s="28" t="s">
        <v>14</v>
      </c>
      <c r="P21" s="28" t="s">
        <v>15</v>
      </c>
      <c r="Q21" s="28">
        <v>2024</v>
      </c>
      <c r="R21" s="28" t="s">
        <v>16</v>
      </c>
      <c r="S21" s="28" t="s">
        <v>54</v>
      </c>
      <c r="T21" s="28" t="s">
        <v>42</v>
      </c>
      <c r="U21" s="28" t="s">
        <v>43</v>
      </c>
      <c r="V21" s="28">
        <v>2025</v>
      </c>
      <c r="W21" s="28" t="s">
        <v>20</v>
      </c>
      <c r="X21" s="28" t="s">
        <v>21</v>
      </c>
    </row>
    <row r="22" spans="1:25">
      <c r="B22" s="7" t="s">
        <v>61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  <c r="S22" s="52">
        <v>10750.2</v>
      </c>
      <c r="T22" s="52">
        <v>10532.3</v>
      </c>
      <c r="U22" s="52">
        <v>10785.6</v>
      </c>
      <c r="V22" s="74">
        <v>10785.6</v>
      </c>
      <c r="W22" s="52">
        <v>10836.6</v>
      </c>
      <c r="X22" s="52">
        <v>11270.8</v>
      </c>
    </row>
    <row r="23" spans="1:25">
      <c r="B23" s="5" t="s">
        <v>38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  <c r="S23" s="63">
        <v>6955.8</v>
      </c>
      <c r="T23" s="63">
        <v>6642</v>
      </c>
      <c r="U23" s="63">
        <v>7278.6</v>
      </c>
      <c r="V23" s="75">
        <v>7278.6</v>
      </c>
      <c r="W23" s="63">
        <v>7976.5</v>
      </c>
      <c r="X23" s="63">
        <v>8221</v>
      </c>
    </row>
    <row r="24" spans="1:25">
      <c r="B24" s="1" t="s">
        <v>39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  <c r="S24" s="19">
        <v>0.36799999999999999</v>
      </c>
      <c r="T24" s="19">
        <v>0.34499999999999997</v>
      </c>
      <c r="U24" s="19">
        <v>0.374</v>
      </c>
      <c r="V24" s="35">
        <v>0.374</v>
      </c>
      <c r="W24" s="19">
        <v>0.39900000000000002</v>
      </c>
      <c r="X24" s="19">
        <v>0.40200000000000002</v>
      </c>
    </row>
    <row r="25" spans="1:25" ht="17.45" thickBot="1">
      <c r="B25" s="8" t="s">
        <v>40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  <c r="S25" s="20"/>
      <c r="T25" s="20"/>
      <c r="U25" s="20"/>
      <c r="V25" s="37">
        <v>1.2</v>
      </c>
      <c r="W25" s="20"/>
      <c r="X25" s="20"/>
    </row>
    <row r="26" spans="1:25">
      <c r="C26" s="17"/>
      <c r="D26" s="17"/>
      <c r="E26" s="17"/>
      <c r="F26" s="17"/>
      <c r="G26" s="41"/>
      <c r="H26" s="17"/>
      <c r="I26" s="17"/>
      <c r="J26" s="17"/>
      <c r="K26" s="17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5" ht="18" thickBot="1">
      <c r="A27" s="3" t="s">
        <v>62</v>
      </c>
      <c r="B27" s="2" t="s">
        <v>41</v>
      </c>
      <c r="C27" s="43" t="s">
        <v>63</v>
      </c>
      <c r="D27" s="43" t="s">
        <v>64</v>
      </c>
      <c r="E27" s="43" t="s">
        <v>65</v>
      </c>
      <c r="F27" s="43" t="s">
        <v>66</v>
      </c>
      <c r="G27" s="43">
        <v>2022</v>
      </c>
      <c r="H27" s="43" t="s">
        <v>67</v>
      </c>
      <c r="I27" s="43" t="s">
        <v>68</v>
      </c>
      <c r="J27" s="43" t="s">
        <v>69</v>
      </c>
      <c r="K27" s="43" t="s">
        <v>70</v>
      </c>
      <c r="L27" s="43">
        <v>2023</v>
      </c>
      <c r="M27" s="43" t="s">
        <v>71</v>
      </c>
      <c r="N27" s="43" t="s">
        <v>72</v>
      </c>
      <c r="O27" s="43" t="s">
        <v>73</v>
      </c>
      <c r="P27" s="43" t="s">
        <v>74</v>
      </c>
      <c r="Q27" s="43">
        <v>2024</v>
      </c>
      <c r="R27" s="28" t="s">
        <v>16</v>
      </c>
      <c r="S27" s="28" t="s">
        <v>54</v>
      </c>
      <c r="T27" s="28" t="s">
        <v>42</v>
      </c>
      <c r="U27" s="28" t="s">
        <v>43</v>
      </c>
      <c r="V27" s="28">
        <v>2025</v>
      </c>
      <c r="W27" s="28" t="s">
        <v>20</v>
      </c>
      <c r="X27" s="28" t="s">
        <v>21</v>
      </c>
    </row>
    <row r="28" spans="1:25">
      <c r="B28" s="7" t="s">
        <v>75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1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1">
        <f>252021.685-P29</f>
        <v>245832.98499999999</v>
      </c>
      <c r="Q28" s="84">
        <f>252021.685-Q29</f>
        <v>245832.98499999999</v>
      </c>
      <c r="R28" s="47">
        <f>252021.685-R29</f>
        <v>244972.685</v>
      </c>
      <c r="S28" s="47">
        <v>242076.685</v>
      </c>
      <c r="T28" s="47">
        <v>241095.06299999999</v>
      </c>
      <c r="U28" s="47">
        <v>241095.06299999999</v>
      </c>
      <c r="V28" s="84">
        <v>241095.06299999999</v>
      </c>
      <c r="W28" s="47">
        <v>241096.446</v>
      </c>
      <c r="X28" s="47">
        <v>238631.8</v>
      </c>
    </row>
    <row r="29" spans="1:25">
      <c r="B29" s="1" t="s">
        <v>76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1">
        <v>6188.7</v>
      </c>
      <c r="Q29" s="84">
        <v>6188.7</v>
      </c>
      <c r="R29" s="47">
        <v>7049</v>
      </c>
      <c r="S29" s="47">
        <v>9945</v>
      </c>
      <c r="T29" s="47">
        <v>10926.6</v>
      </c>
      <c r="U29" s="47">
        <v>10926.6</v>
      </c>
      <c r="V29" s="84">
        <v>10926.621999999999</v>
      </c>
      <c r="W29" s="47">
        <v>10925.2</v>
      </c>
      <c r="X29" s="47">
        <v>13390</v>
      </c>
    </row>
    <row r="30" spans="1:25">
      <c r="B30" s="5" t="s">
        <v>77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  <c r="S30" s="31">
        <v>55700</v>
      </c>
      <c r="T30" s="31">
        <v>50500</v>
      </c>
      <c r="U30" s="31">
        <v>52600</v>
      </c>
      <c r="V30" s="39">
        <v>52600</v>
      </c>
      <c r="W30" s="31">
        <v>60400</v>
      </c>
      <c r="X30" s="31">
        <v>52900</v>
      </c>
    </row>
    <row r="31" spans="1:25">
      <c r="B31" s="1" t="s">
        <v>78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>
        <v>500</v>
      </c>
      <c r="N31" s="18">
        <v>500</v>
      </c>
      <c r="O31" s="18">
        <v>500</v>
      </c>
      <c r="P31" s="18">
        <v>500</v>
      </c>
      <c r="Q31" s="92">
        <v>2000</v>
      </c>
      <c r="R31" s="18">
        <v>600</v>
      </c>
      <c r="S31" s="18">
        <v>600</v>
      </c>
      <c r="T31" s="18">
        <v>600</v>
      </c>
      <c r="U31" s="18">
        <v>600</v>
      </c>
      <c r="V31" s="92">
        <v>2400</v>
      </c>
      <c r="W31" s="18">
        <v>600</v>
      </c>
      <c r="X31" s="112">
        <v>600</v>
      </c>
    </row>
    <row r="32" spans="1:25">
      <c r="B32" s="4" t="s">
        <v>79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96">
        <v>491.6</v>
      </c>
      <c r="R32" s="25"/>
      <c r="S32" s="25"/>
      <c r="T32" s="25"/>
      <c r="U32" s="25"/>
      <c r="V32" s="41">
        <v>581</v>
      </c>
      <c r="W32" s="25"/>
      <c r="X32" s="25"/>
    </row>
    <row r="33" spans="1:24">
      <c r="B33" s="1" t="s">
        <v>80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96">
        <v>491.6</v>
      </c>
      <c r="R33" s="17"/>
      <c r="S33" s="17"/>
      <c r="T33" s="17"/>
      <c r="U33" s="17"/>
      <c r="V33" s="41">
        <v>581</v>
      </c>
      <c r="W33" s="17"/>
      <c r="X33" s="17"/>
    </row>
    <row r="34" spans="1:24">
      <c r="B34" s="5" t="s">
        <v>81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1">
        <v>250</v>
      </c>
      <c r="S34" s="24"/>
      <c r="T34" s="24"/>
      <c r="U34" s="24"/>
      <c r="V34" s="41"/>
      <c r="W34" s="21">
        <v>250</v>
      </c>
      <c r="X34" s="21"/>
    </row>
    <row r="35" spans="1:24" ht="17.45" thickBot="1">
      <c r="B35" s="8" t="s">
        <v>82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5">
        <v>0.437</v>
      </c>
      <c r="R35" s="16"/>
      <c r="S35" s="16"/>
      <c r="T35" s="16"/>
      <c r="U35" s="16"/>
      <c r="V35" s="85">
        <v>0.54700000000000004</v>
      </c>
      <c r="W35" s="16"/>
      <c r="X35" s="16"/>
    </row>
    <row r="36" spans="1:24">
      <c r="B36" s="9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V36" s="98"/>
    </row>
    <row r="37" spans="1:24">
      <c r="F37" s="29"/>
      <c r="G37" s="29"/>
      <c r="H37" s="29"/>
      <c r="I37" s="29"/>
      <c r="P37" s="100"/>
      <c r="V37" s="95"/>
    </row>
    <row r="38" spans="1:24" ht="18" thickBot="1">
      <c r="A38" s="3" t="s">
        <v>2</v>
      </c>
      <c r="B38" s="11" t="s">
        <v>83</v>
      </c>
      <c r="D38" s="50"/>
      <c r="F38" s="102"/>
      <c r="G38" s="103"/>
      <c r="H38" s="102"/>
      <c r="I38" s="102"/>
      <c r="K38" s="101"/>
      <c r="L38" s="64">
        <v>2023</v>
      </c>
      <c r="M38" s="64">
        <v>2024</v>
      </c>
      <c r="N38" s="64">
        <v>2025</v>
      </c>
      <c r="O38" s="94"/>
      <c r="Q38" s="50"/>
      <c r="V38" s="94"/>
    </row>
    <row r="39" spans="1:24">
      <c r="B39" s="1" t="s">
        <v>84</v>
      </c>
      <c r="D39" s="88"/>
      <c r="F39" s="29"/>
      <c r="G39" s="29"/>
      <c r="H39" s="29"/>
      <c r="I39" s="29"/>
      <c r="K39" s="69"/>
      <c r="L39" s="86">
        <v>3787.5371902428301</v>
      </c>
      <c r="M39" s="69">
        <v>1329.76459607322</v>
      </c>
      <c r="N39" s="87">
        <v>4426.0549623946499</v>
      </c>
      <c r="O39" s="99"/>
      <c r="Q39" s="97"/>
    </row>
    <row r="40" spans="1:24">
      <c r="B40" s="1" t="s">
        <v>85</v>
      </c>
      <c r="F40" s="104"/>
      <c r="G40" s="104"/>
      <c r="H40" s="104"/>
      <c r="I40" s="104"/>
      <c r="K40" s="70"/>
      <c r="L40" s="65">
        <v>9.0813093980992612</v>
      </c>
      <c r="M40" s="70">
        <v>32.969924812030072</v>
      </c>
      <c r="N40" s="66">
        <v>11.884319927699956</v>
      </c>
    </row>
    <row r="41" spans="1:24">
      <c r="B41" s="1" t="s">
        <v>86</v>
      </c>
      <c r="F41" s="105"/>
      <c r="G41" s="105"/>
      <c r="H41" s="105"/>
      <c r="I41" s="105"/>
      <c r="K41" s="70"/>
      <c r="L41" s="70">
        <v>3.4758244602604296</v>
      </c>
      <c r="M41" s="70">
        <v>4.8592337267276084</v>
      </c>
      <c r="N41" s="66">
        <v>4.1218440212480481</v>
      </c>
    </row>
    <row r="42" spans="1:24">
      <c r="B42" s="1" t="s">
        <v>87</v>
      </c>
      <c r="C42" s="89"/>
      <c r="F42" s="29"/>
      <c r="G42" s="106"/>
      <c r="H42" s="106"/>
      <c r="I42" s="106"/>
      <c r="K42" s="71"/>
      <c r="L42" s="71">
        <v>6.0543022774823596E-2</v>
      </c>
      <c r="M42" s="71">
        <v>2.8537707942075066E-2</v>
      </c>
      <c r="N42" s="67">
        <v>0.1022252143717667</v>
      </c>
    </row>
    <row r="43" spans="1:24" ht="17.45" thickBot="1">
      <c r="B43" s="8" t="s">
        <v>88</v>
      </c>
      <c r="F43" s="29"/>
      <c r="G43" s="106">
        <f>1009.9/AVERAGE(40980.7, 42710)</f>
        <v>2.4134103311359567E-2</v>
      </c>
      <c r="H43" s="106">
        <f>470.3/AVERAGE(42710, 41880)</f>
        <v>1.1119517673483863E-2</v>
      </c>
      <c r="I43" s="106"/>
      <c r="K43" s="71"/>
      <c r="L43" s="72">
        <v>2.4134103311359567E-2</v>
      </c>
      <c r="M43" s="72">
        <v>1.1119517673483863E-2</v>
      </c>
      <c r="N43" s="68">
        <v>4.0811707372277746E-2</v>
      </c>
    </row>
    <row r="44" spans="1:24">
      <c r="F44" s="29"/>
      <c r="G44" s="29"/>
      <c r="H44" s="29"/>
      <c r="I44" s="29"/>
    </row>
    <row r="45" spans="1:24">
      <c r="B45" s="1" t="s">
        <v>89</v>
      </c>
    </row>
    <row r="46" spans="1:24">
      <c r="B46" s="1" t="s">
        <v>90</v>
      </c>
    </row>
    <row r="47" spans="1:24">
      <c r="B47" s="1" t="s">
        <v>91</v>
      </c>
    </row>
    <row r="48" spans="1:24">
      <c r="B48" s="1" t="s">
        <v>92</v>
      </c>
    </row>
    <row r="49" spans="2:2">
      <c r="B49" s="1" t="s">
        <v>93</v>
      </c>
    </row>
    <row r="50" spans="2:2">
      <c r="B50" s="1" t="s">
        <v>94</v>
      </c>
    </row>
  </sheetData>
  <phoneticPr fontId="1" type="noConversion"/>
  <pageMargins left="0.25" right="0.25" top="0.75" bottom="0.75" header="0.3" footer="0.3"/>
  <pageSetup paperSize="8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1047D9BCB1F147BF3B2B2B0167AD46" ma:contentTypeVersion="13" ma:contentTypeDescription="새 문서를 만듭니다." ma:contentTypeScope="" ma:versionID="91ed33b595521ab0cd27cc7dd32be8f0">
  <xsd:schema xmlns:xsd="http://www.w3.org/2001/XMLSchema" xmlns:xs="http://www.w3.org/2001/XMLSchema" xmlns:p="http://schemas.microsoft.com/office/2006/metadata/properties" xmlns:ns2="7b54d338-09ec-42c9-9c75-5dc6b8167253" xmlns:ns3="f18439c4-557b-4a38-916e-ddfa5f933736" targetNamespace="http://schemas.microsoft.com/office/2006/metadata/properties" ma:root="true" ma:fieldsID="936b92e33205ee178b187a15e3e8811a" ns2:_="" ns3:_="">
    <xsd:import namespace="7b54d338-09ec-42c9-9c75-5dc6b8167253"/>
    <xsd:import namespace="f18439c4-557b-4a38-916e-ddfa5f933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_x002e_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4d338-09ec-42c9-9c75-5dc6b8167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_x002e_" ma:index="12" nillable="true" ma:displayName="No." ma:decimals="0" ma:default="1" ma:format="Dropdown" ma:internalName="No_x002e_" ma:percentage="FALSE">
      <xsd:simpleType>
        <xsd:restriction base="dms:Number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9d4f9da8-bb2f-4d59-83da-92265b347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439c4-557b-4a38-916e-ddfa5f93373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63224-57e0-467a-ab0b-e98b494bccd7}" ma:internalName="TaxCatchAll" ma:showField="CatchAllData" ma:web="f18439c4-557b-4a38-916e-ddfa5f933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7b54d338-09ec-42c9-9c75-5dc6b8167253">1</No_x002e_>
    <TaxCatchAll xmlns="f18439c4-557b-4a38-916e-ddfa5f933736" xsi:nil="true"/>
    <lcf76f155ced4ddcb4097134ff3c332f xmlns="7b54d338-09ec-42c9-9c75-5dc6b81672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3A5A05-B2F3-42F0-916B-96805997A717}"/>
</file>

<file path=customXml/itemProps2.xml><?xml version="1.0" encoding="utf-8"?>
<ds:datastoreItem xmlns:ds="http://schemas.openxmlformats.org/officeDocument/2006/customXml" ds:itemID="{7EBE09E5-6637-4785-932C-3456D5244980}"/>
</file>

<file path=customXml/itemProps3.xml><?xml version="1.0" encoding="utf-8"?>
<ds:datastoreItem xmlns:ds="http://schemas.openxmlformats.org/officeDocument/2006/customXml" ds:itemID="{0B65C9CA-0802-48B7-8ACA-DCDE41F1098E}"/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180629da-fe4c-458c-8128-306d8d0bf4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greatKANGmae</dc:creator>
  <cp:keywords/>
  <dc:description/>
  <cp:lastModifiedBy>이은지(IR시장분석팀)</cp:lastModifiedBy>
  <cp:revision/>
  <dcterms:created xsi:type="dcterms:W3CDTF">2012-01-10T00:01:55Z</dcterms:created>
  <dcterms:modified xsi:type="dcterms:W3CDTF">2026-08-06T07:54:07Z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  <property fmtid="{D5CDD505-2E9C-101B-9397-08002B2CF9AE}" pid="8" name="ContentTypeId">
    <vt:lpwstr>0x0101005C1047D9BCB1F147BF3B2B2B0167AD46</vt:lpwstr>
  </property>
  <property fmtid="{D5CDD505-2E9C-101B-9397-08002B2CF9AE}" pid="9" name="MediaServiceImageTags">
    <vt:lpwstr/>
  </property>
</Properties>
</file>