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3. IR Factsheet, Conference Call 일정 공유\00. Monthly 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'Fixed(M)'!$A$1:$FW$39</definedName>
    <definedName name="_xlnm.Print_Area" localSheetId="1">'Wireless(Q)'!$A$1:$AV$41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<sst xmlns="http://schemas.openxmlformats.org/spreadsheetml/2006/main" count="220" uniqueCount="114">
  <si>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</si>
  <si>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</si>
  <si>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</si>
  <si>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</si>
  <si>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</si>
  <si>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</si>
  <si>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</si>
  <si>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</si>
  <si>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</si>
  <si>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</si>
  <si>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</si>
  <si>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</si>
  <si>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</si>
  <si>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</si>
  <si>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</si>
  <si>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</si>
  <si>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</si>
  <si>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</si>
  <si>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</si>
  <si>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</si>
  <si>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</si>
  <si>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</si>
  <si>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</si>
  <si>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</si>
  <si>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</si>
  <si>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</si>
  <si>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</si>
  <si>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</si>
  <si>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</si>
  <si>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</si>
  <si>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</si>
  <si>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</si>
  <si>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</si>
  <si>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</si>
  <si>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</si>
  <si>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</si>
  <si>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</si>
  <si>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</si>
  <si>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</si>
  <si>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</si>
  <si>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</si>
  <si>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</si>
  <si>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</si>
  <si>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</si>
  <si>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</si>
  <si>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</si>
  <si>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</si>
  <si>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</si>
  <si>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</si>
  <si>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</si>
  <si>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</si>
  <si>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</si>
  <si>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</si>
  <si>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</si>
  <si>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</si>
  <si>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</si>
  <si>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</si>
  <si>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</si>
  <si>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</si>
  <si>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</si>
  <si>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</si>
  <si>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</si>
  <si>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</si>
  <si>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</si>
  <si>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</si>
  <si>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</si>
  <si>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</si>
  <si>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</si>
  <si>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</si>
  <si>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</si>
  <si>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</si>
  <si>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</si>
  <si>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</si>
  <si>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</si>
  <si>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</si>
  <si>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</si>
  <si>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</si>
  <si>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</si>
  <si>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</si>
  <si>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</si>
  <si>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</si>
  <si>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</si>
  <si>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</si>
  <si>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</si>
  <si>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</si>
  <si>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</si>
  <si>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</si>
  <si>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</si>
  <si>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</si>
  <si>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</si>
  <si>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</si>
  <si>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</si>
  <si>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</si>
  <si>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</si>
  <si>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</si>
  <si>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</si>
  <si>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</si>
  <si>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</si>
  <si>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</si>
  <si>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</si>
  <si>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</si>
  <si>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</si>
  <si>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</si>
  <si>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</si>
  <si>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</si>
  <si>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</si>
  <si>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</si>
  <si>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</si>
  <si>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</si>
  <si>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</si>
  <si>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※ Olleh TV Subscriber and Market share of IR factsheet are different from those of MSIT's subscriber disclosure</t>
    <phoneticPr fontId="5" type="noConversion"/>
  </si>
  <si>
    <t>KT Monthly Factsheet (October 2019)</t>
    <phoneticPr fontId="5" type="noConversion"/>
  </si>
  <si>
    <t>3Q 19</t>
    <phoneticPr fontId="5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</si>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</sst>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62" fillId="0" borderId="0" applyNumberFormat="0" applyFill="0" applyBorder="0" applyAlignment="0" applyProtection="0"/>
    <xf numFmtId="214" fontId="63" fillId="0" borderId="0"/>
    <xf numFmtId="0" fontId="63" fillId="0" borderId="0"/>
    <xf numFmtId="0" fontId="63" fillId="0" borderId="0"/>
    <xf numFmtId="0" fontId="42" fillId="0" borderId="0"/>
    <xf numFmtId="0" fontId="64" fillId="0" borderId="0" applyFont="0" applyFill="0" applyBorder="0" applyAlignment="0" applyProtection="0"/>
    <xf numFmtId="0" fontId="65" fillId="0" borderId="0"/>
    <xf numFmtId="0" fontId="65" fillId="0" borderId="0"/>
    <xf numFmtId="0" fontId="64" fillId="0" borderId="0" applyFont="0" applyFill="0" applyBorder="0" applyAlignment="0" applyProtection="0"/>
    <xf numFmtId="0" fontId="42" fillId="0" borderId="0"/>
    <xf numFmtId="0" fontId="42" fillId="0" borderId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/>
    <xf numFmtId="201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39" fontId="42" fillId="0" borderId="0" applyFont="0" applyFill="0" applyBorder="0" applyAlignment="0" applyProtection="0"/>
    <xf numFmtId="0" fontId="42" fillId="0" borderId="0"/>
    <xf numFmtId="204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44" borderId="0" applyNumberFormat="0" applyFont="0" applyAlignment="0" applyProtection="0"/>
    <xf numFmtId="20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21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/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5" fillId="0" borderId="0"/>
    <xf numFmtId="0" fontId="63" fillId="0" borderId="0"/>
    <xf numFmtId="0" fontId="35" fillId="0" borderId="0"/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43" fillId="64" borderId="17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42" fillId="0" borderId="0"/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42" fillId="0" borderId="0"/>
    <xf numFmtId="0" fontId="60" fillId="63" borderId="24" applyNumberFormat="0" applyAlignment="0" applyProtection="0">
      <alignment vertical="center"/>
    </xf>
    <xf numFmtId="0" fontId="65" fillId="0" borderId="0" applyFont="0" applyFill="0" applyBorder="0" applyAlignment="0" applyProtection="0"/>
    <xf numFmtId="0" fontId="3" fillId="0" borderId="0"/>
    <xf numFmtId="0" fontId="3" fillId="0" borderId="0"/>
    <xf numFmtId="0" fontId="92" fillId="0" borderId="0" applyNumberFormat="0" applyFill="0" applyBorder="0" applyAlignment="0" applyProtection="0">
      <alignment vertical="top"/>
      <protection locked="0"/>
    </xf>
    <xf numFmtId="188" fontId="72" fillId="0" borderId="0" applyFont="0" applyFill="0" applyBorder="0" applyAlignment="0" applyProtection="0"/>
    <xf numFmtId="19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4" fillId="0" borderId="0"/>
    <xf numFmtId="0" fontId="75" fillId="66" borderId="25" applyNumberFormat="0" applyAlignment="0" applyProtection="0"/>
    <xf numFmtId="189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3" fillId="0" borderId="0"/>
    <xf numFmtId="0" fontId="42" fillId="0" borderId="0"/>
    <xf numFmtId="38" fontId="76" fillId="67" borderId="26">
      <alignment horizontal="right"/>
    </xf>
    <xf numFmtId="0" fontId="77" fillId="0" borderId="0"/>
    <xf numFmtId="215" fontId="78" fillId="0" borderId="0"/>
    <xf numFmtId="216" fontId="42" fillId="0" borderId="0"/>
    <xf numFmtId="38" fontId="79" fillId="68" borderId="26">
      <protection locked="0"/>
    </xf>
    <xf numFmtId="2" fontId="76" fillId="69" borderId="0">
      <alignment horizontal="left"/>
      <protection hidden="1"/>
    </xf>
    <xf numFmtId="217" fontId="42" fillId="0" borderId="0"/>
    <xf numFmtId="218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80" fillId="70" borderId="0" applyNumberFormat="0" applyBorder="0" applyAlignment="0" applyProtection="0"/>
    <xf numFmtId="0" fontId="81" fillId="0" borderId="0">
      <alignment horizontal="left"/>
    </xf>
    <xf numFmtId="0" fontId="61" fillId="0" borderId="27" applyNumberFormat="0" applyAlignment="0" applyProtection="0">
      <alignment horizontal="left" vertical="center"/>
    </xf>
    <xf numFmtId="0" fontId="61" fillId="0" borderId="2">
      <alignment horizontal="left" vertical="center"/>
    </xf>
    <xf numFmtId="192" fontId="82" fillId="0" borderId="0" applyBorder="0" applyAlignment="0"/>
    <xf numFmtId="182" fontId="78" fillId="0" borderId="0" applyAlignment="0">
      <protection locked="0"/>
    </xf>
    <xf numFmtId="194" fontId="83" fillId="0" borderId="0"/>
    <xf numFmtId="196" fontId="83" fillId="0" borderId="0"/>
    <xf numFmtId="195" fontId="83" fillId="0" borderId="0"/>
    <xf numFmtId="10" fontId="80" fillId="70" borderId="28" applyNumberFormat="0" applyBorder="0" applyAlignment="0" applyProtection="0"/>
    <xf numFmtId="0" fontId="84" fillId="0" borderId="29"/>
    <xf numFmtId="213" fontId="63" fillId="0" borderId="0"/>
    <xf numFmtId="191" fontId="63" fillId="0" borderId="0"/>
    <xf numFmtId="194" fontId="85" fillId="0" borderId="0"/>
    <xf numFmtId="196" fontId="85" fillId="0" borderId="0"/>
    <xf numFmtId="195" fontId="85" fillId="0" borderId="0"/>
    <xf numFmtId="197" fontId="85" fillId="0" borderId="0">
      <alignment horizontal="right"/>
    </xf>
    <xf numFmtId="0" fontId="63" fillId="0" borderId="3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86" fillId="11" borderId="0">
      <alignment horizontal="right"/>
    </xf>
    <xf numFmtId="0" fontId="84" fillId="0" borderId="0"/>
    <xf numFmtId="0" fontId="87" fillId="0" borderId="31" applyBorder="0">
      <alignment horizontal="center"/>
    </xf>
    <xf numFmtId="193" fontId="88" fillId="71" borderId="0"/>
    <xf numFmtId="0" fontId="80" fillId="72" borderId="26">
      <alignment horizontal="right"/>
    </xf>
    <xf numFmtId="0" fontId="89" fillId="72" borderId="26"/>
    <xf numFmtId="0" fontId="90" fillId="0" borderId="0"/>
    <xf numFmtId="191" fontId="63" fillId="0" borderId="0"/>
    <xf numFmtId="198" fontId="91" fillId="72" borderId="28" applyFont="0" applyFill="0" applyBorder="0" applyAlignment="0" applyProtection="0">
      <alignment horizontal="center"/>
      <protection locked="0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5" fillId="0" borderId="0"/>
    <xf numFmtId="2" fontId="96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" fontId="100" fillId="0" borderId="0" applyFont="0" applyFill="0" applyBorder="0" applyAlignment="0" applyProtection="0"/>
    <xf numFmtId="3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95" fillId="0" borderId="0">
      <alignment vertical="center"/>
    </xf>
    <xf numFmtId="0" fontId="3" fillId="0" borderId="0">
      <alignment vertical="center"/>
    </xf>
    <xf numFmtId="0" fontId="96" fillId="0" borderId="40" applyNumberFormat="0" applyFont="0" applyFill="0" applyAlignment="0" applyProtection="0"/>
    <xf numFmtId="219" fontId="100" fillId="0" borderId="0" applyFont="0" applyFill="0" applyBorder="0" applyAlignment="0" applyProtection="0"/>
    <xf numFmtId="219" fontId="100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5" fillId="66" borderId="25" applyNumberFormat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66" borderId="25" applyNumberFormat="0" applyAlignment="0" applyProtection="0"/>
    <xf numFmtId="0" fontId="84" fillId="0" borderId="29"/>
    <xf numFmtId="0" fontId="87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4" fillId="0" borderId="29"/>
    <xf numFmtId="41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9" fillId="0" borderId="42" applyAlignment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2" fillId="0" borderId="0"/>
    <xf numFmtId="0" fontId="3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2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5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9" fillId="0" borderId="0"/>
    <xf numFmtId="0" fontId="106" fillId="0" borderId="0" applyNumberFormat="0" applyFill="0" applyBorder="0" applyAlignment="0" applyProtection="0"/>
    <xf numFmtId="0" fontId="42" fillId="0" borderId="0" applyFon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94" fillId="0" borderId="0"/>
    <xf numFmtId="0" fontId="42" fillId="0" borderId="0"/>
    <xf numFmtId="38" fontId="104" fillId="0" borderId="26">
      <alignment horizontal="right" vertical="center"/>
      <protection locked="0"/>
    </xf>
    <xf numFmtId="0" fontId="3" fillId="0" borderId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0" fontId="9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" fontId="96" fillId="0" borderId="0" applyFont="0" applyFill="0" applyBorder="0" applyAlignment="0" applyProtection="0"/>
    <xf numFmtId="3" fontId="96" fillId="0" borderId="0" applyFont="0" applyFill="0" applyBorder="0" applyAlignment="0" applyProtection="0"/>
    <xf numFmtId="10" fontId="96" fillId="0" borderId="0" applyFont="0" applyFill="0" applyBorder="0" applyAlignment="0" applyProtection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6" fillId="0" borderId="0" applyFont="0" applyFill="0" applyBorder="0" applyAlignment="0" applyProtection="0"/>
    <xf numFmtId="225" fontId="109" fillId="0" borderId="0" applyFont="0" applyFill="0" applyBorder="0" applyAlignment="0" applyProtection="0"/>
    <xf numFmtId="226" fontId="109" fillId="0" borderId="0" applyFont="0" applyFill="0" applyBorder="0" applyAlignment="0" applyProtection="0"/>
    <xf numFmtId="0" fontId="109" fillId="0" borderId="0"/>
    <xf numFmtId="38" fontId="94" fillId="0" borderId="0" applyFont="0" applyFill="0" applyBorder="0" applyAlignment="0" applyProtection="0"/>
    <xf numFmtId="227" fontId="94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2" fontId="23" fillId="0" borderId="0" applyFill="0" applyBorder="0" applyAlignment="0" applyProtection="0"/>
    <xf numFmtId="38" fontId="80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10" fontId="80" fillId="72" borderId="28" applyNumberFormat="0" applyBorder="0" applyAlignment="0" applyProtection="0"/>
    <xf numFmtId="191" fontId="114" fillId="0" borderId="0"/>
    <xf numFmtId="0" fontId="42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5" fillId="0" borderId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0" fontId="42" fillId="0" borderId="0"/>
    <xf numFmtId="9" fontId="115" fillId="0" borderId="0" applyFont="0" applyFill="0" applyBorder="0" applyAlignment="0" applyProtection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0" fontId="42" fillId="0" borderId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0" borderId="0">
      <alignment vertical="center"/>
    </xf>
    <xf numFmtId="0" fontId="117" fillId="0" borderId="5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1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3" fillId="16" borderId="8" applyNumberFormat="0" applyAlignment="0" applyProtection="0">
      <alignment vertical="center"/>
    </xf>
    <xf numFmtId="0" fontId="124" fillId="17" borderId="9" applyNumberFormat="0" applyAlignment="0" applyProtection="0">
      <alignment vertical="center"/>
    </xf>
    <xf numFmtId="0" fontId="125" fillId="17" borderId="8" applyNumberFormat="0" applyAlignment="0" applyProtection="0">
      <alignment vertical="center"/>
    </xf>
    <xf numFmtId="0" fontId="126" fillId="0" borderId="10" applyNumberFormat="0" applyFill="0" applyAlignment="0" applyProtection="0">
      <alignment vertical="center"/>
    </xf>
    <xf numFmtId="0" fontId="127" fillId="18" borderId="11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03" fillId="19" borderId="12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3" applyNumberFormat="0" applyFill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3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3" fillId="0" borderId="0"/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35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99" fillId="0" borderId="32">
      <alignment horizontal="centerContinuous" vertical="center"/>
    </xf>
    <xf numFmtId="3" fontId="65" fillId="0" borderId="0">
      <alignment vertical="center"/>
    </xf>
    <xf numFmtId="186" fontId="65" fillId="0" borderId="0">
      <alignment vertical="center"/>
    </xf>
    <xf numFmtId="4" fontId="65" fillId="0" borderId="0">
      <alignment vertical="center"/>
    </xf>
    <xf numFmtId="230" fontId="65" fillId="0" borderId="0">
      <alignment vertical="center"/>
    </xf>
    <xf numFmtId="0" fontId="99" fillId="0" borderId="32">
      <alignment horizontal="centerContinuous" vertical="center"/>
    </xf>
    <xf numFmtId="0" fontId="99" fillId="0" borderId="32">
      <alignment horizontal="centerContinuous" vertical="center"/>
    </xf>
    <xf numFmtId="0" fontId="104" fillId="0" borderId="0"/>
    <xf numFmtId="0" fontId="132" fillId="0" borderId="0" applyNumberForma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5" fillId="0" borderId="0"/>
    <xf numFmtId="0" fontId="94" fillId="0" borderId="0"/>
    <xf numFmtId="0" fontId="42" fillId="0" borderId="0" applyNumberFormat="0" applyFill="0" applyBorder="0" applyAlignment="0" applyProtection="0"/>
    <xf numFmtId="0" fontId="65" fillId="0" borderId="0"/>
    <xf numFmtId="0" fontId="65" fillId="0" borderId="0"/>
    <xf numFmtId="0" fontId="65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42" fillId="0" borderId="0"/>
    <xf numFmtId="0" fontId="65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133" fillId="0" borderId="0" applyNumberFormat="0" applyFill="0" applyBorder="0" applyAlignment="0" applyProtection="0"/>
    <xf numFmtId="0" fontId="94" fillId="0" borderId="0"/>
    <xf numFmtId="0" fontId="134" fillId="0" borderId="0"/>
    <xf numFmtId="0" fontId="133" fillId="0" borderId="0" applyNumberForma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65" fillId="0" borderId="0"/>
    <xf numFmtId="0" fontId="42" fillId="0" borderId="0"/>
    <xf numFmtId="0" fontId="45" fillId="0" borderId="0"/>
    <xf numFmtId="0" fontId="42" fillId="0" borderId="0"/>
    <xf numFmtId="0" fontId="135" fillId="0" borderId="0"/>
    <xf numFmtId="0" fontId="3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0">
      <alignment vertical="center"/>
    </xf>
    <xf numFmtId="0" fontId="42" fillId="0" borderId="0"/>
    <xf numFmtId="0" fontId="65" fillId="0" borderId="0"/>
    <xf numFmtId="0" fontId="94" fillId="0" borderId="0"/>
    <xf numFmtId="0" fontId="42" fillId="0" borderId="0" applyFont="0" applyFill="0" applyBorder="0" applyAlignment="0" applyProtection="0"/>
    <xf numFmtId="0" fontId="94" fillId="0" borderId="0"/>
    <xf numFmtId="0" fontId="45" fillId="0" borderId="0"/>
    <xf numFmtId="0" fontId="3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5" fillId="0" borderId="0"/>
    <xf numFmtId="0" fontId="94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94" fillId="0" borderId="0"/>
    <xf numFmtId="0" fontId="65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94" fillId="0" borderId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42" fillId="0" borderId="0"/>
    <xf numFmtId="0" fontId="42" fillId="0" borderId="0"/>
    <xf numFmtId="0" fontId="42" fillId="0" borderId="0" applyNumberFormat="0" applyFill="0" applyBorder="0" applyAlignment="0" applyProtection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65" fillId="0" borderId="0"/>
    <xf numFmtId="0" fontId="135" fillId="0" borderId="0"/>
    <xf numFmtId="0" fontId="65" fillId="0" borderId="0"/>
    <xf numFmtId="0" fontId="65" fillId="0" borderId="0"/>
    <xf numFmtId="0" fontId="42" fillId="0" borderId="0"/>
    <xf numFmtId="0" fontId="3" fillId="0" borderId="0"/>
    <xf numFmtId="0" fontId="42" fillId="0" borderId="0"/>
    <xf numFmtId="0" fontId="65" fillId="0" borderId="0"/>
    <xf numFmtId="0" fontId="65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1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0" fontId="94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42" fillId="0" borderId="0"/>
    <xf numFmtId="9" fontId="42" fillId="68" borderId="0"/>
    <xf numFmtId="41" fontId="136" fillId="0" borderId="44" applyBorder="0">
      <alignment horizontal="center" vertical="center"/>
    </xf>
    <xf numFmtId="9" fontId="99" fillId="0" borderId="0">
      <alignment vertical="center"/>
    </xf>
    <xf numFmtId="0" fontId="135" fillId="0" borderId="0"/>
    <xf numFmtId="0" fontId="99" fillId="0" borderId="0">
      <alignment vertical="center"/>
    </xf>
    <xf numFmtId="10" fontId="99" fillId="0" borderId="0">
      <alignment vertical="center"/>
    </xf>
    <xf numFmtId="0" fontId="99" fillId="0" borderId="0">
      <alignment vertical="center"/>
    </xf>
    <xf numFmtId="188" fontId="3" fillId="0" borderId="0">
      <alignment vertical="center"/>
    </xf>
    <xf numFmtId="0" fontId="42" fillId="0" borderId="0" applyNumberForma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6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5" fillId="0" borderId="0"/>
    <xf numFmtId="0" fontId="45" fillId="0" borderId="0"/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231" fontId="42" fillId="0" borderId="28">
      <alignment horizontal="right" vertical="center" shrinkToFit="1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65" fillId="74" borderId="0">
      <alignment horizontal="left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9" fontId="137" fillId="70" borderId="0" applyFill="0" applyBorder="0" applyProtection="0">
      <alignment horizontal="right"/>
    </xf>
    <xf numFmtId="10" fontId="137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9" fillId="0" borderId="28"/>
    <xf numFmtId="0" fontId="140" fillId="0" borderId="0">
      <alignment horizontal="center"/>
    </xf>
    <xf numFmtId="0" fontId="132" fillId="0" borderId="41">
      <alignment horizont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94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1" fillId="0" borderId="35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99" fillId="0" borderId="45">
      <alignment vertical="justify" wrapText="1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5" fillId="0" borderId="0"/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5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3" fillId="0" borderId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5" fillId="0" borderId="0" applyFont="0" applyFill="0" applyBorder="0" applyAlignment="0" applyProtection="0"/>
    <xf numFmtId="233" fontId="42" fillId="0" borderId="0" applyFont="0" applyFill="0" applyBorder="0" applyAlignment="0" applyProtection="0"/>
    <xf numFmtId="234" fontId="94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3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2" fillId="0" borderId="0" applyFont="0" applyFill="0" applyBorder="0" applyAlignment="0" applyProtection="0"/>
    <xf numFmtId="190" fontId="143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3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4" fillId="0" borderId="0" applyFill="0" applyBorder="0" applyAlignment="0"/>
    <xf numFmtId="237" fontId="94" fillId="0" borderId="0" applyFill="0" applyBorder="0" applyAlignment="0"/>
    <xf numFmtId="238" fontId="42" fillId="0" borderId="0" applyFill="0" applyBorder="0" applyAlignment="0"/>
    <xf numFmtId="239" fontId="42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38" fontId="74" fillId="0" borderId="0" applyFont="0" applyFill="0" applyBorder="0" applyAlignment="0" applyProtection="0"/>
    <xf numFmtId="240" fontId="94" fillId="0" borderId="0" applyFont="0" applyFill="0" applyBorder="0" applyAlignment="0" applyProtection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42" fontId="65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42" fillId="0" borderId="0" applyFont="0" applyFill="0" applyBorder="0" applyAlignment="0" applyProtection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14" fontId="87" fillId="0" borderId="0" applyFill="0" applyBorder="0" applyAlignment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0" fontId="63" fillId="0" borderId="0">
      <alignment wrapText="1"/>
    </xf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14" fontId="144" fillId="75" borderId="29">
      <alignment horizontal="center" vertical="center" wrapText="1"/>
    </xf>
    <xf numFmtId="0" fontId="94" fillId="0" borderId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5" fillId="0" borderId="0" applyFont="0" applyFill="0" applyBorder="0" applyAlignment="0" applyProtection="0">
      <alignment horizontal="centerContinuous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" fontId="94" fillId="0" borderId="0" applyFont="0" applyFill="0" applyBorder="0" applyAlignment="0" applyProtection="0"/>
    <xf numFmtId="244" fontId="42" fillId="0" borderId="0" applyFont="0" applyFill="0" applyBorder="0" applyAlignment="0" applyProtection="0"/>
    <xf numFmtId="239" fontId="42" fillId="0" borderId="0" applyFont="0" applyFill="0" applyBorder="0" applyAlignment="0" applyProtection="0"/>
    <xf numFmtId="245" fontId="42" fillId="0" borderId="0" applyFont="0" applyFill="0" applyBorder="0" applyAlignment="0" applyProtection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" fontId="87" fillId="76" borderId="24" applyNumberFormat="0" applyProtection="0">
      <alignment horizontal="right" vertical="center"/>
    </xf>
    <xf numFmtId="0" fontId="87" fillId="77" borderId="46" applyNumberFormat="0" applyProtection="0">
      <alignment horizontal="left" vertical="top" indent="1"/>
    </xf>
    <xf numFmtId="0" fontId="146" fillId="70" borderId="47">
      <protection locked="0"/>
    </xf>
    <xf numFmtId="0" fontId="146" fillId="78" borderId="0"/>
    <xf numFmtId="49" fontId="87" fillId="0" borderId="0" applyFill="0" applyBorder="0" applyAlignment="0"/>
    <xf numFmtId="246" fontId="42" fillId="0" borderId="0" applyFill="0" applyBorder="0" applyAlignment="0"/>
    <xf numFmtId="247" fontId="42" fillId="0" borderId="0" applyFill="0" applyBorder="0" applyAlignment="0"/>
    <xf numFmtId="0" fontId="147" fillId="0" borderId="0" applyFill="0" applyBorder="0" applyProtection="0">
      <alignment horizontal="left" vertical="top"/>
    </xf>
    <xf numFmtId="0" fontId="148" fillId="0" borderId="0" applyFill="0" applyBorder="0" applyProtection="0">
      <alignment horizontal="centerContinuous" vertical="center"/>
    </xf>
    <xf numFmtId="0" fontId="93" fillId="70" borderId="0" applyFill="0" applyBorder="0" applyProtection="0">
      <alignment horizontal="center" vertical="center"/>
    </xf>
    <xf numFmtId="41" fontId="95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6" fillId="0" borderId="44" applyBorder="0">
      <alignment horizontal="center"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99" fillId="0" borderId="45">
      <alignment vertical="justify" wrapText="1"/>
    </xf>
    <xf numFmtId="0" fontId="99" fillId="0" borderId="45">
      <alignment vertical="justify" wrapText="1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14" fontId="144" fillId="75" borderId="29">
      <alignment horizontal="center" vertical="center" wrapText="1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4" fontId="87" fillId="76" borderId="51" applyNumberFormat="0" applyProtection="0">
      <alignment horizontal="right" vertical="center"/>
    </xf>
    <xf numFmtId="4" fontId="87" fillId="76" borderId="51" applyNumberFormat="0" applyProtection="0">
      <alignment horizontal="right" vertical="center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0" fontId="87" fillId="77" borderId="46" applyNumberFormat="0" applyProtection="0">
      <alignment horizontal="left" vertical="top" indent="1"/>
    </xf>
    <xf numFmtId="0" fontId="87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/>
    <xf numFmtId="0" fontId="42" fillId="0" borderId="0" applyFont="0" applyFill="0" applyBorder="0" applyAlignment="0" applyProtection="0"/>
    <xf numFmtId="0" fontId="150" fillId="0" borderId="0"/>
    <xf numFmtId="0" fontId="95" fillId="0" borderId="0">
      <alignment vertical="center"/>
    </xf>
    <xf numFmtId="0" fontId="42" fillId="0" borderId="0"/>
    <xf numFmtId="41" fontId="3" fillId="0" borderId="0"/>
    <xf numFmtId="0" fontId="42" fillId="0" borderId="0"/>
    <xf numFmtId="0" fontId="42" fillId="0" borderId="0"/>
    <xf numFmtId="0" fontId="42" fillId="0" borderId="0"/>
    <xf numFmtId="41" fontId="3" fillId="0" borderId="0"/>
    <xf numFmtId="249" fontId="137" fillId="0" borderId="0" applyFont="0" applyFill="0" applyBorder="0" applyAlignment="0" applyProtection="0"/>
    <xf numFmtId="250" fontId="137" fillId="0" borderId="0" applyFont="0" applyFill="0" applyBorder="0" applyAlignment="0" applyProtection="0"/>
    <xf numFmtId="251" fontId="137" fillId="0" borderId="28" applyFont="0" applyFill="0" applyBorder="0" applyAlignment="0" applyProtection="0">
      <alignment vertical="center"/>
    </xf>
    <xf numFmtId="252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4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5" fontId="137" fillId="0" borderId="0" applyFont="0" applyFill="0" applyBorder="0" applyAlignment="0" applyProtection="0"/>
    <xf numFmtId="256" fontId="137" fillId="0" borderId="0" applyFont="0" applyFill="0" applyBorder="0" applyAlignment="0" applyProtection="0"/>
    <xf numFmtId="257" fontId="137" fillId="0" borderId="0" applyFont="0" applyFill="0" applyBorder="0" applyAlignment="0" applyProtection="0"/>
    <xf numFmtId="258" fontId="137" fillId="0" borderId="0" applyFont="0" applyFill="0" applyBorder="0" applyAlignment="0" applyProtection="0"/>
    <xf numFmtId="259" fontId="137" fillId="0" borderId="0" applyFont="0" applyFill="0" applyBorder="0" applyAlignment="0" applyProtection="0"/>
    <xf numFmtId="260" fontId="137" fillId="0" borderId="0" applyFont="0" applyFill="0" applyBorder="0" applyAlignment="0" applyProtection="0"/>
    <xf numFmtId="261" fontId="137" fillId="0" borderId="0" applyFont="0" applyFill="0" applyBorder="0" applyAlignment="0" applyProtection="0"/>
    <xf numFmtId="262" fontId="137" fillId="0" borderId="0" applyFont="0" applyFill="0" applyBorder="0" applyAlignment="0" applyProtection="0"/>
    <xf numFmtId="263" fontId="137" fillId="0" borderId="0" applyFont="0" applyFill="0" applyBorder="0" applyAlignment="0" applyProtection="0"/>
    <xf numFmtId="264" fontId="137" fillId="0" borderId="0" applyFont="0" applyFill="0" applyBorder="0" applyAlignment="0" applyProtection="0"/>
    <xf numFmtId="265" fontId="137" fillId="0" borderId="28" applyFont="0" applyFill="0" applyBorder="0" applyAlignment="0" applyProtection="0">
      <alignment vertical="center"/>
    </xf>
    <xf numFmtId="266" fontId="137" fillId="0" borderId="0" applyFont="0" applyFill="0" applyBorder="0" applyAlignment="0" applyProtection="0"/>
    <xf numFmtId="267" fontId="137" fillId="0" borderId="0" applyFont="0" applyFill="0" applyBorder="0" applyAlignment="0" applyProtection="0"/>
    <xf numFmtId="268" fontId="137" fillId="0" borderId="0" applyFont="0" applyFill="0" applyBorder="0" applyAlignment="0" applyProtection="0"/>
    <xf numFmtId="269" fontId="137" fillId="0" borderId="0" applyFont="0" applyFill="0" applyBorder="0" applyAlignment="0" applyProtection="0"/>
    <xf numFmtId="270" fontId="137" fillId="0" borderId="0" applyFont="0" applyFill="0" applyBorder="0" applyAlignment="0" applyProtection="0"/>
    <xf numFmtId="271" fontId="137" fillId="0" borderId="0" applyFont="0" applyFill="0" applyBorder="0" applyAlignment="0" applyProtection="0"/>
    <xf numFmtId="272" fontId="137" fillId="0" borderId="0" applyFont="0" applyFill="0" applyBorder="0" applyAlignment="0" applyProtection="0"/>
    <xf numFmtId="273" fontId="137" fillId="0" borderId="0" applyFont="0" applyFill="0" applyBorder="0" applyAlignment="0" applyProtection="0"/>
    <xf numFmtId="248" fontId="137" fillId="0" borderId="0" applyFont="0" applyFill="0" applyBorder="0" applyAlignment="0" applyProtection="0"/>
    <xf numFmtId="177" fontId="137" fillId="0" borderId="0" applyFont="0" applyFill="0" applyBorder="0" applyAlignment="0" applyProtection="0"/>
    <xf numFmtId="3" fontId="65" fillId="0" borderId="0">
      <alignment vertical="center"/>
    </xf>
    <xf numFmtId="0" fontId="3" fillId="0" borderId="0"/>
    <xf numFmtId="0" fontId="65" fillId="0" borderId="0"/>
    <xf numFmtId="0" fontId="42" fillId="0" borderId="0" applyFon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94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2" fillId="0" borderId="0"/>
    <xf numFmtId="0" fontId="42" fillId="0" borderId="0"/>
    <xf numFmtId="0" fontId="6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78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74" fillId="0" borderId="0"/>
    <xf numFmtId="0" fontId="42" fillId="0" borderId="0"/>
    <xf numFmtId="0" fontId="94" fillId="0" borderId="0"/>
    <xf numFmtId="0" fontId="94" fillId="0" borderId="0"/>
    <xf numFmtId="0" fontId="115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74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37" fillId="0" borderId="0" applyFont="0" applyFill="0" applyBorder="0" applyAlignment="0" applyProtection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74" fillId="0" borderId="0"/>
    <xf numFmtId="0" fontId="78" fillId="0" borderId="0"/>
    <xf numFmtId="0" fontId="74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65" fillId="0" borderId="0"/>
    <xf numFmtId="0" fontId="65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135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53" fillId="0" borderId="0"/>
    <xf numFmtId="1" fontId="99" fillId="0" borderId="34">
      <alignment horizontal="center" vertical="center"/>
    </xf>
    <xf numFmtId="49" fontId="154" fillId="0" borderId="31" applyBorder="0">
      <alignment vertical="center"/>
    </xf>
    <xf numFmtId="275" fontId="99" fillId="0" borderId="0" applyFont="0" applyFill="0" applyBorder="0" applyAlignment="0" applyProtection="0"/>
    <xf numFmtId="4" fontId="155" fillId="0" borderId="37">
      <alignment vertical="center"/>
    </xf>
    <xf numFmtId="0" fontId="65" fillId="0" borderId="0"/>
    <xf numFmtId="9" fontId="110" fillId="0" borderId="0" applyFont="0" applyFill="0" applyBorder="0" applyAlignment="0" applyProtection="0"/>
    <xf numFmtId="0" fontId="65" fillId="0" borderId="0"/>
    <xf numFmtId="276" fontId="65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6" fillId="0" borderId="0" applyFont="0" applyFill="0" applyBorder="0" applyAlignment="0" applyProtection="0"/>
    <xf numFmtId="9" fontId="143" fillId="0" borderId="0">
      <protection locked="0"/>
    </xf>
    <xf numFmtId="0" fontId="45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3" fontId="157" fillId="0" borderId="0">
      <alignment horizontal="left" wrapText="1"/>
    </xf>
    <xf numFmtId="278" fontId="157" fillId="0" borderId="0">
      <alignment horizontal="right"/>
    </xf>
    <xf numFmtId="0" fontId="158" fillId="0" borderId="0" applyNumberFormat="0" applyFill="0" applyBorder="0" applyAlignment="0" applyProtection="0">
      <alignment vertical="top"/>
      <protection locked="0"/>
    </xf>
    <xf numFmtId="37" fontId="94" fillId="0" borderId="30"/>
    <xf numFmtId="3" fontId="157" fillId="0" borderId="0">
      <alignment horizontal="left"/>
    </xf>
    <xf numFmtId="0" fontId="159" fillId="0" borderId="0" applyFill="0" applyBorder="0" applyProtection="0">
      <alignment vertical="center"/>
    </xf>
    <xf numFmtId="43" fontId="42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0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4" fillId="0" borderId="30">
      <alignment horizontal="left"/>
    </xf>
    <xf numFmtId="0" fontId="16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4" fillId="0" borderId="30">
      <alignment horizontal="left"/>
    </xf>
    <xf numFmtId="0" fontId="78" fillId="0" borderId="0"/>
    <xf numFmtId="221" fontId="65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3" fillId="0" borderId="0"/>
    <xf numFmtId="0" fontId="65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" fillId="79" borderId="28">
      <alignment horizontal="distributed" vertical="center"/>
    </xf>
    <xf numFmtId="284" fontId="65" fillId="0" borderId="0" applyFont="0" applyFill="0" applyBorder="0" applyAlignment="0" applyProtection="0"/>
    <xf numFmtId="285" fontId="42" fillId="0" borderId="0" applyFont="0" applyFill="0" applyBorder="0" applyAlignment="0" applyProtection="0"/>
    <xf numFmtId="284" fontId="42" fillId="0" borderId="0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3" fillId="0" borderId="0" applyNumberFormat="0" applyFont="0" applyFill="0" applyBorder="0" applyProtection="0">
      <alignment vertical="center"/>
    </xf>
    <xf numFmtId="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3" fillId="0" borderId="54" applyNumberFormat="0" applyFont="0" applyFill="0" applyProtection="0">
      <alignment horizontal="center" vertical="center" wrapText="1"/>
    </xf>
    <xf numFmtId="189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5" fillId="0" borderId="0" applyFont="0" applyFill="0" applyBorder="0" applyAlignment="0" applyProtection="0"/>
    <xf numFmtId="225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88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2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2" fontId="110" fillId="0" borderId="0" applyFont="0" applyFill="0" applyBorder="0" applyAlignment="0" applyProtection="0"/>
    <xf numFmtId="292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9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14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4" fillId="0" borderId="0" applyFont="0" applyFill="0" applyBorder="0" applyAlignment="0" applyProtection="0"/>
    <xf numFmtId="190" fontId="16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5" fillId="0" borderId="0" applyFont="0" applyFill="0" applyBorder="0" applyAlignment="0" applyProtection="0"/>
    <xf numFmtId="223" fontId="167" fillId="0" borderId="0" applyFont="0" applyFill="0" applyBorder="0" applyAlignment="0" applyProtection="0"/>
    <xf numFmtId="303" fontId="110" fillId="0" borderId="0" applyFont="0" applyFill="0" applyBorder="0" applyAlignment="0" applyProtection="0"/>
    <xf numFmtId="189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2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0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9" fontId="168" fillId="0" borderId="0">
      <alignment horizontal="center"/>
    </xf>
    <xf numFmtId="310" fontId="169" fillId="0" borderId="0">
      <alignment horizontal="right"/>
      <protection locked="0"/>
    </xf>
    <xf numFmtId="0" fontId="170" fillId="0" borderId="29" applyNumberFormat="0" applyFont="0" applyFill="0" applyAlignment="0" applyProtection="0"/>
    <xf numFmtId="0" fontId="170" fillId="0" borderId="55" applyNumberFormat="0" applyFont="0" applyFill="0" applyAlignment="0" applyProtection="0"/>
    <xf numFmtId="311" fontId="171" fillId="0" borderId="0" applyFont="0" applyFill="0" applyBorder="0" applyAlignment="0" applyProtection="0"/>
    <xf numFmtId="0" fontId="172" fillId="0" borderId="0"/>
    <xf numFmtId="0" fontId="173" fillId="0" borderId="0"/>
    <xf numFmtId="0" fontId="110" fillId="0" borderId="0"/>
    <xf numFmtId="0" fontId="174" fillId="0" borderId="0"/>
    <xf numFmtId="0" fontId="166" fillId="0" borderId="0"/>
    <xf numFmtId="0" fontId="175" fillId="0" borderId="0"/>
    <xf numFmtId="37" fontId="143" fillId="0" borderId="0" applyFill="0" applyBorder="0"/>
    <xf numFmtId="0" fontId="110" fillId="0" borderId="0"/>
    <xf numFmtId="0" fontId="143" fillId="0" borderId="0"/>
    <xf numFmtId="0" fontId="176" fillId="0" borderId="0"/>
    <xf numFmtId="0" fontId="143" fillId="0" borderId="0"/>
    <xf numFmtId="0" fontId="110" fillId="0" borderId="0"/>
    <xf numFmtId="0" fontId="42" fillId="0" borderId="0"/>
    <xf numFmtId="0" fontId="42" fillId="0" borderId="0"/>
    <xf numFmtId="0" fontId="143" fillId="0" borderId="0"/>
    <xf numFmtId="0" fontId="177" fillId="0" borderId="0"/>
    <xf numFmtId="0" fontId="178" fillId="0" borderId="0"/>
    <xf numFmtId="0" fontId="179" fillId="0" borderId="0"/>
    <xf numFmtId="0" fontId="174" fillId="0" borderId="0"/>
    <xf numFmtId="0" fontId="165" fillId="0" borderId="0"/>
    <xf numFmtId="0" fontId="167" fillId="0" borderId="0"/>
    <xf numFmtId="0" fontId="180" fillId="0" borderId="0"/>
    <xf numFmtId="0" fontId="18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43" fillId="0" borderId="0"/>
    <xf numFmtId="0" fontId="110" fillId="0" borderId="0"/>
    <xf numFmtId="0" fontId="143" fillId="0" borderId="0"/>
    <xf numFmtId="191" fontId="80" fillId="81" borderId="0" applyNumberFormat="0" applyFont="0" applyBorder="0" applyAlignment="0">
      <protection locked="0"/>
    </xf>
    <xf numFmtId="0" fontId="182" fillId="0" borderId="0">
      <alignment horizontal="left" vertical="center"/>
    </xf>
    <xf numFmtId="0" fontId="183" fillId="82" borderId="0">
      <alignment horizontal="left"/>
    </xf>
    <xf numFmtId="0" fontId="86" fillId="82" borderId="0">
      <alignment horizontal="right"/>
    </xf>
    <xf numFmtId="0" fontId="76" fillId="83" borderId="0">
      <alignment horizontal="center"/>
    </xf>
    <xf numFmtId="0" fontId="86" fillId="82" borderId="0">
      <alignment horizontal="right"/>
    </xf>
    <xf numFmtId="0" fontId="184" fillId="83" borderId="0">
      <alignment horizontal="left"/>
    </xf>
    <xf numFmtId="312" fontId="63" fillId="0" borderId="0" applyFont="0" applyFill="0" applyBorder="0" applyAlignment="0" applyProtection="0"/>
    <xf numFmtId="0" fontId="115" fillId="0" borderId="0" applyFont="0" applyFill="0" applyBorder="0" applyAlignment="0" applyProtection="0"/>
    <xf numFmtId="313" fontId="65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49" fontId="185" fillId="0" borderId="0"/>
    <xf numFmtId="314" fontId="186" fillId="0" borderId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0"/>
    <xf numFmtId="0" fontId="7" fillId="0" borderId="0"/>
    <xf numFmtId="3" fontId="144" fillId="0" borderId="0"/>
    <xf numFmtId="0" fontId="187" fillId="0" borderId="0"/>
    <xf numFmtId="0" fontId="188" fillId="0" borderId="0"/>
    <xf numFmtId="0" fontId="36" fillId="0" borderId="0">
      <alignment horizontal="left"/>
    </xf>
    <xf numFmtId="199" fontId="144" fillId="0" borderId="0" applyProtection="0"/>
    <xf numFmtId="315" fontId="189" fillId="0" borderId="0" applyAlignment="0">
      <alignment horizontal="right"/>
      <protection hidden="1"/>
    </xf>
    <xf numFmtId="0" fontId="190" fillId="84" borderId="1" applyNumberFormat="0" applyFont="0" applyBorder="0" applyAlignment="0">
      <alignment horizontal="center"/>
      <protection locked="0"/>
    </xf>
    <xf numFmtId="0" fontId="75" fillId="0" borderId="0" applyNumberFormat="0" applyFill="0" applyBorder="0" applyAlignment="0">
      <protection locked="0"/>
    </xf>
    <xf numFmtId="1" fontId="80" fillId="0" borderId="0"/>
    <xf numFmtId="0" fontId="183" fillId="82" borderId="0">
      <alignment horizontal="left"/>
    </xf>
    <xf numFmtId="0" fontId="191" fillId="83" borderId="0">
      <alignment horizontal="left"/>
    </xf>
    <xf numFmtId="0" fontId="192" fillId="70" borderId="56">
      <alignment horizontal="left" vertical="top" indent="2"/>
    </xf>
    <xf numFmtId="0" fontId="192" fillId="70" borderId="56">
      <alignment horizontal="left" vertical="top" indent="2"/>
    </xf>
    <xf numFmtId="316" fontId="78" fillId="0" borderId="0" applyFont="0" applyFill="0" applyBorder="0" applyAlignment="0" applyProtection="0"/>
    <xf numFmtId="317" fontId="65" fillId="0" borderId="0"/>
    <xf numFmtId="0" fontId="78" fillId="0" borderId="33" applyFont="0" applyFill="0" applyBorder="0" applyAlignment="0" applyProtection="0">
      <alignment horizontal="right"/>
    </xf>
    <xf numFmtId="0" fontId="193" fillId="0" borderId="0" applyFont="0" applyFill="0" applyBorder="0" applyAlignment="0" applyProtection="0">
      <alignment horizontal="centerContinuous"/>
    </xf>
    <xf numFmtId="0" fontId="193" fillId="0" borderId="0" applyFont="0" applyFill="0" applyBorder="0" applyAlignment="0" applyProtection="0">
      <alignment horizontal="centerContinuous"/>
    </xf>
    <xf numFmtId="37" fontId="194" fillId="0" borderId="0"/>
    <xf numFmtId="0" fontId="195" fillId="0" borderId="0">
      <alignment horizontal="left"/>
    </xf>
    <xf numFmtId="38" fontId="196" fillId="70" borderId="0">
      <alignment horizontal="right"/>
    </xf>
    <xf numFmtId="0" fontId="197" fillId="70" borderId="0">
      <alignment horizontal="right"/>
    </xf>
    <xf numFmtId="0" fontId="198" fillId="70" borderId="33"/>
    <xf numFmtId="0" fontId="199" fillId="0" borderId="0" applyBorder="0">
      <alignment horizontal="centerContinuous"/>
    </xf>
    <xf numFmtId="0" fontId="200" fillId="0" borderId="0" applyBorder="0">
      <alignment horizontal="centerContinuous"/>
    </xf>
    <xf numFmtId="0" fontId="201" fillId="70" borderId="0"/>
    <xf numFmtId="0" fontId="202" fillId="70" borderId="29"/>
    <xf numFmtId="0" fontId="203" fillId="0" borderId="57" applyNumberFormat="0" applyAlignment="0" applyProtection="0"/>
    <xf numFmtId="0" fontId="78" fillId="68" borderId="0" applyNumberFormat="0" applyFont="0" applyBorder="0" applyAlignment="0" applyProtection="0"/>
    <xf numFmtId="0" fontId="80" fillId="67" borderId="30" applyNumberFormat="0" applyFont="0" applyBorder="0" applyAlignment="0" applyProtection="0">
      <alignment horizontal="center"/>
    </xf>
    <xf numFmtId="0" fontId="80" fillId="79" borderId="30" applyNumberFormat="0" applyFont="0" applyBorder="0" applyAlignment="0" applyProtection="0">
      <alignment horizontal="center"/>
    </xf>
    <xf numFmtId="0" fontId="78" fillId="0" borderId="58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203" fillId="0" borderId="60" applyNumberFormat="0" applyAlignment="0" applyProtection="0"/>
    <xf numFmtId="318" fontId="63" fillId="0" borderId="0" applyFont="0" applyFill="0" applyBorder="0" applyAlignment="0" applyProtection="0"/>
    <xf numFmtId="319" fontId="204" fillId="85" borderId="54"/>
    <xf numFmtId="0" fontId="205" fillId="0" borderId="28" applyNumberFormat="0" applyAlignment="0"/>
    <xf numFmtId="0" fontId="65" fillId="0" borderId="0"/>
    <xf numFmtId="0" fontId="65" fillId="0" borderId="0"/>
    <xf numFmtId="0" fontId="99" fillId="0" borderId="0" applyNumberFormat="0" applyBorder="0" applyAlignment="0">
      <alignment horizontal="right"/>
    </xf>
    <xf numFmtId="320" fontId="42" fillId="0" borderId="0"/>
    <xf numFmtId="0" fontId="191" fillId="44" borderId="0">
      <alignment horizontal="center"/>
    </xf>
    <xf numFmtId="49" fontId="188" fillId="83" borderId="0">
      <alignment horizontal="center"/>
    </xf>
    <xf numFmtId="0" fontId="86" fillId="82" borderId="0">
      <alignment horizontal="center"/>
    </xf>
    <xf numFmtId="0" fontId="86" fillId="82" borderId="0">
      <alignment horizontal="centerContinuous"/>
    </xf>
    <xf numFmtId="0" fontId="79" fillId="83" borderId="0">
      <alignment horizontal="left"/>
    </xf>
    <xf numFmtId="49" fontId="79" fillId="83" borderId="0">
      <alignment horizontal="center"/>
    </xf>
    <xf numFmtId="0" fontId="183" fillId="82" borderId="0">
      <alignment horizontal="left"/>
    </xf>
    <xf numFmtId="49" fontId="79" fillId="83" borderId="0">
      <alignment horizontal="left"/>
    </xf>
    <xf numFmtId="0" fontId="183" fillId="82" borderId="0">
      <alignment horizontal="centerContinuous"/>
    </xf>
    <xf numFmtId="0" fontId="183" fillId="82" borderId="0">
      <alignment horizontal="right"/>
    </xf>
    <xf numFmtId="49" fontId="191" fillId="83" borderId="0">
      <alignment horizontal="left"/>
    </xf>
    <xf numFmtId="0" fontId="86" fillId="82" borderId="0">
      <alignment horizontal="right"/>
    </xf>
    <xf numFmtId="0" fontId="79" fillId="50" borderId="0">
      <alignment horizontal="center"/>
    </xf>
    <xf numFmtId="0" fontId="206" fillId="50" borderId="0">
      <alignment horizontal="center"/>
    </xf>
    <xf numFmtId="314" fontId="171" fillId="0" borderId="0" applyFill="0" applyBorder="0" applyAlignment="0" applyProtection="0"/>
    <xf numFmtId="0" fontId="74" fillId="0" borderId="0"/>
    <xf numFmtId="321" fontId="42" fillId="0" borderId="0"/>
    <xf numFmtId="0" fontId="65" fillId="0" borderId="0"/>
    <xf numFmtId="0" fontId="65" fillId="0" borderId="0"/>
    <xf numFmtId="0" fontId="144" fillId="0" borderId="0" applyFill="0" applyBorder="0" applyProtection="0">
      <alignment horizontal="left"/>
    </xf>
    <xf numFmtId="0" fontId="110" fillId="0" borderId="0"/>
    <xf numFmtId="0" fontId="7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7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1" fillId="0" borderId="0" applyFont="0" applyFill="0" applyBorder="0" applyAlignment="0" applyProtection="0"/>
    <xf numFmtId="0" fontId="208" fillId="0" borderId="0"/>
    <xf numFmtId="323" fontId="208" fillId="0" borderId="0" applyFont="0" applyFill="0" applyBorder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14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163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2" fillId="0" borderId="0" applyNumberFormat="0" applyFill="0" applyBorder="0" applyAlignment="0" applyProtection="0"/>
    <xf numFmtId="0" fontId="3" fillId="0" borderId="0"/>
    <xf numFmtId="1" fontId="99" fillId="0" borderId="63">
      <alignment horizontal="center" vertical="center"/>
    </xf>
    <xf numFmtId="0" fontId="6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2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2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9" fillId="0" borderId="61" applyAlignment="0"/>
    <xf numFmtId="0" fontId="78" fillId="0" borderId="0"/>
    <xf numFmtId="0" fontId="42" fillId="0" borderId="0"/>
    <xf numFmtId="0" fontId="78" fillId="0" borderId="0"/>
    <xf numFmtId="0" fontId="78" fillId="0" borderId="0"/>
    <xf numFmtId="0" fontId="78" fillId="0" borderId="0"/>
    <xf numFmtId="0" fontId="3" fillId="0" borderId="0"/>
    <xf numFmtId="0" fontId="65" fillId="0" borderId="0" applyFont="0" applyFill="0" applyBorder="0" applyAlignment="0" applyProtection="0"/>
    <xf numFmtId="0" fontId="42" fillId="0" borderId="0"/>
    <xf numFmtId="0" fontId="68" fillId="0" borderId="0"/>
    <xf numFmtId="37" fontId="42" fillId="0" borderId="0"/>
    <xf numFmtId="0" fontId="6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3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2" fillId="0" borderId="0" applyFont="0" applyFill="0" applyBorder="0" applyAlignment="0" applyProtection="0"/>
    <xf numFmtId="3" fontId="100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285" fontId="42" fillId="0" borderId="0" applyFont="0" applyFill="0" applyBorder="0" applyAlignment="0" applyProtection="0"/>
    <xf numFmtId="0" fontId="65" fillId="0" borderId="0"/>
    <xf numFmtId="324" fontId="111" fillId="0" borderId="0">
      <protection locked="0"/>
    </xf>
    <xf numFmtId="0" fontId="3" fillId="0" borderId="0"/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6" fontId="111" fillId="0" borderId="0">
      <protection locked="0"/>
    </xf>
    <xf numFmtId="0" fontId="61" fillId="0" borderId="2">
      <alignment horizontal="left" vertical="center"/>
    </xf>
    <xf numFmtId="327" fontId="213" fillId="0" borderId="0">
      <protection locked="0"/>
    </xf>
    <xf numFmtId="327" fontId="213" fillId="0" borderId="0">
      <protection locked="0"/>
    </xf>
    <xf numFmtId="0" fontId="214" fillId="0" borderId="0" applyNumberFormat="0" applyFill="0" applyBorder="0" applyAlignment="0" applyProtection="0"/>
    <xf numFmtId="10" fontId="80" fillId="72" borderId="28" applyNumberFormat="0" applyBorder="0" applyAlignment="0" applyProtection="0"/>
    <xf numFmtId="0" fontId="84" fillId="0" borderId="62"/>
    <xf numFmtId="328" fontId="42" fillId="0" borderId="0"/>
    <xf numFmtId="0" fontId="42" fillId="0" borderId="0"/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327" fontId="111" fillId="0" borderId="36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3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3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6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9" fillId="2" borderId="0" xfId="0" applyNumberFormat="1" applyFont="1" applyFill="1" applyBorder="1" applyAlignment="1">
      <alignment horizontal="right" vertical="center"/>
    </xf>
    <xf numFmtId="41" fontId="40" fillId="2" borderId="0" xfId="0" applyNumberFormat="1" applyFont="1" applyFill="1" applyBorder="1" applyAlignment="1">
      <alignment horizontal="right" vertical="center"/>
    </xf>
    <xf numFmtId="182" fontId="40" fillId="2" borderId="0" xfId="2" applyNumberFormat="1" applyFont="1" applyFill="1" applyBorder="1" applyAlignment="1">
      <alignment horizontal="right" vertical="center"/>
    </xf>
    <xf numFmtId="0" fontId="38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178</xdr:col>
      <xdr:colOff>30491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182670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47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69045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W39"/>
  <sheetViews>
    <sheetView showGridLines="0" tabSelected="1" view="pageBreakPreview" zoomScale="70" zoomScaleNormal="70" zoomScaleSheetLayoutView="70" workbookViewId="0">
      <pane xSplit="133" topLeftCell="FB1" activePane="topRight" state="frozen"/>
      <selection pane="topRight"/>
    </sheetView>
  </sheetViews>
  <sheetFormatPr defaultColWidth="9" defaultRowHeight="30.75" customHeight="1"/>
  <cols>
    <col min="1" max="1" width="35.875" style="8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9" width="10.875" style="6" customWidth="1"/>
    <col min="180" max="16384" width="9" style="6"/>
  </cols>
  <sheetData>
    <row r="1" spans="1:179" ht="44.25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9" ht="29.25" customHeight="1">
      <c r="A2" s="6"/>
    </row>
    <row r="3" spans="1:179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</row>
    <row r="4" spans="1:179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96">
        <v>43466</v>
      </c>
      <c r="FO4" s="96">
        <v>43497</v>
      </c>
      <c r="FP4" s="96">
        <v>43525</v>
      </c>
      <c r="FQ4" s="96">
        <v>43556</v>
      </c>
      <c r="FR4" s="96">
        <v>43586</v>
      </c>
      <c r="FS4" s="96">
        <v>43617</v>
      </c>
      <c r="FT4" s="96">
        <v>43647</v>
      </c>
      <c r="FU4" s="96">
        <v>43678</v>
      </c>
      <c r="FV4" s="96">
        <v>43709</v>
      </c>
      <c r="FW4" s="96">
        <v>43739</v>
      </c>
    </row>
    <row r="5" spans="1:179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</row>
    <row r="6" spans="1:179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</row>
    <row r="7" spans="1:179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</row>
    <row r="8" spans="1:179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</row>
    <row r="9" spans="1:179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</row>
    <row r="10" spans="1:179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</row>
    <row r="11" spans="1:179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</row>
    <row r="12" spans="1:179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</row>
    <row r="13" spans="1:179" s="151" customFormat="1" ht="23.25" customHeight="1">
      <c r="A13" s="152" t="s">
        <v>109</v>
      </c>
      <c r="B13" s="148"/>
      <c r="C13" s="149"/>
      <c r="D13" s="149"/>
      <c r="E13" s="149"/>
      <c r="F13" s="149"/>
      <c r="G13" s="150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</row>
    <row r="14" spans="1:179" s="138" customFormat="1" ht="15" customHeight="1">
      <c r="A14" s="146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</row>
    <row r="15" spans="1:179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</row>
    <row r="16" spans="1:179" s="3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96">
        <v>43466</v>
      </c>
      <c r="FO16" s="96">
        <v>43497</v>
      </c>
      <c r="FP16" s="96">
        <v>43525</v>
      </c>
      <c r="FQ16" s="96">
        <v>43556</v>
      </c>
      <c r="FR16" s="96">
        <v>43586</v>
      </c>
      <c r="FS16" s="96">
        <v>43617</v>
      </c>
      <c r="FT16" s="96">
        <v>43647</v>
      </c>
      <c r="FU16" s="96">
        <v>43678</v>
      </c>
      <c r="FV16" s="96">
        <v>43709</v>
      </c>
      <c r="FW16" s="96">
        <v>43739</v>
      </c>
    </row>
    <row r="17" spans="1:179" s="39" customFormat="1" ht="29.25" customHeight="1">
      <c r="A17" s="38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</row>
    <row r="18" spans="1:179" s="39" customFormat="1" ht="29.25" customHeight="1">
      <c r="A18" s="40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</row>
    <row r="19" spans="1:179" s="43" customFormat="1" ht="29.25" hidden="1" customHeight="1">
      <c r="A19" s="41" t="s">
        <v>9</v>
      </c>
      <c r="B19" s="42">
        <v>4876437</v>
      </c>
      <c r="C19" s="42">
        <v>4868216</v>
      </c>
      <c r="D19" s="42">
        <v>4862075</v>
      </c>
      <c r="E19" s="42">
        <v>4854558</v>
      </c>
      <c r="F19" s="42">
        <v>4831436</v>
      </c>
      <c r="G19" s="42">
        <v>4821986</v>
      </c>
      <c r="H19" s="42">
        <v>4823780</v>
      </c>
      <c r="I19" s="42">
        <v>4837908</v>
      </c>
      <c r="J19" s="42">
        <v>4837269</v>
      </c>
      <c r="K19" s="42">
        <v>4820625</v>
      </c>
      <c r="L19" s="42">
        <v>4810788</v>
      </c>
      <c r="M19" s="42">
        <v>4788942</v>
      </c>
      <c r="N19" s="42">
        <v>4787601</v>
      </c>
      <c r="O19" s="42">
        <v>4778547</v>
      </c>
      <c r="P19" s="42">
        <v>4724684</v>
      </c>
      <c r="Q19" s="42">
        <v>4728481</v>
      </c>
      <c r="R19" s="42">
        <v>4740265</v>
      </c>
      <c r="S19" s="42">
        <v>4772280</v>
      </c>
      <c r="T19" s="42">
        <v>4778874</v>
      </c>
      <c r="U19" s="42">
        <v>4784952</v>
      </c>
      <c r="V19" s="42">
        <v>4834732</v>
      </c>
      <c r="W19" s="42">
        <v>4872555</v>
      </c>
      <c r="X19" s="42">
        <v>4900224</v>
      </c>
      <c r="Y19" s="42">
        <v>4937187</v>
      </c>
      <c r="Z19" s="42">
        <v>5585070</v>
      </c>
      <c r="AA19" s="42">
        <v>5629537</v>
      </c>
      <c r="AB19" s="42">
        <v>5686454</v>
      </c>
      <c r="AC19" s="42">
        <v>5682919</v>
      </c>
      <c r="AD19" s="42">
        <v>5699599</v>
      </c>
      <c r="AE19" s="42">
        <v>5694737</v>
      </c>
      <c r="AF19" s="42">
        <v>5671453</v>
      </c>
      <c r="AG19" s="42">
        <v>5653174</v>
      </c>
      <c r="AH19" s="42">
        <v>5639452</v>
      </c>
      <c r="AI19" s="42">
        <v>5618010</v>
      </c>
      <c r="AJ19" s="42">
        <v>5592588</v>
      </c>
      <c r="AK19" s="42">
        <v>5573114</v>
      </c>
      <c r="AL19" s="42">
        <v>5554600</v>
      </c>
      <c r="AM19" s="42">
        <v>5565964</v>
      </c>
      <c r="AN19" s="42">
        <v>5599970</v>
      </c>
      <c r="AO19" s="42">
        <v>5600582</v>
      </c>
      <c r="AP19" s="42">
        <v>5613366</v>
      </c>
      <c r="AQ19" s="42">
        <v>5596844</v>
      </c>
      <c r="AR19" s="42">
        <v>5629828</v>
      </c>
      <c r="AS19" s="42">
        <v>5662337</v>
      </c>
      <c r="AT19" s="42">
        <v>5611047</v>
      </c>
      <c r="AU19" s="42">
        <v>5624066</v>
      </c>
      <c r="AV19" s="42">
        <v>5600155</v>
      </c>
      <c r="AW19" s="42">
        <v>5552393</v>
      </c>
      <c r="AX19" s="42">
        <v>5518916</v>
      </c>
      <c r="AY19" s="42">
        <v>5512777</v>
      </c>
      <c r="AZ19" s="42">
        <v>5533193</v>
      </c>
      <c r="BA19" s="42">
        <v>5566298</v>
      </c>
      <c r="BB19" s="42">
        <v>5565764</v>
      </c>
      <c r="BC19" s="42">
        <v>5562167</v>
      </c>
      <c r="BD19" s="42">
        <v>5580583</v>
      </c>
      <c r="BE19" s="42">
        <v>5587144</v>
      </c>
      <c r="BF19" s="42">
        <v>5627214</v>
      </c>
      <c r="BG19" s="42">
        <v>5669424</v>
      </c>
      <c r="BH19" s="42">
        <v>5741276</v>
      </c>
      <c r="BI19" s="42">
        <v>5762476</v>
      </c>
      <c r="BJ19" s="42">
        <v>5776365</v>
      </c>
      <c r="BK19" s="42">
        <v>5821668</v>
      </c>
      <c r="BL19" s="42">
        <v>5895038</v>
      </c>
      <c r="BM19" s="42">
        <v>5940203</v>
      </c>
      <c r="BN19" s="42">
        <v>5982488</v>
      </c>
      <c r="BO19" s="42">
        <v>6014640</v>
      </c>
      <c r="BP19" s="42">
        <v>6056154</v>
      </c>
      <c r="BQ19" s="42">
        <v>6103488</v>
      </c>
      <c r="BR19" s="42">
        <v>6158367</v>
      </c>
      <c r="BS19" s="42">
        <v>6211503</v>
      </c>
      <c r="BT19" s="42">
        <v>6255845</v>
      </c>
      <c r="BU19" s="42">
        <v>6286709</v>
      </c>
      <c r="BV19" s="42">
        <v>6325407</v>
      </c>
      <c r="BW19" s="42">
        <v>6372847</v>
      </c>
      <c r="BX19" s="42">
        <v>6436728</v>
      </c>
      <c r="BY19" s="42">
        <v>6486004</v>
      </c>
      <c r="BZ19" s="42">
        <v>6509264</v>
      </c>
      <c r="CA19" s="42">
        <v>6546514</v>
      </c>
      <c r="CB19" s="42">
        <v>6582697</v>
      </c>
      <c r="CC19" s="42">
        <v>6621618</v>
      </c>
      <c r="CD19" s="42">
        <v>6665455</v>
      </c>
      <c r="CE19" s="42">
        <v>6708038</v>
      </c>
      <c r="CF19" s="42">
        <v>6748153</v>
      </c>
      <c r="CG19" s="42">
        <v>6786677</v>
      </c>
      <c r="CH19" s="42">
        <v>6809185</v>
      </c>
      <c r="CI19" s="42">
        <v>6842053</v>
      </c>
      <c r="CJ19" s="42">
        <v>6876224</v>
      </c>
      <c r="CK19" s="42">
        <v>6889842</v>
      </c>
      <c r="CL19" s="42">
        <v>6905673</v>
      </c>
      <c r="CM19" s="42">
        <v>6919201</v>
      </c>
      <c r="CN19" s="42">
        <v>6926623</v>
      </c>
      <c r="CO19" s="42">
        <v>6941065</v>
      </c>
      <c r="CP19" s="42">
        <v>6944042</v>
      </c>
      <c r="CQ19" s="42">
        <v>6944897</v>
      </c>
      <c r="CR19" s="42">
        <v>6947645</v>
      </c>
      <c r="CS19" s="42">
        <v>6940795</v>
      </c>
      <c r="CT19" s="42">
        <v>6941083</v>
      </c>
      <c r="CU19" s="42">
        <v>6934192</v>
      </c>
      <c r="CV19" s="42">
        <v>6928346</v>
      </c>
      <c r="CW19" s="42">
        <v>6914711</v>
      </c>
      <c r="CX19" s="42">
        <v>6903918</v>
      </c>
      <c r="CY19" s="42">
        <v>6906018</v>
      </c>
      <c r="CZ19" s="42">
        <v>6882501</v>
      </c>
      <c r="DA19" s="42">
        <v>6815467</v>
      </c>
      <c r="DB19" s="42">
        <v>6892779</v>
      </c>
      <c r="DC19" s="42">
        <v>6900664</v>
      </c>
      <c r="DD19" s="42">
        <v>6838915</v>
      </c>
      <c r="DE19" s="42">
        <v>6899113</v>
      </c>
      <c r="DF19" s="42">
        <v>6884214</v>
      </c>
      <c r="DG19" s="42">
        <v>6876219</v>
      </c>
      <c r="DH19" s="42">
        <v>6881640</v>
      </c>
      <c r="DI19" s="42">
        <v>6861461</v>
      </c>
      <c r="DJ19" s="42">
        <v>6872357</v>
      </c>
      <c r="DK19" s="42">
        <v>6884441</v>
      </c>
      <c r="DL19" s="42">
        <v>6896204</v>
      </c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</row>
    <row r="20" spans="1:179" s="43" customFormat="1" ht="29.25" hidden="1" customHeight="1">
      <c r="A20" s="41" t="s">
        <v>10</v>
      </c>
      <c r="B20" s="42">
        <v>668649</v>
      </c>
      <c r="C20" s="42">
        <v>677503</v>
      </c>
      <c r="D20" s="42">
        <v>688997</v>
      </c>
      <c r="E20" s="42">
        <v>695798</v>
      </c>
      <c r="F20" s="42">
        <v>712800</v>
      </c>
      <c r="G20" s="42">
        <v>717099</v>
      </c>
      <c r="H20" s="42">
        <v>718277</v>
      </c>
      <c r="I20" s="42">
        <v>721371</v>
      </c>
      <c r="J20" s="42">
        <v>724032</v>
      </c>
      <c r="K20" s="42">
        <v>722302</v>
      </c>
      <c r="L20" s="42">
        <v>721421</v>
      </c>
      <c r="M20" s="42">
        <v>717866</v>
      </c>
      <c r="N20" s="42">
        <v>717065</v>
      </c>
      <c r="O20" s="42">
        <v>710695</v>
      </c>
      <c r="P20" s="42">
        <v>689726</v>
      </c>
      <c r="Q20" s="42">
        <v>681112</v>
      </c>
      <c r="R20" s="42">
        <v>675793</v>
      </c>
      <c r="S20" s="42">
        <v>671292</v>
      </c>
      <c r="T20" s="42">
        <v>670890</v>
      </c>
      <c r="U20" s="42">
        <v>663125</v>
      </c>
      <c r="V20" s="42">
        <v>646839</v>
      </c>
      <c r="W20" s="42">
        <v>635543</v>
      </c>
      <c r="X20" s="42">
        <v>622950</v>
      </c>
      <c r="Y20" s="42">
        <v>604485</v>
      </c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>
        <v>6903918</v>
      </c>
      <c r="CY20" s="42">
        <v>1132255</v>
      </c>
      <c r="CZ20" s="42">
        <v>1151965</v>
      </c>
      <c r="DA20" s="42">
        <v>1224531</v>
      </c>
      <c r="DB20" s="42">
        <v>1148565</v>
      </c>
      <c r="DC20" s="42"/>
      <c r="DD20" s="42"/>
      <c r="DE20" s="42"/>
      <c r="DF20" s="42"/>
      <c r="DG20" s="42"/>
      <c r="DH20" s="42">
        <v>1155259</v>
      </c>
      <c r="DI20" s="42">
        <v>1154082</v>
      </c>
      <c r="DJ20" s="42">
        <v>1154083</v>
      </c>
      <c r="DK20" s="42">
        <v>1154324</v>
      </c>
      <c r="DL20" s="44">
        <v>1151373</v>
      </c>
      <c r="DM20" s="44">
        <v>1144629</v>
      </c>
      <c r="DN20" s="44"/>
      <c r="DO20" s="44"/>
      <c r="DP20" s="44"/>
      <c r="DQ20" s="44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</row>
    <row r="21" spans="1:179" s="43" customFormat="1" ht="29.25" hidden="1" customHeight="1">
      <c r="A21" s="41" t="s">
        <v>11</v>
      </c>
      <c r="B21" s="42">
        <v>3144</v>
      </c>
      <c r="C21" s="42">
        <v>4111</v>
      </c>
      <c r="D21" s="42">
        <v>4970</v>
      </c>
      <c r="E21" s="42">
        <v>5267</v>
      </c>
      <c r="F21" s="42">
        <v>5616</v>
      </c>
      <c r="G21" s="42">
        <v>5973</v>
      </c>
      <c r="H21" s="42">
        <v>6379</v>
      </c>
      <c r="I21" s="42">
        <v>6804</v>
      </c>
      <c r="J21" s="42">
        <v>7206</v>
      </c>
      <c r="K21" s="42">
        <v>7518</v>
      </c>
      <c r="L21" s="42">
        <v>7844</v>
      </c>
      <c r="M21" s="42">
        <v>8196</v>
      </c>
      <c r="N21" s="42">
        <v>8553</v>
      </c>
      <c r="O21" s="42">
        <v>8866</v>
      </c>
      <c r="P21" s="42">
        <v>8992</v>
      </c>
      <c r="Q21" s="42">
        <v>9035</v>
      </c>
      <c r="R21" s="42">
        <v>9069</v>
      </c>
      <c r="S21" s="42">
        <v>9035</v>
      </c>
      <c r="T21" s="42">
        <v>9011</v>
      </c>
      <c r="U21" s="42">
        <v>8900</v>
      </c>
      <c r="V21" s="42">
        <v>8730</v>
      </c>
      <c r="W21" s="42">
        <v>8529</v>
      </c>
      <c r="X21" s="42">
        <v>8352</v>
      </c>
      <c r="Y21" s="42">
        <v>8204</v>
      </c>
      <c r="Z21" s="42">
        <v>797376</v>
      </c>
      <c r="AA21" s="42">
        <v>783858</v>
      </c>
      <c r="AB21" s="42">
        <v>763275</v>
      </c>
      <c r="AC21" s="42">
        <v>809402</v>
      </c>
      <c r="AD21" s="42">
        <v>815409</v>
      </c>
      <c r="AE21" s="42">
        <v>827894</v>
      </c>
      <c r="AF21" s="42">
        <v>841395</v>
      </c>
      <c r="AG21" s="42">
        <v>858605</v>
      </c>
      <c r="AH21" s="42">
        <v>882628</v>
      </c>
      <c r="AI21" s="42">
        <v>902012</v>
      </c>
      <c r="AJ21" s="42">
        <v>920705</v>
      </c>
      <c r="AK21" s="42">
        <v>942427</v>
      </c>
      <c r="AL21" s="42">
        <v>964221</v>
      </c>
      <c r="AM21" s="42">
        <v>989198</v>
      </c>
      <c r="AN21" s="42">
        <v>1027205</v>
      </c>
      <c r="AO21" s="42">
        <v>1047465</v>
      </c>
      <c r="AP21" s="42">
        <v>1070864</v>
      </c>
      <c r="AQ21" s="42">
        <v>1090303</v>
      </c>
      <c r="AR21" s="42">
        <v>1112118</v>
      </c>
      <c r="AS21" s="42">
        <v>1148770</v>
      </c>
      <c r="AT21" s="42">
        <v>1142980</v>
      </c>
      <c r="AU21" s="42">
        <v>1169090</v>
      </c>
      <c r="AV21" s="42">
        <v>1171219</v>
      </c>
      <c r="AW21" s="42">
        <v>1159145</v>
      </c>
      <c r="AX21" s="42">
        <v>1165063</v>
      </c>
      <c r="AY21" s="42">
        <v>1170016</v>
      </c>
      <c r="AZ21" s="42">
        <v>1181212</v>
      </c>
      <c r="BA21" s="42">
        <v>1190189</v>
      </c>
      <c r="BB21" s="42">
        <v>1183598</v>
      </c>
      <c r="BC21" s="42">
        <v>1175927</v>
      </c>
      <c r="BD21" s="42">
        <v>1176118</v>
      </c>
      <c r="BE21" s="42">
        <v>1182436</v>
      </c>
      <c r="BF21" s="42">
        <v>1190866</v>
      </c>
      <c r="BG21" s="42">
        <v>1192732</v>
      </c>
      <c r="BH21" s="42">
        <v>1197297</v>
      </c>
      <c r="BI21" s="42">
        <v>1190357</v>
      </c>
      <c r="BJ21" s="42">
        <v>1190537</v>
      </c>
      <c r="BK21" s="42">
        <v>1192432</v>
      </c>
      <c r="BL21" s="42">
        <v>1195184</v>
      </c>
      <c r="BM21" s="42">
        <v>1190755</v>
      </c>
      <c r="BN21" s="42">
        <v>1183249</v>
      </c>
      <c r="BO21" s="42">
        <v>1174000</v>
      </c>
      <c r="BP21" s="42">
        <v>1166215</v>
      </c>
      <c r="BQ21" s="42">
        <v>1160052</v>
      </c>
      <c r="BR21" s="42">
        <v>1156401</v>
      </c>
      <c r="BS21" s="42">
        <v>1151547</v>
      </c>
      <c r="BT21" s="42">
        <v>1145753</v>
      </c>
      <c r="BU21" s="42">
        <v>1136898</v>
      </c>
      <c r="BV21" s="42">
        <v>1130854</v>
      </c>
      <c r="BW21" s="42">
        <v>1124743</v>
      </c>
      <c r="BX21" s="42">
        <v>1115452</v>
      </c>
      <c r="BY21" s="42">
        <v>1101672</v>
      </c>
      <c r="BZ21" s="42">
        <v>1092533</v>
      </c>
      <c r="CA21" s="42">
        <v>1082634</v>
      </c>
      <c r="CB21" s="42">
        <v>1074737</v>
      </c>
      <c r="CC21" s="42">
        <v>1066659</v>
      </c>
      <c r="CD21" s="42">
        <v>1058977</v>
      </c>
      <c r="CE21" s="42">
        <v>1051170</v>
      </c>
      <c r="CF21" s="42">
        <v>1043631</v>
      </c>
      <c r="CG21" s="42">
        <v>1036167</v>
      </c>
      <c r="CH21" s="42">
        <v>1036735</v>
      </c>
      <c r="CI21" s="42">
        <v>1038989</v>
      </c>
      <c r="CJ21" s="42">
        <v>1045316</v>
      </c>
      <c r="CK21" s="42">
        <v>1046025</v>
      </c>
      <c r="CL21" s="42">
        <v>1039159</v>
      </c>
      <c r="CM21" s="42">
        <v>1047480</v>
      </c>
      <c r="CN21" s="42">
        <v>1053694</v>
      </c>
      <c r="CO21" s="42">
        <v>1060234</v>
      </c>
      <c r="CP21" s="42">
        <v>1065373</v>
      </c>
      <c r="CQ21" s="42">
        <v>1072277</v>
      </c>
      <c r="CR21" s="42">
        <v>1084050</v>
      </c>
      <c r="CS21" s="42">
        <v>1095844</v>
      </c>
      <c r="CT21" s="42">
        <v>1105793</v>
      </c>
      <c r="CU21" s="42">
        <v>1113067</v>
      </c>
      <c r="CV21" s="42">
        <v>1121577</v>
      </c>
      <c r="CW21" s="42">
        <v>1124659</v>
      </c>
      <c r="CX21" s="42">
        <v>1127252</v>
      </c>
      <c r="CY21" s="42">
        <v>1132255</v>
      </c>
      <c r="CZ21" s="42">
        <v>1151965</v>
      </c>
      <c r="DA21" s="42">
        <v>1224531</v>
      </c>
      <c r="DB21" s="42">
        <v>1148565</v>
      </c>
      <c r="DC21" s="42">
        <v>1152550</v>
      </c>
      <c r="DD21" s="42">
        <v>1157905</v>
      </c>
      <c r="DE21" s="42">
        <v>1167515</v>
      </c>
      <c r="DF21" s="42">
        <v>1156526</v>
      </c>
      <c r="DG21" s="42">
        <v>1155957</v>
      </c>
      <c r="DH21" s="42">
        <v>1155259</v>
      </c>
      <c r="DI21" s="42">
        <v>1154082</v>
      </c>
      <c r="DJ21" s="42">
        <v>1154306</v>
      </c>
      <c r="DK21" s="42">
        <v>1154324</v>
      </c>
      <c r="DL21" s="42">
        <v>1151373</v>
      </c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</row>
    <row r="22" spans="1:179" s="50" customFormat="1" ht="29.25" hidden="1" customHeight="1">
      <c r="A22" s="45" t="s">
        <v>12</v>
      </c>
      <c r="B22" s="46">
        <v>539363</v>
      </c>
      <c r="C22" s="46">
        <v>557441</v>
      </c>
      <c r="D22" s="46">
        <v>577251</v>
      </c>
      <c r="E22" s="46">
        <v>592298</v>
      </c>
      <c r="F22" s="46">
        <v>608706</v>
      </c>
      <c r="G22" s="46">
        <v>627417</v>
      </c>
      <c r="H22" s="46">
        <v>644839</v>
      </c>
      <c r="I22" s="46">
        <v>662676</v>
      </c>
      <c r="J22" s="46">
        <v>675533</v>
      </c>
      <c r="K22" s="46">
        <v>689740</v>
      </c>
      <c r="L22" s="46">
        <v>705242</v>
      </c>
      <c r="M22" s="46">
        <v>726785</v>
      </c>
      <c r="N22" s="46">
        <v>756063</v>
      </c>
      <c r="O22" s="46">
        <v>789458</v>
      </c>
      <c r="P22" s="46">
        <v>817203</v>
      </c>
      <c r="Q22" s="46">
        <v>841821</v>
      </c>
      <c r="R22" s="46">
        <v>860346</v>
      </c>
      <c r="S22" s="46">
        <v>867653</v>
      </c>
      <c r="T22" s="46">
        <v>861115</v>
      </c>
      <c r="U22" s="46">
        <v>849580</v>
      </c>
      <c r="V22" s="46">
        <v>842818</v>
      </c>
      <c r="W22" s="46">
        <v>831991</v>
      </c>
      <c r="X22" s="46">
        <v>816199</v>
      </c>
      <c r="Y22" s="46">
        <v>802666</v>
      </c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9"/>
      <c r="DA22" s="48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</row>
    <row r="23" spans="1:179" s="50" customFormat="1" ht="29.25" customHeight="1">
      <c r="A23" s="51" t="s">
        <v>13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6"/>
      <c r="DA23" s="55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</row>
    <row r="24" spans="1:179" s="50" customFormat="1" ht="29.25" customHeight="1">
      <c r="A24" s="57" t="s">
        <v>14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  <c r="BE24" s="60"/>
      <c r="BF24" s="60"/>
      <c r="BG24" s="60"/>
      <c r="BH24" s="60"/>
      <c r="BI24" s="60"/>
      <c r="BJ24" s="61">
        <v>0.42474098939888399</v>
      </c>
      <c r="BK24" s="61">
        <v>0.42578328073542054</v>
      </c>
      <c r="BL24" s="61">
        <v>0.42679990753961472</v>
      </c>
      <c r="BM24" s="61">
        <v>0.42774203242544839</v>
      </c>
      <c r="BN24" s="61">
        <v>0.43019807127789966</v>
      </c>
      <c r="BO24" s="61">
        <v>0.42815144085922369</v>
      </c>
      <c r="BP24" s="61">
        <v>0.4288325964522714</v>
      </c>
      <c r="BQ24" s="61">
        <v>0.42961551412423832</v>
      </c>
      <c r="BR24" s="61">
        <v>0.4309070855330272</v>
      </c>
      <c r="BS24" s="61">
        <v>0.43050446325964914</v>
      </c>
      <c r="BT24" s="61">
        <v>0.4314783401207517</v>
      </c>
      <c r="BU24" s="61">
        <v>0.43112079919532248</v>
      </c>
      <c r="BV24" s="61">
        <v>0.43203282639238794</v>
      </c>
      <c r="BW24" s="61">
        <v>0.43298035439110438</v>
      </c>
      <c r="BX24" s="61">
        <v>0.43405758068784073</v>
      </c>
      <c r="BY24" s="61">
        <v>0.43347227547071143</v>
      </c>
      <c r="BZ24" s="61">
        <v>0.43318646844788827</v>
      </c>
      <c r="CA24" s="61">
        <v>0.43334822862052469</v>
      </c>
      <c r="CB24" s="61">
        <v>0.43409155122160054</v>
      </c>
      <c r="CC24" s="61">
        <v>0.43468025268667437</v>
      </c>
      <c r="CD24" s="61">
        <v>0.43506134759756104</v>
      </c>
      <c r="CE24" s="61">
        <v>0.43615716211682831</v>
      </c>
      <c r="CF24" s="61">
        <v>0.4370349609055445</v>
      </c>
      <c r="CG24" s="61">
        <v>0.43802090559870527</v>
      </c>
      <c r="CH24" s="61">
        <v>0.43897762713108579</v>
      </c>
      <c r="CI24" s="62">
        <v>0.43979181177970594</v>
      </c>
      <c r="CJ24" s="61">
        <v>0.44098457611138797</v>
      </c>
      <c r="CK24" s="61">
        <v>0.44124604277233709</v>
      </c>
      <c r="CL24" s="61">
        <v>0.44217163233961992</v>
      </c>
      <c r="CM24" s="61">
        <v>0.44232931828587224</v>
      </c>
      <c r="CN24" s="61">
        <v>0.44252254224536114</v>
      </c>
      <c r="CO24" s="61">
        <v>0.44183167366883785</v>
      </c>
      <c r="CP24" s="61">
        <v>0.44157256744245588</v>
      </c>
      <c r="CQ24" s="61">
        <v>0.44138431236272074</v>
      </c>
      <c r="CR24" s="61">
        <v>0.44132602626758843</v>
      </c>
      <c r="CS24" s="62">
        <v>0.44111275402240507</v>
      </c>
      <c r="CT24" s="62">
        <v>0.43944694255826067</v>
      </c>
      <c r="CU24" s="62">
        <v>0.43839219023484088</v>
      </c>
      <c r="CV24" s="62">
        <v>0.43711602315966014</v>
      </c>
      <c r="CW24" s="62">
        <v>0.43574541476159906</v>
      </c>
      <c r="CX24" s="62">
        <v>0.43440515528641382</v>
      </c>
      <c r="CY24" s="62">
        <v>0.43379169159210623</v>
      </c>
      <c r="CZ24" s="62">
        <v>0.43316352122863366</v>
      </c>
      <c r="DA24" s="62">
        <v>0.43213523987435398</v>
      </c>
      <c r="DB24" s="62">
        <v>0.4313285272914521</v>
      </c>
      <c r="DC24" s="62">
        <v>0.43076271162869018</v>
      </c>
      <c r="DD24" s="62">
        <v>0.43045593382409425</v>
      </c>
      <c r="DE24" s="62">
        <v>0.43050684311696846</v>
      </c>
      <c r="DF24" s="62">
        <v>0.42854734593981564</v>
      </c>
      <c r="DG24" s="62">
        <v>0.42754418613861006</v>
      </c>
      <c r="DH24" s="62">
        <v>0.42630290695346068</v>
      </c>
      <c r="DI24" s="62">
        <v>0.42485400906216081</v>
      </c>
      <c r="DJ24" s="62">
        <v>0.42436808294468303</v>
      </c>
      <c r="DK24" s="62">
        <v>0.42396852362292037</v>
      </c>
      <c r="DL24" s="62">
        <v>0.4236080968563869</v>
      </c>
      <c r="DM24" s="62">
        <v>0.42372230729342963</v>
      </c>
      <c r="DN24" s="62">
        <v>0.42407558557018921</v>
      </c>
      <c r="DO24" s="62">
        <v>0.42446386399391822</v>
      </c>
      <c r="DP24" s="62">
        <v>0.42454270013877043</v>
      </c>
      <c r="DQ24" s="62">
        <v>0.42343403024355414</v>
      </c>
      <c r="DR24" s="62">
        <v>0.42304057364630526</v>
      </c>
      <c r="DS24" s="62">
        <v>0.42278720490262078</v>
      </c>
      <c r="DT24" s="62">
        <v>0.42243708070830205</v>
      </c>
      <c r="DU24" s="62">
        <v>0.42266904450452381</v>
      </c>
      <c r="DV24" s="62">
        <v>0.42252520148108702</v>
      </c>
      <c r="DW24" s="62">
        <v>0.42267794803606706</v>
      </c>
      <c r="DX24" s="62">
        <v>0.42261591781204177</v>
      </c>
      <c r="DY24" s="62">
        <v>0.41575216012528071</v>
      </c>
      <c r="DZ24" s="62">
        <v>0.41572100151773533</v>
      </c>
      <c r="EA24" s="62">
        <v>0.41608277182620962</v>
      </c>
      <c r="EB24" s="62">
        <v>0.41596055208146349</v>
      </c>
      <c r="EC24" s="62">
        <v>0.41548140113354665</v>
      </c>
      <c r="ED24" s="62">
        <v>0.41518437646711259</v>
      </c>
      <c r="EE24" s="62">
        <v>0.41672536100000002</v>
      </c>
      <c r="EF24" s="62">
        <v>0.41517010300000001</v>
      </c>
      <c r="EG24" s="62">
        <v>0.41517449400000001</v>
      </c>
      <c r="EH24" s="62">
        <v>0.41519741799999998</v>
      </c>
      <c r="EI24" s="62">
        <v>0.41518228099999999</v>
      </c>
      <c r="EJ24" s="62">
        <v>0.41498642099999999</v>
      </c>
      <c r="EK24" s="62">
        <v>0.41497197000000002</v>
      </c>
      <c r="EL24" s="62">
        <v>0.4151146</v>
      </c>
      <c r="EM24" s="62">
        <v>0.414989</v>
      </c>
      <c r="EN24" s="62">
        <v>0.41473500000000002</v>
      </c>
      <c r="EO24" s="62">
        <v>0.4143135</v>
      </c>
      <c r="EP24" s="62">
        <v>0.41379595000000002</v>
      </c>
      <c r="EQ24" s="62">
        <v>0.41240796299999999</v>
      </c>
      <c r="ER24" s="62">
        <v>0.4122981</v>
      </c>
      <c r="ES24" s="62">
        <v>0.41229844999999998</v>
      </c>
      <c r="ET24" s="62">
        <v>0.41254277700000003</v>
      </c>
      <c r="EU24" s="62">
        <v>0.41253130599999999</v>
      </c>
      <c r="EV24" s="62">
        <v>0.412240312</v>
      </c>
      <c r="EW24" s="62">
        <v>0.41246322800000002</v>
      </c>
      <c r="EX24" s="62">
        <v>0.41244865400000003</v>
      </c>
      <c r="EY24" s="62">
        <v>0.41249981800000002</v>
      </c>
      <c r="EZ24" s="62">
        <v>0.41299999999999998</v>
      </c>
      <c r="FA24" s="62">
        <v>0.41399999999999998</v>
      </c>
      <c r="FB24" s="62">
        <v>0.41684809504357911</v>
      </c>
      <c r="FC24" s="62">
        <v>0.41509508582824528</v>
      </c>
      <c r="FD24" s="62">
        <v>0.41205373618487562</v>
      </c>
      <c r="FE24" s="62">
        <v>0.41163958098318232</v>
      </c>
      <c r="FF24" s="62">
        <v>0.41097869367968354</v>
      </c>
      <c r="FG24" s="62">
        <v>0.41026275781714311</v>
      </c>
      <c r="FH24" s="62">
        <v>0.40990857545756615</v>
      </c>
      <c r="FI24" s="62">
        <v>0.40952548974243053</v>
      </c>
      <c r="FJ24" s="62">
        <v>0.4095855534214079</v>
      </c>
      <c r="FK24" s="62">
        <v>0.41006697030125461</v>
      </c>
      <c r="FL24" s="62">
        <v>0.4097161989932222</v>
      </c>
      <c r="FM24" s="62">
        <v>0.4101024727309559</v>
      </c>
      <c r="FN24" s="62">
        <v>0.40999255084252739</v>
      </c>
      <c r="FO24" s="62">
        <v>0.40958179748302198</v>
      </c>
      <c r="FP24" s="62">
        <v>0.40937566194985442</v>
      </c>
      <c r="FQ24" s="62">
        <v>0.40946165833572484</v>
      </c>
      <c r="FR24" s="62">
        <v>0.4092277936354301</v>
      </c>
      <c r="FS24" s="62">
        <v>0.409278719505278</v>
      </c>
      <c r="FT24" s="62">
        <v>0.40929321450533157</v>
      </c>
      <c r="FU24" s="62">
        <v>0.40917871760644497</v>
      </c>
      <c r="FV24" s="62">
        <v>0.40910931298722863</v>
      </c>
      <c r="FW24" s="62"/>
    </row>
    <row r="25" spans="1:179" s="50" customFormat="1" ht="29.25" customHeight="1">
      <c r="A25" s="45" t="s">
        <v>15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8"/>
      <c r="BE25" s="48"/>
      <c r="BF25" s="48"/>
      <c r="BG25" s="48"/>
      <c r="BH25" s="48"/>
      <c r="BI25" s="48"/>
      <c r="BJ25" s="63">
        <v>0.23391712111909332</v>
      </c>
      <c r="BK25" s="63">
        <v>0.23384584024042632</v>
      </c>
      <c r="BL25" s="63">
        <v>0.23348901912533437</v>
      </c>
      <c r="BM25" s="63">
        <v>0.23286237044621658</v>
      </c>
      <c r="BN25" s="63">
        <v>0.22969541867265036</v>
      </c>
      <c r="BO25" s="63">
        <v>0.23283950806991827</v>
      </c>
      <c r="BP25" s="63">
        <v>0.23218210548422269</v>
      </c>
      <c r="BQ25" s="63">
        <v>0.23166324906306954</v>
      </c>
      <c r="BR25" s="63">
        <v>0.23125021980492927</v>
      </c>
      <c r="BS25" s="63">
        <v>0.23141536312246513</v>
      </c>
      <c r="BT25" s="63">
        <v>0.23221143843465938</v>
      </c>
      <c r="BU25" s="63">
        <v>0.23240795803783193</v>
      </c>
      <c r="BV25" s="63">
        <v>0.23304284160107985</v>
      </c>
      <c r="BW25" s="63">
        <v>0.23314241039449912</v>
      </c>
      <c r="BX25" s="63">
        <v>0.23293732270561321</v>
      </c>
      <c r="BY25" s="63">
        <v>0.23206827491290907</v>
      </c>
      <c r="BZ25" s="63">
        <v>0.23288235225735951</v>
      </c>
      <c r="CA25" s="63">
        <v>0.23351268077055534</v>
      </c>
      <c r="CB25" s="63">
        <v>0.23332824644889358</v>
      </c>
      <c r="CC25" s="63">
        <v>0.23353977828374314</v>
      </c>
      <c r="CD25" s="63">
        <v>0.23381927298465752</v>
      </c>
      <c r="CE25" s="63">
        <v>0.23369853607118091</v>
      </c>
      <c r="CF25" s="63">
        <v>0.23408980655562761</v>
      </c>
      <c r="CG25" s="63">
        <v>0.23471468049368846</v>
      </c>
      <c r="CH25" s="63">
        <v>0.23504772461689216</v>
      </c>
      <c r="CI25" s="64">
        <v>0.23552308049280082</v>
      </c>
      <c r="CJ25" s="63">
        <v>0.23612437890045171</v>
      </c>
      <c r="CK25" s="63">
        <v>0.23679040611829916</v>
      </c>
      <c r="CL25" s="63">
        <v>0.23827939337555562</v>
      </c>
      <c r="CM25" s="63">
        <v>0.23888349766300629</v>
      </c>
      <c r="CN25" s="63">
        <v>0.23951590400547951</v>
      </c>
      <c r="CO25" s="63">
        <v>0.2390895923952793</v>
      </c>
      <c r="CP25" s="63">
        <v>0.23971368129771614</v>
      </c>
      <c r="CQ25" s="63">
        <v>0.24019715362020874</v>
      </c>
      <c r="CR25" s="63">
        <v>0.24069100257453621</v>
      </c>
      <c r="CS25" s="64">
        <v>0.24118337255700953</v>
      </c>
      <c r="CT25" s="64">
        <v>0.24083013773245052</v>
      </c>
      <c r="CU25" s="64">
        <v>0.24082003231478935</v>
      </c>
      <c r="CV25" s="64">
        <v>0.2408875505830885</v>
      </c>
      <c r="CW25" s="64">
        <v>0.24090132655309479</v>
      </c>
      <c r="CX25" s="64">
        <v>0.24069944510797722</v>
      </c>
      <c r="CY25" s="64">
        <v>0.24073481949664507</v>
      </c>
      <c r="CZ25" s="64">
        <v>0.24083168826284437</v>
      </c>
      <c r="DA25" s="64">
        <v>0.24103230469712847</v>
      </c>
      <c r="DB25" s="64">
        <v>0.24151502960865087</v>
      </c>
      <c r="DC25" s="64">
        <v>0.24207857356662474</v>
      </c>
      <c r="DD25" s="64">
        <v>0.24292456242046551</v>
      </c>
      <c r="DE25" s="64">
        <v>0.24384798324900517</v>
      </c>
      <c r="DF25" s="64">
        <v>0.24465221866630538</v>
      </c>
      <c r="DG25" s="64">
        <v>0.24530305203011438</v>
      </c>
      <c r="DH25" s="64">
        <v>0.24570637772970294</v>
      </c>
      <c r="DI25" s="64">
        <v>0.24594067966312075</v>
      </c>
      <c r="DJ25" s="64">
        <v>0.2464682311440248</v>
      </c>
      <c r="DK25" s="64">
        <v>0.24693673918855252</v>
      </c>
      <c r="DL25" s="64">
        <v>0.24738276129723955</v>
      </c>
      <c r="DM25" s="64">
        <v>0.24775118570982788</v>
      </c>
      <c r="DN25" s="64">
        <v>0.24802624210673394</v>
      </c>
      <c r="DO25" s="64">
        <v>0.24841867345739929</v>
      </c>
      <c r="DP25" s="64">
        <v>0.24920138052395599</v>
      </c>
      <c r="DQ25" s="64">
        <v>0.25056042174008203</v>
      </c>
      <c r="DR25" s="64">
        <v>0.25175248935876859</v>
      </c>
      <c r="DS25" s="64">
        <v>0.2525178513395655</v>
      </c>
      <c r="DT25" s="64">
        <v>0.25295233593090966</v>
      </c>
      <c r="DU25" s="64">
        <v>0.25326544763231423</v>
      </c>
      <c r="DV25" s="64">
        <v>0.25363357860928476</v>
      </c>
      <c r="DW25" s="64">
        <v>0.25386203983419403</v>
      </c>
      <c r="DX25" s="64">
        <v>0.25416850384934409</v>
      </c>
      <c r="DY25" s="64">
        <v>0.25031941380809891</v>
      </c>
      <c r="DZ25" s="64">
        <v>0.25050697756509233</v>
      </c>
      <c r="EA25" s="64">
        <v>0.25073365231659067</v>
      </c>
      <c r="EB25" s="64">
        <v>0.25092313088035495</v>
      </c>
      <c r="EC25" s="64">
        <v>0.25123472036510236</v>
      </c>
      <c r="ED25" s="64">
        <v>0.25151123947890702</v>
      </c>
      <c r="EE25" s="64">
        <v>0.252855897</v>
      </c>
      <c r="EF25" s="64">
        <v>0.252446214</v>
      </c>
      <c r="EG25" s="64">
        <v>0.25284403300000002</v>
      </c>
      <c r="EH25" s="64">
        <v>0.25304415299999999</v>
      </c>
      <c r="EI25" s="64">
        <v>0.25328477399999999</v>
      </c>
      <c r="EJ25" s="64">
        <v>0.25362881199999998</v>
      </c>
      <c r="EK25" s="64">
        <v>0.25359995899999999</v>
      </c>
      <c r="EL25" s="64">
        <v>0.25369439999999999</v>
      </c>
      <c r="EM25" s="64">
        <v>0.2538299</v>
      </c>
      <c r="EN25" s="64">
        <v>0.25355240000000001</v>
      </c>
      <c r="EO25" s="64">
        <v>0.25333600000000001</v>
      </c>
      <c r="EP25" s="64">
        <v>0.25313282999999998</v>
      </c>
      <c r="EQ25" s="64">
        <v>0.25542105900000001</v>
      </c>
      <c r="ER25" s="64">
        <v>0.25536666000000002</v>
      </c>
      <c r="ES25" s="64">
        <v>0.25530814000000002</v>
      </c>
      <c r="ET25" s="64">
        <v>0.25517731900000001</v>
      </c>
      <c r="EU25" s="64">
        <v>0.25516199899999997</v>
      </c>
      <c r="EV25" s="64">
        <v>0.25552569400000003</v>
      </c>
      <c r="EW25" s="64">
        <v>0.25573752500000002</v>
      </c>
      <c r="EX25" s="64">
        <v>0.25590607399999998</v>
      </c>
      <c r="EY25" s="64">
        <v>0.25603351499999999</v>
      </c>
      <c r="EZ25" s="64">
        <v>0.25600000000000001</v>
      </c>
      <c r="FA25" s="64">
        <v>0.25700000000000001</v>
      </c>
      <c r="FB25" s="64">
        <v>0.24908043666233814</v>
      </c>
      <c r="FC25" s="64">
        <v>0.25026746666803734</v>
      </c>
      <c r="FD25" s="64">
        <v>0.25130914211345629</v>
      </c>
      <c r="FE25" s="64">
        <v>0.25132027440607968</v>
      </c>
      <c r="FF25" s="64">
        <v>0.25159792183817659</v>
      </c>
      <c r="FG25" s="64">
        <v>0.25194841079723945</v>
      </c>
      <c r="FH25" s="64">
        <v>0.25220437347432417</v>
      </c>
      <c r="FI25" s="64">
        <v>0.25231545689274054</v>
      </c>
      <c r="FJ25" s="64">
        <v>0.2527917684059876</v>
      </c>
      <c r="FK25" s="64">
        <v>0.25325373023076864</v>
      </c>
      <c r="FL25" s="64">
        <v>0.25352604033602727</v>
      </c>
      <c r="FM25" s="64">
        <v>0.25391816482098112</v>
      </c>
      <c r="FN25" s="64">
        <v>0.25418289015401785</v>
      </c>
      <c r="FO25" s="64">
        <v>0.25429901657244891</v>
      </c>
      <c r="FP25" s="64">
        <v>0.25441837542961476</v>
      </c>
      <c r="FQ25" s="64">
        <v>0.25443835864677938</v>
      </c>
      <c r="FR25" s="64">
        <v>0.25479945638677842</v>
      </c>
      <c r="FS25" s="64">
        <v>0.25500714707140698</v>
      </c>
      <c r="FT25" s="64">
        <v>0.25527425839002488</v>
      </c>
      <c r="FU25" s="64">
        <v>0.25555574737924702</v>
      </c>
      <c r="FV25" s="64">
        <v>0.25573807882185789</v>
      </c>
      <c r="FW25" s="64"/>
    </row>
    <row r="26" spans="1:179" s="50" customFormat="1" ht="29.25" customHeight="1">
      <c r="A26" s="45" t="s">
        <v>16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8"/>
      <c r="BE26" s="48"/>
      <c r="BF26" s="48"/>
      <c r="BG26" s="48"/>
      <c r="BH26" s="48"/>
      <c r="BI26" s="48"/>
      <c r="BJ26" s="63">
        <v>0.15526461577348177</v>
      </c>
      <c r="BK26" s="63">
        <v>0.15543284193115156</v>
      </c>
      <c r="BL26" s="63">
        <v>0.15574235576541068</v>
      </c>
      <c r="BM26" s="63">
        <v>0.1562431299792186</v>
      </c>
      <c r="BN26" s="63">
        <v>0.1568097703092641</v>
      </c>
      <c r="BO26" s="63">
        <v>0.15726773884396419</v>
      </c>
      <c r="BP26" s="63">
        <v>0.15846389585612244</v>
      </c>
      <c r="BQ26" s="63">
        <v>0.15868721436137578</v>
      </c>
      <c r="BR26" s="63">
        <v>0.15943325585399803</v>
      </c>
      <c r="BS26" s="63">
        <v>0.15912437284789427</v>
      </c>
      <c r="BT26" s="63">
        <v>0.15989274365232733</v>
      </c>
      <c r="BU26" s="63">
        <v>0.16106721984375691</v>
      </c>
      <c r="BV26" s="63">
        <v>0.16051166980868384</v>
      </c>
      <c r="BW26" s="63">
        <v>0.16022333028956176</v>
      </c>
      <c r="BX26" s="63">
        <v>0.16017751106556066</v>
      </c>
      <c r="BY26" s="63">
        <v>0.15968119803416386</v>
      </c>
      <c r="BZ26" s="63">
        <v>0.16029455642960025</v>
      </c>
      <c r="CA26" s="63">
        <v>0.16012295513333877</v>
      </c>
      <c r="CB26" s="63">
        <v>0.15990749731181211</v>
      </c>
      <c r="CC26" s="63">
        <v>0.1595667398137218</v>
      </c>
      <c r="CD26" s="63">
        <v>0.1595619350721334</v>
      </c>
      <c r="CE26" s="63">
        <v>0.15954380049484157</v>
      </c>
      <c r="CF26" s="63">
        <v>0.15863911437839448</v>
      </c>
      <c r="CG26" s="63">
        <v>0.15732167971796782</v>
      </c>
      <c r="CH26" s="63">
        <v>0.15633755094089094</v>
      </c>
      <c r="CI26" s="64">
        <v>0.15531532530971925</v>
      </c>
      <c r="CJ26" s="63">
        <v>0.15393014559014309</v>
      </c>
      <c r="CK26" s="63">
        <v>0.15320768619452216</v>
      </c>
      <c r="CL26" s="63">
        <v>0.15335443112651351</v>
      </c>
      <c r="CM26" s="63">
        <v>0.15298933203544152</v>
      </c>
      <c r="CN26" s="63">
        <v>0.15237469900790165</v>
      </c>
      <c r="CO26" s="63">
        <v>0.15092833367100358</v>
      </c>
      <c r="CP26" s="63">
        <v>0.15083224866331846</v>
      </c>
      <c r="CQ26" s="63">
        <v>0.15077101014198427</v>
      </c>
      <c r="CR26" s="63">
        <v>0.15066064597154372</v>
      </c>
      <c r="CS26" s="64">
        <v>0.15056529132505697</v>
      </c>
      <c r="CT26" s="64">
        <v>0.15048316152842953</v>
      </c>
      <c r="CU26" s="64">
        <v>0.15111127236364233</v>
      </c>
      <c r="CV26" s="64">
        <v>0.15213460999945319</v>
      </c>
      <c r="CW26" s="64">
        <v>0.15301277338189059</v>
      </c>
      <c r="CX26" s="64">
        <v>0.15389868345732449</v>
      </c>
      <c r="CY26" s="64">
        <v>0.15454517245166219</v>
      </c>
      <c r="CZ26" s="64">
        <v>0.15493426259508666</v>
      </c>
      <c r="DA26" s="64">
        <v>0.15534013405440456</v>
      </c>
      <c r="DB26" s="64">
        <v>0.15562859380363886</v>
      </c>
      <c r="DC26" s="64">
        <v>0.15595699098658461</v>
      </c>
      <c r="DD26" s="64">
        <v>0.15625672101378391</v>
      </c>
      <c r="DE26" s="64">
        <v>0.15627243827542972</v>
      </c>
      <c r="DF26" s="64">
        <v>0.15671312264423914</v>
      </c>
      <c r="DG26" s="64">
        <v>0.15691576424989198</v>
      </c>
      <c r="DH26" s="64">
        <v>0.15716522243271536</v>
      </c>
      <c r="DI26" s="64">
        <v>0.15781226297375964</v>
      </c>
      <c r="DJ26" s="64">
        <v>0.1577507473278677</v>
      </c>
      <c r="DK26" s="64">
        <v>0.15785227795996984</v>
      </c>
      <c r="DL26" s="64">
        <v>0.1577577783914195</v>
      </c>
      <c r="DM26" s="64">
        <v>0.15772075943347821</v>
      </c>
      <c r="DN26" s="64">
        <v>0.15747414020791409</v>
      </c>
      <c r="DO26" s="64">
        <v>0.15720345340723674</v>
      </c>
      <c r="DP26" s="64">
        <v>0.15685774182453735</v>
      </c>
      <c r="DQ26" s="64">
        <v>0.15699809166488099</v>
      </c>
      <c r="DR26" s="64">
        <v>0.15715740142336612</v>
      </c>
      <c r="DS26" s="64">
        <v>0.15721210284759229</v>
      </c>
      <c r="DT26" s="64">
        <v>0.15775189568594067</v>
      </c>
      <c r="DU26" s="64">
        <v>0.15814981617817922</v>
      </c>
      <c r="DV26" s="64">
        <v>0.15839619675039737</v>
      </c>
      <c r="DW26" s="64">
        <v>0.15855540028138365</v>
      </c>
      <c r="DX26" s="64">
        <v>0.15880383235708495</v>
      </c>
      <c r="DY26" s="64">
        <v>0.17278815082496024</v>
      </c>
      <c r="DZ26" s="64">
        <v>0.17280701389223602</v>
      </c>
      <c r="EA26" s="64">
        <v>0.1731104671167065</v>
      </c>
      <c r="EB26" s="64">
        <v>0.17338638020715491</v>
      </c>
      <c r="EC26" s="64">
        <v>0.17376924691349219</v>
      </c>
      <c r="ED26" s="64">
        <v>0.17417500650612242</v>
      </c>
      <c r="EE26" s="64">
        <v>0.17512564799999999</v>
      </c>
      <c r="EF26" s="64">
        <v>0.174484949</v>
      </c>
      <c r="EG26" s="64">
        <v>0.174408337</v>
      </c>
      <c r="EH26" s="64">
        <v>0.17438800199999999</v>
      </c>
      <c r="EI26" s="64">
        <v>0.17455639000000001</v>
      </c>
      <c r="EJ26" s="64">
        <v>0.17465952100000001</v>
      </c>
      <c r="EK26" s="64">
        <v>0.174916188</v>
      </c>
      <c r="EL26" s="64">
        <v>0.17468520000000001</v>
      </c>
      <c r="EM26" s="64">
        <v>0.17489759999999999</v>
      </c>
      <c r="EN26" s="64">
        <v>0.1753034</v>
      </c>
      <c r="EO26" s="64">
        <v>0.1756789</v>
      </c>
      <c r="EP26" s="64">
        <v>0.17624574000000001</v>
      </c>
      <c r="EQ26" s="64">
        <v>0.17624392699999999</v>
      </c>
      <c r="ER26" s="64">
        <v>0.17658981000000001</v>
      </c>
      <c r="ES26" s="64">
        <v>0.17694269000000001</v>
      </c>
      <c r="ET26" s="64">
        <v>0.177178209</v>
      </c>
      <c r="EU26" s="64">
        <v>0.17758480500000001</v>
      </c>
      <c r="EV26" s="64">
        <v>0.17794673799999999</v>
      </c>
      <c r="EW26" s="64">
        <v>0.17809933450000001</v>
      </c>
      <c r="EX26" s="64">
        <v>0.17847246899999999</v>
      </c>
      <c r="EY26" s="64">
        <v>0.17866389599999999</v>
      </c>
      <c r="EZ26" s="64">
        <v>0.17899999999999999</v>
      </c>
      <c r="FA26" s="64">
        <v>0.18</v>
      </c>
      <c r="FB26" s="64">
        <v>0.18201508090994345</v>
      </c>
      <c r="FC26" s="64">
        <v>0.183308899634513</v>
      </c>
      <c r="FD26" s="64">
        <v>0.18479325588117504</v>
      </c>
      <c r="FE26" s="64">
        <v>0.18549792439034521</v>
      </c>
      <c r="FF26" s="64">
        <v>0.18621074388712586</v>
      </c>
      <c r="FG26" s="64">
        <v>0.18697982681298289</v>
      </c>
      <c r="FH26" s="64">
        <v>0.18783365492739926</v>
      </c>
      <c r="FI26" s="64">
        <v>0.18836095570268796</v>
      </c>
      <c r="FJ26" s="64">
        <v>0.18885483294031488</v>
      </c>
      <c r="FK26" s="64">
        <v>0.1884881968708606</v>
      </c>
      <c r="FL26" s="64">
        <v>0.18918257116186227</v>
      </c>
      <c r="FM26" s="64">
        <v>0.18893177808477346</v>
      </c>
      <c r="FN26" s="64">
        <v>0.18961863398607656</v>
      </c>
      <c r="FO26" s="64">
        <v>0.19037033197941819</v>
      </c>
      <c r="FP26" s="64">
        <v>0.19098717047949781</v>
      </c>
      <c r="FQ26" s="64">
        <v>0.19144024141282906</v>
      </c>
      <c r="FR26" s="64">
        <v>0.1920033849715202</v>
      </c>
      <c r="FS26" s="64">
        <v>0.192351007945882</v>
      </c>
      <c r="FT26" s="64">
        <v>0.19281935510105103</v>
      </c>
      <c r="FU26" s="64">
        <v>0.19336537095901299</v>
      </c>
      <c r="FV26" s="64">
        <v>0.19384781387901562</v>
      </c>
      <c r="FW26" s="64"/>
    </row>
    <row r="27" spans="1:179" s="50" customFormat="1" ht="29.25" customHeight="1">
      <c r="A27" s="65" t="s">
        <v>17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8"/>
      <c r="BE27" s="68"/>
      <c r="BF27" s="68"/>
      <c r="BG27" s="68"/>
      <c r="BH27" s="68"/>
      <c r="BI27" s="68"/>
      <c r="BJ27" s="69">
        <v>0.18607727370854091</v>
      </c>
      <c r="BK27" s="69">
        <v>0.18493803709300155</v>
      </c>
      <c r="BL27" s="69">
        <v>0.18396871756964026</v>
      </c>
      <c r="BM27" s="69">
        <v>0.18315246714911645</v>
      </c>
      <c r="BN27" s="69">
        <v>0.1832967397401859</v>
      </c>
      <c r="BO27" s="69">
        <v>0.18174131222689388</v>
      </c>
      <c r="BP27" s="69">
        <v>0.18052140220738347</v>
      </c>
      <c r="BQ27" s="69">
        <v>0.18003402245131639</v>
      </c>
      <c r="BR27" s="69">
        <v>0.17840943880804552</v>
      </c>
      <c r="BS27" s="69">
        <v>0.17895580076999143</v>
      </c>
      <c r="BT27" s="69">
        <v>0.17641747779226158</v>
      </c>
      <c r="BU27" s="69">
        <v>0.17540402292308871</v>
      </c>
      <c r="BV27" s="69">
        <v>0.17441266219784834</v>
      </c>
      <c r="BW27" s="69">
        <v>0.17365390492483471</v>
      </c>
      <c r="BX27" s="69">
        <v>0.1728275855409854</v>
      </c>
      <c r="BY27" s="69">
        <v>0.17477825158221566</v>
      </c>
      <c r="BZ27" s="69">
        <v>0.17363662286515197</v>
      </c>
      <c r="CA27" s="69">
        <v>0.17301613547558123</v>
      </c>
      <c r="CB27" s="69">
        <v>0.17267270501769375</v>
      </c>
      <c r="CC27" s="69">
        <v>0.17221322921586066</v>
      </c>
      <c r="CD27" s="69">
        <v>0.17155744434564807</v>
      </c>
      <c r="CE27" s="69">
        <v>0.17060050131714921</v>
      </c>
      <c r="CF27" s="69">
        <v>0.17023611816043341</v>
      </c>
      <c r="CG27" s="69">
        <v>0.16994273418963846</v>
      </c>
      <c r="CH27" s="69">
        <v>0.16963709731113111</v>
      </c>
      <c r="CI27" s="70">
        <v>0.16936978241777398</v>
      </c>
      <c r="CJ27" s="69">
        <v>0.1689608993980172</v>
      </c>
      <c r="CK27" s="69">
        <v>0.1687558649148416</v>
      </c>
      <c r="CL27" s="69">
        <v>0.16619454315831092</v>
      </c>
      <c r="CM27" s="69">
        <v>0.16579785201567998</v>
      </c>
      <c r="CN27" s="69">
        <v>0.1655868547412577</v>
      </c>
      <c r="CO27" s="69">
        <v>0.16815040026487926</v>
      </c>
      <c r="CP27" s="69">
        <v>0.16788150259650952</v>
      </c>
      <c r="CQ27" s="69">
        <v>0.16764752387508627</v>
      </c>
      <c r="CR27" s="69">
        <v>0.16732232518633161</v>
      </c>
      <c r="CS27" s="70">
        <v>0.16713858209552845</v>
      </c>
      <c r="CT27" s="70">
        <v>0.16923975818085932</v>
      </c>
      <c r="CU27" s="70">
        <v>0.16967650508672744</v>
      </c>
      <c r="CV27" s="70">
        <v>0.16986181625779817</v>
      </c>
      <c r="CW27" s="70">
        <v>0.17034048530341558</v>
      </c>
      <c r="CX27" s="70">
        <v>0.17099671614828443</v>
      </c>
      <c r="CY27" s="70">
        <v>0.17092831645958653</v>
      </c>
      <c r="CZ27" s="70">
        <v>0.1710705279134353</v>
      </c>
      <c r="DA27" s="70">
        <v>0.17149232137411299</v>
      </c>
      <c r="DB27" s="70">
        <v>0.17152784929625817</v>
      </c>
      <c r="DC27" s="70">
        <v>0.17120172381810048</v>
      </c>
      <c r="DD27" s="70">
        <v>0.17036278274165637</v>
      </c>
      <c r="DE27" s="70">
        <v>0.16937273535859668</v>
      </c>
      <c r="DF27" s="70">
        <v>0.17008731274963984</v>
      </c>
      <c r="DG27" s="70">
        <v>0.17023699758138358</v>
      </c>
      <c r="DH27" s="70">
        <v>0.17082549288412102</v>
      </c>
      <c r="DI27" s="70">
        <v>0.17139304830095881</v>
      </c>
      <c r="DJ27" s="70">
        <v>0.17141293858342449</v>
      </c>
      <c r="DK27" s="70">
        <v>0.17124245922855724</v>
      </c>
      <c r="DL27" s="70">
        <v>0.17125136345495406</v>
      </c>
      <c r="DM27" s="70">
        <v>0.17080574756326428</v>
      </c>
      <c r="DN27" s="70">
        <v>0.17042403211516274</v>
      </c>
      <c r="DO27" s="70">
        <v>0.16991400914144572</v>
      </c>
      <c r="DP27" s="70">
        <v>0.16939817751273623</v>
      </c>
      <c r="DQ27" s="70">
        <v>0.16900745635148284</v>
      </c>
      <c r="DR27" s="70">
        <v>0.16804953557155999</v>
      </c>
      <c r="DS27" s="70">
        <v>0.16748284091022142</v>
      </c>
      <c r="DT27" s="70">
        <v>0.16685868767484766</v>
      </c>
      <c r="DU27" s="70">
        <v>0.16591569168498274</v>
      </c>
      <c r="DV27" s="70">
        <v>0.16544502315923085</v>
      </c>
      <c r="DW27" s="70">
        <v>0.16490461184835525</v>
      </c>
      <c r="DX27" s="70">
        <v>0.16441174598152919</v>
      </c>
      <c r="DY27" s="70">
        <v>0.16114027524166016</v>
      </c>
      <c r="DZ27" s="70">
        <v>0.16096500702493632</v>
      </c>
      <c r="EA27" s="70">
        <v>0.16007310874049324</v>
      </c>
      <c r="EB27" s="70">
        <v>0.15972993683102668</v>
      </c>
      <c r="EC27" s="70">
        <v>0.15951463158785881</v>
      </c>
      <c r="ED27" s="70">
        <v>0.159129377547858</v>
      </c>
      <c r="EE27" s="70">
        <v>0.15529309399999999</v>
      </c>
      <c r="EF27" s="70">
        <v>0.15789873400000001</v>
      </c>
      <c r="EG27" s="70">
        <v>0.157573136</v>
      </c>
      <c r="EH27" s="70">
        <v>0.15737042700000001</v>
      </c>
      <c r="EI27" s="70">
        <v>0.15697655599999999</v>
      </c>
      <c r="EJ27" s="70">
        <v>0.15672524600000001</v>
      </c>
      <c r="EK27" s="70">
        <v>0.15651188299999999</v>
      </c>
      <c r="EL27" s="70">
        <v>0.1565057</v>
      </c>
      <c r="EM27" s="70">
        <v>0.15628339999999999</v>
      </c>
      <c r="EN27" s="70">
        <v>0.1564091</v>
      </c>
      <c r="EO27" s="70">
        <v>0.1566717</v>
      </c>
      <c r="EP27" s="70">
        <v>0.15682547999999999</v>
      </c>
      <c r="EQ27" s="70">
        <v>0.15592705200000001</v>
      </c>
      <c r="ER27" s="70">
        <v>0.15574542999999999</v>
      </c>
      <c r="ES27" s="70">
        <v>0.15545071999999999</v>
      </c>
      <c r="ET27" s="70">
        <v>0.15510169500000001</v>
      </c>
      <c r="EU27" s="70">
        <v>0.15472189</v>
      </c>
      <c r="EV27" s="70">
        <v>0.15428725600000001</v>
      </c>
      <c r="EW27" s="70">
        <v>0.15370590200000001</v>
      </c>
      <c r="EX27" s="70">
        <v>0.153172802</v>
      </c>
      <c r="EY27" s="70">
        <v>0.152802771</v>
      </c>
      <c r="EZ27" s="70">
        <v>0.151</v>
      </c>
      <c r="FA27" s="70">
        <v>0.14899999999999999</v>
      </c>
      <c r="FB27" s="70">
        <v>0.15205638738413929</v>
      </c>
      <c r="FC27" s="70">
        <v>0.15132854786920441</v>
      </c>
      <c r="FD27" s="70">
        <v>0.15184386582049303</v>
      </c>
      <c r="FE27" s="70">
        <v>0.15154222022039279</v>
      </c>
      <c r="FF27" s="70">
        <v>0.15121264059501405</v>
      </c>
      <c r="FG27" s="70">
        <v>0.15080900457263455</v>
      </c>
      <c r="FH27" s="70">
        <v>0.15005339614071039</v>
      </c>
      <c r="FI27" s="70">
        <v>0.14979809766214097</v>
      </c>
      <c r="FJ27" s="70">
        <v>0.14876784523228964</v>
      </c>
      <c r="FK27" s="70">
        <v>0.14819110259711615</v>
      </c>
      <c r="FL27" s="70">
        <v>0.14757518950888829</v>
      </c>
      <c r="FM27" s="70">
        <v>0.14704758436328946</v>
      </c>
      <c r="FN27" s="70">
        <v>0.14620592501737817</v>
      </c>
      <c r="FO27" s="70">
        <v>0.14574885396511092</v>
      </c>
      <c r="FP27" s="70">
        <v>0.14521879214103298</v>
      </c>
      <c r="FQ27" s="70">
        <v>0.14465974160466674</v>
      </c>
      <c r="FR27" s="70">
        <v>0.14396936500627125</v>
      </c>
      <c r="FS27" s="70">
        <v>0.14336312547743299</v>
      </c>
      <c r="FT27" s="70">
        <v>0.14261317200359255</v>
      </c>
      <c r="FU27" s="70">
        <v>0.14190016405529399</v>
      </c>
      <c r="FV27" s="70">
        <v>0.14130479431189782</v>
      </c>
      <c r="FW27" s="70"/>
    </row>
    <row r="28" spans="1:179" s="151" customFormat="1" ht="23.25" customHeight="1">
      <c r="A28" s="152" t="s">
        <v>102</v>
      </c>
      <c r="B28" s="148"/>
      <c r="C28" s="149"/>
      <c r="D28" s="149"/>
      <c r="E28" s="149"/>
      <c r="F28" s="149"/>
      <c r="G28" s="150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DQ28" s="151">
        <v>0.16900745635148284</v>
      </c>
    </row>
    <row r="29" spans="1:179" s="138" customFormat="1" ht="15" customHeight="1">
      <c r="A29" s="146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</row>
    <row r="30" spans="1:179" s="35" customFormat="1" ht="24.75" customHeight="1">
      <c r="A30" s="34"/>
      <c r="AL30" s="8">
        <v>2008</v>
      </c>
      <c r="AR30" s="9"/>
      <c r="AX30" s="8">
        <v>2009</v>
      </c>
      <c r="BD30" s="9"/>
      <c r="BG30" s="72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</row>
    <row r="31" spans="1:179" s="37" customFormat="1" ht="29.25" customHeight="1">
      <c r="A31" s="13" t="s">
        <v>77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96">
        <v>43466</v>
      </c>
      <c r="FO31" s="96">
        <v>43497</v>
      </c>
      <c r="FP31" s="96">
        <v>43525</v>
      </c>
      <c r="FQ31" s="96">
        <v>43556</v>
      </c>
      <c r="FR31" s="96">
        <v>43586</v>
      </c>
      <c r="FS31" s="96">
        <v>43617</v>
      </c>
      <c r="FT31" s="96">
        <v>43647</v>
      </c>
      <c r="FU31" s="96">
        <v>43678</v>
      </c>
      <c r="FV31" s="96">
        <v>43709</v>
      </c>
      <c r="FW31" s="96">
        <v>43739</v>
      </c>
    </row>
    <row r="32" spans="1:179" s="39" customFormat="1" ht="29.25" customHeight="1">
      <c r="A32" s="38" t="s">
        <v>78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</row>
    <row r="33" spans="1:179" s="39" customFormat="1" ht="29.25" customHeight="1">
      <c r="A33" s="73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</row>
    <row r="34" spans="1:179" s="39" customFormat="1" ht="29.25" customHeight="1">
      <c r="A34" s="74" t="s">
        <v>79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</row>
    <row r="35" spans="1:179" s="39" customFormat="1" ht="29.25" customHeight="1">
      <c r="A35" s="76" t="s">
        <v>14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8">
        <v>0.48808037780740726</v>
      </c>
      <c r="BK35" s="78">
        <v>0.49602692104190965</v>
      </c>
      <c r="BL35" s="78">
        <v>0.50915866783154495</v>
      </c>
      <c r="BM35" s="78">
        <v>0.52561450772629248</v>
      </c>
      <c r="BN35" s="78">
        <v>0.53674856430340179</v>
      </c>
      <c r="BO35" s="78">
        <v>0.53939634737126829</v>
      </c>
      <c r="BP35" s="78">
        <v>0.54673785069221759</v>
      </c>
      <c r="BQ35" s="78">
        <v>0.55405041184713311</v>
      </c>
      <c r="BR35" s="78">
        <v>0.55839205851280571</v>
      </c>
      <c r="BS35" s="78">
        <v>0.56442779535550114</v>
      </c>
      <c r="BT35" s="78">
        <v>0.5698274884721497</v>
      </c>
      <c r="BU35" s="78">
        <v>0.57192255557390204</v>
      </c>
      <c r="BV35" s="78">
        <v>0.58164246646802986</v>
      </c>
      <c r="BW35" s="78">
        <v>0.59072905188084857</v>
      </c>
      <c r="BX35" s="78">
        <v>0.60084933578487243</v>
      </c>
      <c r="BY35" s="78">
        <v>0.60747395430162165</v>
      </c>
      <c r="BZ35" s="78">
        <v>0.60928790139904498</v>
      </c>
      <c r="CA35" s="78">
        <v>0.61242831346550519</v>
      </c>
      <c r="CB35" s="78">
        <v>0.61636458137756389</v>
      </c>
      <c r="CC35" s="78">
        <v>0.6191226322645893</v>
      </c>
      <c r="CD35" s="78">
        <v>0.62121361156613275</v>
      </c>
      <c r="CE35" s="78">
        <v>0.62332327950254351</v>
      </c>
      <c r="CF35" s="78">
        <v>0.62503888070335556</v>
      </c>
      <c r="CG35" s="78">
        <v>0.62529783550170726</v>
      </c>
      <c r="CH35" s="78">
        <v>0.62654177979725145</v>
      </c>
      <c r="CI35" s="78">
        <v>0.62816731703817841</v>
      </c>
      <c r="CJ35" s="78">
        <v>0.6285948751312268</v>
      </c>
      <c r="CK35" s="78">
        <v>0.62860430988387039</v>
      </c>
      <c r="CL35" s="78">
        <v>0.62742373640812998</v>
      </c>
      <c r="CM35" s="78">
        <v>0.6269937206754137</v>
      </c>
      <c r="CN35" s="78">
        <v>0.62592132583368887</v>
      </c>
      <c r="CO35" s="78">
        <v>0.62489746776945398</v>
      </c>
      <c r="CP35" s="78">
        <v>0.62322330864848385</v>
      </c>
      <c r="CQ35" s="78">
        <v>0.62175833629287502</v>
      </c>
      <c r="CR35" s="78">
        <v>0.61961141678884535</v>
      </c>
      <c r="CS35" s="79">
        <v>0.61718790318221173</v>
      </c>
      <c r="CT35" s="79">
        <v>0.61387785476613532</v>
      </c>
      <c r="CU35" s="79">
        <v>0.61116857575162842</v>
      </c>
      <c r="CV35" s="79">
        <v>0.60607645625483875</v>
      </c>
      <c r="CW35" s="79">
        <v>0.60213191554060475</v>
      </c>
      <c r="CX35" s="79">
        <v>0.59800186779552411</v>
      </c>
      <c r="CY35" s="79">
        <v>0.59487832776214822</v>
      </c>
      <c r="CZ35" s="79">
        <v>0.59162349371373524</v>
      </c>
      <c r="DA35" s="79">
        <v>0.58793406564187367</v>
      </c>
      <c r="DB35" s="79">
        <v>0.58512710755048014</v>
      </c>
      <c r="DC35" s="79">
        <v>0.58204752298273144</v>
      </c>
      <c r="DD35" s="79">
        <v>0.57898082359993019</v>
      </c>
      <c r="DE35" s="79">
        <v>0.57679329077881458</v>
      </c>
      <c r="DF35" s="79">
        <v>0.57296563097130015</v>
      </c>
      <c r="DG35" s="79">
        <v>0.57009734670887913</v>
      </c>
      <c r="DH35" s="79">
        <v>0.56697211263540381</v>
      </c>
      <c r="DI35" s="79">
        <v>0.56402176694949413</v>
      </c>
      <c r="DJ35" s="79">
        <v>0.56196856940665674</v>
      </c>
      <c r="DK35" s="79">
        <v>0.56033757345193547</v>
      </c>
      <c r="DL35" s="79">
        <v>0.5589035830634258</v>
      </c>
      <c r="DM35" s="79">
        <v>0.55744333785507605</v>
      </c>
      <c r="DN35" s="79">
        <v>0.55655664128784454</v>
      </c>
      <c r="DO35" s="79">
        <v>0.55557122881578846</v>
      </c>
      <c r="DP35" s="79">
        <v>0.55382815174075706</v>
      </c>
      <c r="DQ35" s="79">
        <v>0.550821633064283</v>
      </c>
      <c r="DR35" s="79">
        <v>0.53453231995031336</v>
      </c>
      <c r="DS35" s="79">
        <v>0.53256409246082337</v>
      </c>
      <c r="DT35" s="79">
        <v>0.52992701792580488</v>
      </c>
      <c r="DU35" s="79">
        <v>0.52773086931400137</v>
      </c>
      <c r="DV35" s="79">
        <v>0.52570845186344684</v>
      </c>
      <c r="DW35" s="79">
        <v>0.52419255497598949</v>
      </c>
      <c r="DX35" s="79">
        <v>0.5225493730387949</v>
      </c>
      <c r="DY35" s="79">
        <v>0.52142594430694755</v>
      </c>
      <c r="DZ35" s="79">
        <v>0.52037708892365309</v>
      </c>
      <c r="EA35" s="79">
        <v>0.51927414471509992</v>
      </c>
      <c r="EB35" s="79">
        <v>0.51805067509643299</v>
      </c>
      <c r="EC35" s="79">
        <v>0.51594288335037974</v>
      </c>
      <c r="ED35" s="79">
        <v>0.51416106304853204</v>
      </c>
      <c r="EE35" s="79">
        <v>0.51256438574685304</v>
      </c>
      <c r="EF35" s="79">
        <v>0.51078539365940823</v>
      </c>
      <c r="EG35" s="79">
        <v>0.50946634168148675</v>
      </c>
      <c r="EH35" s="79">
        <v>0.50831296543413917</v>
      </c>
      <c r="EI35" s="79">
        <v>0.50712373735493999</v>
      </c>
      <c r="EJ35" s="79">
        <v>0.50554258068328362</v>
      </c>
      <c r="EK35" s="79">
        <v>0.50464977712747106</v>
      </c>
      <c r="EL35" s="79">
        <v>0.50392686751603744</v>
      </c>
      <c r="EM35" s="79">
        <v>0.50304696936373039</v>
      </c>
      <c r="EN35" s="79">
        <v>0.50185226652800341</v>
      </c>
      <c r="EO35" s="79">
        <v>0.50044666830219997</v>
      </c>
      <c r="EP35" s="79">
        <v>0.49889096081935602</v>
      </c>
      <c r="EQ35" s="79">
        <v>0.49760496454267739</v>
      </c>
      <c r="ER35" s="79">
        <v>0.49632700079117792</v>
      </c>
      <c r="ES35" s="79">
        <v>0.49517027800000002</v>
      </c>
      <c r="ET35" s="79">
        <v>0.49438586798450218</v>
      </c>
      <c r="EU35" s="79">
        <v>0.49323836300000001</v>
      </c>
      <c r="EV35" s="79">
        <v>0.49164227799999999</v>
      </c>
      <c r="EW35" s="79">
        <v>0.49055109600000002</v>
      </c>
      <c r="EX35" s="79">
        <v>0.48942332199999999</v>
      </c>
      <c r="EY35" s="79">
        <v>0.48868111800000003</v>
      </c>
      <c r="EZ35" s="79">
        <v>0.48799999999999999</v>
      </c>
      <c r="FA35" s="79">
        <v>0.48599999999999999</v>
      </c>
      <c r="FB35" s="79">
        <v>0.48499999999999999</v>
      </c>
      <c r="FC35" s="79">
        <v>0.48399999999999999</v>
      </c>
      <c r="FD35" s="79">
        <v>0.48199999999999998</v>
      </c>
      <c r="FE35" s="79">
        <v>0.48099999999999998</v>
      </c>
      <c r="FF35" s="79">
        <v>0.48</v>
      </c>
      <c r="FG35" s="79">
        <v>0.47899999999999998</v>
      </c>
      <c r="FH35" s="79">
        <v>0.47799999999999998</v>
      </c>
      <c r="FI35" s="79">
        <v>0.47662957766702119</v>
      </c>
      <c r="FJ35" s="79">
        <v>0.47599999999999998</v>
      </c>
      <c r="FK35" s="79">
        <v>0.47499999999999998</v>
      </c>
      <c r="FL35" s="79">
        <v>0.47379713110092403</v>
      </c>
      <c r="FM35" s="79">
        <v>0.47298456255553717</v>
      </c>
      <c r="FN35" s="79">
        <v>0.47185869768413152</v>
      </c>
      <c r="FO35" s="79">
        <v>0.47075192439850694</v>
      </c>
      <c r="FP35" s="79">
        <v>0.46959223513883203</v>
      </c>
      <c r="FQ35" s="79">
        <v>0.46928725487185563</v>
      </c>
      <c r="FR35" s="79">
        <v>0.46881757156777054</v>
      </c>
      <c r="FS35" s="79">
        <v>0.46828597842771102</v>
      </c>
      <c r="FT35" s="79">
        <v>0.46732308850313597</v>
      </c>
      <c r="FU35" s="79">
        <v>0.46637729621867102</v>
      </c>
      <c r="FV35" s="79">
        <v>0.4656865563495996</v>
      </c>
      <c r="FW35" s="79"/>
    </row>
    <row r="36" spans="1:179" s="39" customFormat="1" ht="29.25" customHeight="1">
      <c r="A36" s="74" t="s">
        <v>15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1">
        <v>0.36212213994515563</v>
      </c>
      <c r="BK36" s="71">
        <v>0.35656212403434612</v>
      </c>
      <c r="BL36" s="71">
        <v>0.34286039197817519</v>
      </c>
      <c r="BM36" s="71">
        <v>0.32518265358439313</v>
      </c>
      <c r="BN36" s="71">
        <v>0.31400565354256771</v>
      </c>
      <c r="BO36" s="71">
        <v>0.30687731760657511</v>
      </c>
      <c r="BP36" s="71">
        <v>0.29329109670778325</v>
      </c>
      <c r="BQ36" s="71">
        <v>0.28266273520271773</v>
      </c>
      <c r="BR36" s="71">
        <v>0.27613553894145537</v>
      </c>
      <c r="BS36" s="71">
        <v>0.26981016058742763</v>
      </c>
      <c r="BT36" s="71">
        <v>0.26392187648586973</v>
      </c>
      <c r="BU36" s="71">
        <v>0.25992452821908429</v>
      </c>
      <c r="BV36" s="71">
        <v>0.24934338892391525</v>
      </c>
      <c r="BW36" s="71">
        <v>0.23994619309094731</v>
      </c>
      <c r="BX36" s="71">
        <v>0.2289865208864503</v>
      </c>
      <c r="BY36" s="71">
        <v>0.22119711525409552</v>
      </c>
      <c r="BZ36" s="71">
        <v>0.21577249673454085</v>
      </c>
      <c r="CA36" s="71">
        <v>0.21286164469642288</v>
      </c>
      <c r="CB36" s="71">
        <v>0.20757861620819615</v>
      </c>
      <c r="CC36" s="71">
        <v>0.20420398275353496</v>
      </c>
      <c r="CD36" s="71">
        <v>0.20215944745144893</v>
      </c>
      <c r="CE36" s="71">
        <v>0.19987009918437398</v>
      </c>
      <c r="CF36" s="71">
        <v>0.19857549453123335</v>
      </c>
      <c r="CG36" s="71">
        <v>0.19948687531785719</v>
      </c>
      <c r="CH36" s="71">
        <v>0.1999896414548975</v>
      </c>
      <c r="CI36" s="71">
        <v>0.20057434093386389</v>
      </c>
      <c r="CJ36" s="71">
        <v>0.20220643014184436</v>
      </c>
      <c r="CK36" s="71">
        <v>0.20405848136342286</v>
      </c>
      <c r="CL36" s="71">
        <v>0.20630682939690781</v>
      </c>
      <c r="CM36" s="71">
        <v>0.2083492540668109</v>
      </c>
      <c r="CN36" s="71">
        <v>0.21090338213595666</v>
      </c>
      <c r="CO36" s="71">
        <v>0.21319837617893131</v>
      </c>
      <c r="CP36" s="71">
        <v>0.21527599528818669</v>
      </c>
      <c r="CQ36" s="71">
        <v>0.21707776002142135</v>
      </c>
      <c r="CR36" s="71">
        <v>0.21905542390339572</v>
      </c>
      <c r="CS36" s="80">
        <v>0.22133967404079674</v>
      </c>
      <c r="CT36" s="80">
        <v>0.22271471773093005</v>
      </c>
      <c r="CU36" s="80">
        <v>0.22307001499292128</v>
      </c>
      <c r="CV36" s="80">
        <v>0.22485233224531675</v>
      </c>
      <c r="CW36" s="80">
        <v>0.22639755771172143</v>
      </c>
      <c r="CX36" s="80">
        <v>0.22792122538293216</v>
      </c>
      <c r="CY36" s="80">
        <v>0.22953964772109384</v>
      </c>
      <c r="CZ36" s="80">
        <v>0.23166321814881591</v>
      </c>
      <c r="DA36" s="80">
        <v>0.2341336983269508</v>
      </c>
      <c r="DB36" s="80">
        <v>0.23624564133255027</v>
      </c>
      <c r="DC36" s="80">
        <v>0.23855837982011294</v>
      </c>
      <c r="DD36" s="80">
        <v>0.24086704004940221</v>
      </c>
      <c r="DE36" s="80">
        <v>0.24330783328368305</v>
      </c>
      <c r="DF36" s="80">
        <v>0.24568783390098997</v>
      </c>
      <c r="DG36" s="80">
        <v>0.2474726822228194</v>
      </c>
      <c r="DH36" s="80">
        <v>0.24926866301101674</v>
      </c>
      <c r="DI36" s="80">
        <v>0.25041028113388558</v>
      </c>
      <c r="DJ36" s="80">
        <v>0.25200682017882975</v>
      </c>
      <c r="DK36" s="80">
        <v>0.25333923698750732</v>
      </c>
      <c r="DL36" s="80">
        <v>0.25474975800367156</v>
      </c>
      <c r="DM36" s="80">
        <v>0.25653574943709634</v>
      </c>
      <c r="DN36" s="80">
        <v>0.25821446928683151</v>
      </c>
      <c r="DO36" s="80">
        <v>0.26010683888823927</v>
      </c>
      <c r="DP36" s="80">
        <v>0.2627983599041992</v>
      </c>
      <c r="DQ36" s="80">
        <v>0.26593622379983778</v>
      </c>
      <c r="DR36" s="80">
        <v>0.26224228796321464</v>
      </c>
      <c r="DS36" s="80">
        <v>0.26414633502030044</v>
      </c>
      <c r="DT36" s="80">
        <v>0.26566599332824026</v>
      </c>
      <c r="DU36" s="80">
        <v>0.26708804611843867</v>
      </c>
      <c r="DV36" s="80">
        <v>0.26857529745392145</v>
      </c>
      <c r="DW36" s="80">
        <v>0.26967603551480746</v>
      </c>
      <c r="DX36" s="80">
        <v>0.27067648202372635</v>
      </c>
      <c r="DY36" s="80">
        <v>0.27155883297362005</v>
      </c>
      <c r="DZ36" s="80">
        <v>0.27225668425895766</v>
      </c>
      <c r="EA36" s="80">
        <v>0.27292907072972883</v>
      </c>
      <c r="EB36" s="80">
        <v>0.27368540786816165</v>
      </c>
      <c r="EC36" s="80">
        <v>0.27475980900007907</v>
      </c>
      <c r="ED36" s="80">
        <v>0.27576999495964871</v>
      </c>
      <c r="EE36" s="80">
        <v>0.27652648708242172</v>
      </c>
      <c r="EF36" s="80">
        <v>0.27785371622634947</v>
      </c>
      <c r="EG36" s="80">
        <v>0.27878833494514643</v>
      </c>
      <c r="EH36" s="80">
        <v>0.27953490640057804</v>
      </c>
      <c r="EI36" s="80">
        <v>0.28031866667659167</v>
      </c>
      <c r="EJ36" s="80">
        <v>0.28130720614791327</v>
      </c>
      <c r="EK36" s="80">
        <v>0.28192816572316942</v>
      </c>
      <c r="EL36" s="80">
        <v>0.2821121879641818</v>
      </c>
      <c r="EM36" s="80">
        <v>0.28218748084557116</v>
      </c>
      <c r="EN36" s="80">
        <v>0.28213312974682436</v>
      </c>
      <c r="EO36" s="80">
        <v>0.28197334857809525</v>
      </c>
      <c r="EP36" s="80">
        <v>0.28200408493159573</v>
      </c>
      <c r="EQ36" s="80">
        <v>0.28213289701872041</v>
      </c>
      <c r="ER36" s="80">
        <v>0.2822803528313807</v>
      </c>
      <c r="ES36" s="80">
        <v>0.28246501499999999</v>
      </c>
      <c r="ET36" s="80">
        <v>0.28242877531820126</v>
      </c>
      <c r="EU36" s="80">
        <v>0.282519784</v>
      </c>
      <c r="EV36" s="80">
        <v>0.28312940399999997</v>
      </c>
      <c r="EW36" s="80">
        <v>0.28346758799999999</v>
      </c>
      <c r="EX36" s="80">
        <v>0.283656768</v>
      </c>
      <c r="EY36" s="80">
        <v>0.28374506399999999</v>
      </c>
      <c r="EZ36" s="80">
        <v>0.28399999999999997</v>
      </c>
      <c r="FA36" s="80">
        <v>0.28399999999999997</v>
      </c>
      <c r="FB36" s="80">
        <v>0.28399999999999997</v>
      </c>
      <c r="FC36" s="80">
        <v>0.28399999999999997</v>
      </c>
      <c r="FD36" s="80">
        <v>0.28399999999999997</v>
      </c>
      <c r="FE36" s="80">
        <v>0.28399999999999997</v>
      </c>
      <c r="FF36" s="80">
        <v>0.28399999999999997</v>
      </c>
      <c r="FG36" s="80">
        <v>0.28399999999999997</v>
      </c>
      <c r="FH36" s="80">
        <v>0.28499999999999998</v>
      </c>
      <c r="FI36" s="80">
        <v>0.28477635474394425</v>
      </c>
      <c r="FJ36" s="80">
        <v>0.28499999999999998</v>
      </c>
      <c r="FK36" s="80">
        <v>0.28482002235528114</v>
      </c>
      <c r="FL36" s="80">
        <v>0.28484842104549862</v>
      </c>
      <c r="FM36" s="80">
        <v>0.28490672771360154</v>
      </c>
      <c r="FN36" s="80">
        <v>0.28515828372483709</v>
      </c>
      <c r="FO36" s="80">
        <v>0.28542556925974211</v>
      </c>
      <c r="FP36" s="80">
        <v>0.28580573639759516</v>
      </c>
      <c r="FQ36" s="80">
        <v>0.2857550699906562</v>
      </c>
      <c r="FR36" s="80">
        <v>0.28662641637446384</v>
      </c>
      <c r="FS36" s="80">
        <v>0.28693103421008298</v>
      </c>
      <c r="FT36" s="80">
        <v>0.28736861080382298</v>
      </c>
      <c r="FU36" s="80">
        <v>0.28763730739160298</v>
      </c>
      <c r="FV36" s="80">
        <v>0.28766673359363171</v>
      </c>
      <c r="FW36" s="80"/>
    </row>
    <row r="37" spans="1:179" s="39" customFormat="1" ht="29.25" customHeight="1">
      <c r="A37" s="81" t="s">
        <v>16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3">
        <v>0.14979748224743711</v>
      </c>
      <c r="BK37" s="83">
        <v>0.14741095492374426</v>
      </c>
      <c r="BL37" s="83">
        <v>0.14798094019027982</v>
      </c>
      <c r="BM37" s="83">
        <v>0.14920283868931444</v>
      </c>
      <c r="BN37" s="83">
        <v>0.14924578215403053</v>
      </c>
      <c r="BO37" s="83">
        <v>0.15372633502215657</v>
      </c>
      <c r="BP37" s="83">
        <v>0.15997105259999919</v>
      </c>
      <c r="BQ37" s="83">
        <v>0.16328685295014916</v>
      </c>
      <c r="BR37" s="83">
        <v>0.16547240254573886</v>
      </c>
      <c r="BS37" s="83">
        <v>0.16576204405707121</v>
      </c>
      <c r="BT37" s="83">
        <v>0.16625063504198059</v>
      </c>
      <c r="BU37" s="83">
        <v>0.16815291620701364</v>
      </c>
      <c r="BV37" s="83">
        <v>0.16901414460805492</v>
      </c>
      <c r="BW37" s="83">
        <v>0.16932475502820415</v>
      </c>
      <c r="BX37" s="83">
        <v>0.17016414332867727</v>
      </c>
      <c r="BY37" s="83">
        <v>0.17132893044428285</v>
      </c>
      <c r="BZ37" s="83">
        <v>0.17493960186641419</v>
      </c>
      <c r="CA37" s="83">
        <v>0.17471004183807196</v>
      </c>
      <c r="CB37" s="83">
        <v>0.17605680241423999</v>
      </c>
      <c r="CC37" s="83">
        <v>0.17667338498187579</v>
      </c>
      <c r="CD37" s="83">
        <v>0.17662694098241832</v>
      </c>
      <c r="CE37" s="83">
        <v>0.17680662131308253</v>
      </c>
      <c r="CF37" s="83">
        <v>0.17638562476541106</v>
      </c>
      <c r="CG37" s="83">
        <v>0.17521528918043558</v>
      </c>
      <c r="CH37" s="83">
        <v>0.1734685787478511</v>
      </c>
      <c r="CI37" s="83">
        <v>0.1712583420279577</v>
      </c>
      <c r="CJ37" s="83">
        <v>0.16919869472692883</v>
      </c>
      <c r="CK37" s="83">
        <v>0.16733720875270677</v>
      </c>
      <c r="CL37" s="83">
        <v>0.16626943419496221</v>
      </c>
      <c r="CM37" s="83">
        <v>0.1646570252577754</v>
      </c>
      <c r="CN37" s="83">
        <v>0.1631752920303545</v>
      </c>
      <c r="CO37" s="83">
        <v>0.16190415605161465</v>
      </c>
      <c r="CP37" s="83">
        <v>0.1615006960633294</v>
      </c>
      <c r="CQ37" s="83">
        <v>0.16116390368570357</v>
      </c>
      <c r="CR37" s="83">
        <v>0.16133315930775891</v>
      </c>
      <c r="CS37" s="84">
        <v>0.16147242277699159</v>
      </c>
      <c r="CT37" s="84">
        <v>0.1634074275029346</v>
      </c>
      <c r="CU37" s="84">
        <v>0.16576140925545027</v>
      </c>
      <c r="CV37" s="84">
        <v>0.16907121149984455</v>
      </c>
      <c r="CW37" s="84">
        <v>0.17147052674767382</v>
      </c>
      <c r="CX37" s="84">
        <v>0.17407690682154373</v>
      </c>
      <c r="CY37" s="84">
        <v>0.17558202451675795</v>
      </c>
      <c r="CZ37" s="84">
        <v>0.17671328813744883</v>
      </c>
      <c r="DA37" s="84">
        <v>0.17793223603117556</v>
      </c>
      <c r="DB37" s="84">
        <v>0.17862725111696964</v>
      </c>
      <c r="DC37" s="84">
        <v>0.17939409719715568</v>
      </c>
      <c r="DD37" s="84">
        <v>0.18015213635066757</v>
      </c>
      <c r="DE37" s="84">
        <v>0.17989887593750239</v>
      </c>
      <c r="DF37" s="84">
        <v>0.1813465351277099</v>
      </c>
      <c r="DG37" s="84">
        <v>0.1824299710683015</v>
      </c>
      <c r="DH37" s="84">
        <v>0.18375922435357944</v>
      </c>
      <c r="DI37" s="84">
        <v>0.18556795191662026</v>
      </c>
      <c r="DJ37" s="84">
        <v>0.18602461041451346</v>
      </c>
      <c r="DK37" s="84">
        <v>0.18632318956055718</v>
      </c>
      <c r="DL37" s="84">
        <v>0.18634665893290259</v>
      </c>
      <c r="DM37" s="84">
        <v>0.18602091270782761</v>
      </c>
      <c r="DN37" s="84">
        <v>0.18522888942532395</v>
      </c>
      <c r="DO37" s="84">
        <v>0.18432193229597235</v>
      </c>
      <c r="DP37" s="84">
        <v>0.18337348835504372</v>
      </c>
      <c r="DQ37" s="84">
        <v>0.18324214313587925</v>
      </c>
      <c r="DR37" s="84">
        <v>0.20322539208647197</v>
      </c>
      <c r="DS37" s="84">
        <v>0.20328957251887619</v>
      </c>
      <c r="DT37" s="84">
        <v>0.20440698874595489</v>
      </c>
      <c r="DU37" s="84">
        <v>0.20518108456755996</v>
      </c>
      <c r="DV37" s="84">
        <v>0.20571625068263175</v>
      </c>
      <c r="DW37" s="84">
        <v>0.20613140950920311</v>
      </c>
      <c r="DX37" s="84">
        <v>0.20677414493747873</v>
      </c>
      <c r="DY37" s="84">
        <v>0.20701522271943235</v>
      </c>
      <c r="DZ37" s="84">
        <v>0.20736622681738928</v>
      </c>
      <c r="EA37" s="84">
        <v>0.2077967845551712</v>
      </c>
      <c r="EB37" s="84">
        <v>0.20826391703540537</v>
      </c>
      <c r="EC37" s="84">
        <v>0.20929730764954116</v>
      </c>
      <c r="ED37" s="84">
        <v>0.21006894199181925</v>
      </c>
      <c r="EE37" s="84">
        <v>0.21090912717072527</v>
      </c>
      <c r="EF37" s="84">
        <v>0.21136089011424231</v>
      </c>
      <c r="EG37" s="84">
        <v>0.21174532337336679</v>
      </c>
      <c r="EH37" s="84">
        <v>0.21215212816528273</v>
      </c>
      <c r="EI37" s="84">
        <v>0.21255759596846829</v>
      </c>
      <c r="EJ37" s="84">
        <v>0.21315021316880314</v>
      </c>
      <c r="EK37" s="84">
        <v>0.21342205714935955</v>
      </c>
      <c r="EL37" s="84">
        <v>0.21396094451978076</v>
      </c>
      <c r="EM37" s="84">
        <v>0.21476554979069842</v>
      </c>
      <c r="EN37" s="84">
        <v>0.21601460372517223</v>
      </c>
      <c r="EO37" s="84">
        <v>0.21757998311970483</v>
      </c>
      <c r="EP37" s="84">
        <v>0.21910495424904824</v>
      </c>
      <c r="EQ37" s="84">
        <v>0.22026213843860221</v>
      </c>
      <c r="ER37" s="84">
        <v>0.22139264637744141</v>
      </c>
      <c r="ES37" s="84">
        <v>0.22236470699999999</v>
      </c>
      <c r="ET37" s="84">
        <v>0.22318535669729653</v>
      </c>
      <c r="EU37" s="84">
        <v>0.22424185199999999</v>
      </c>
      <c r="EV37" s="84">
        <v>0.22522831900000001</v>
      </c>
      <c r="EW37" s="84">
        <v>0.22598131599999999</v>
      </c>
      <c r="EX37" s="84">
        <v>0.226919909</v>
      </c>
      <c r="EY37" s="84">
        <v>0.22757381800000001</v>
      </c>
      <c r="EZ37" s="84">
        <v>0.22900000000000001</v>
      </c>
      <c r="FA37" s="84">
        <v>0.23</v>
      </c>
      <c r="FB37" s="84">
        <v>0.23100000000000001</v>
      </c>
      <c r="FC37" s="84">
        <v>0.23200000000000001</v>
      </c>
      <c r="FD37" s="84">
        <v>0.23400000000000001</v>
      </c>
      <c r="FE37" s="84">
        <v>0.23499999999999999</v>
      </c>
      <c r="FF37" s="84">
        <v>0.23599999999999999</v>
      </c>
      <c r="FG37" s="84">
        <v>0.23699999999999999</v>
      </c>
      <c r="FH37" s="84">
        <v>0.23799999999999999</v>
      </c>
      <c r="FI37" s="84">
        <v>0.23859406758903459</v>
      </c>
      <c r="FJ37" s="84">
        <v>0.23899999999999999</v>
      </c>
      <c r="FK37" s="84">
        <v>0.23997102385911004</v>
      </c>
      <c r="FL37" s="84">
        <v>0.24135444785357735</v>
      </c>
      <c r="FM37" s="84">
        <v>0.24210870973086132</v>
      </c>
      <c r="FN37" s="84">
        <v>0.24298301859103139</v>
      </c>
      <c r="FO37" s="84">
        <v>0.24382250634175093</v>
      </c>
      <c r="FP37" s="84">
        <v>0.24460202846357251</v>
      </c>
      <c r="FQ37" s="84">
        <v>0.24495767513748817</v>
      </c>
      <c r="FR37" s="84">
        <v>0.24455601205776561</v>
      </c>
      <c r="FS37" s="84">
        <v>0.24478298736220599</v>
      </c>
      <c r="FT37" s="84">
        <v>0.24530830069303999</v>
      </c>
      <c r="FU37" s="84">
        <v>0.245985396389726</v>
      </c>
      <c r="FV37" s="84">
        <v>0.24664671005676869</v>
      </c>
      <c r="FW37" s="84"/>
    </row>
    <row r="38" spans="1:179" s="151" customFormat="1" ht="23.25" customHeight="1">
      <c r="A38" s="152" t="s">
        <v>110</v>
      </c>
      <c r="B38" s="148"/>
      <c r="C38" s="149"/>
      <c r="D38" s="149"/>
      <c r="E38" s="149"/>
      <c r="F38" s="149"/>
      <c r="G38" s="150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</row>
    <row r="39" spans="1:179" s="138" customFormat="1" ht="15" customHeight="1">
      <c r="A39" s="146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1"/>
  <sheetViews>
    <sheetView showGridLines="0" view="pageBreakPreview" zoomScale="70" zoomScaleNormal="60" zoomScaleSheetLayoutView="70" workbookViewId="0">
      <pane xSplit="29" topLeftCell="AD1" activePane="topRight" state="frozen"/>
      <selection pane="topRight"/>
    </sheetView>
  </sheetViews>
  <sheetFormatPr defaultColWidth="9" defaultRowHeight="18.75" customHeight="1"/>
  <cols>
    <col min="1" max="1" width="41.375" style="141" customWidth="1"/>
    <col min="2" max="10" width="14.5" style="141" hidden="1" customWidth="1"/>
    <col min="11" max="13" width="14.625" style="141" hidden="1" customWidth="1"/>
    <col min="14" max="33" width="13.375" style="141" hidden="1" customWidth="1"/>
    <col min="34" max="34" width="13.5" style="141" hidden="1" customWidth="1"/>
    <col min="35" max="35" width="12.875" style="141" hidden="1" customWidth="1"/>
    <col min="36" max="36" width="13.5" style="141" hidden="1" customWidth="1"/>
    <col min="37" max="37" width="13.625" style="141" hidden="1" customWidth="1"/>
    <col min="38" max="38" width="14" style="141" customWidth="1"/>
    <col min="39" max="39" width="14.5" style="141" customWidth="1"/>
    <col min="40" max="40" width="13.875" style="141" customWidth="1"/>
    <col min="41" max="41" width="14.375" style="141" customWidth="1"/>
    <col min="42" max="42" width="14.875" style="141" customWidth="1"/>
    <col min="43" max="43" width="15.125" style="141" customWidth="1"/>
    <col min="44" max="44" width="14.875" style="141" customWidth="1"/>
    <col min="45" max="48" width="15.125" style="141" customWidth="1"/>
    <col min="49" max="16384" width="9" style="141"/>
  </cols>
  <sheetData>
    <row r="1" spans="1:48" s="142" customFormat="1" ht="46.5" customHeight="1">
      <c r="A1" s="86" t="s">
        <v>19</v>
      </c>
      <c r="B1" s="87"/>
      <c r="C1" s="87"/>
      <c r="D1" s="87"/>
      <c r="E1" s="87"/>
      <c r="F1" s="87"/>
      <c r="G1" s="87"/>
      <c r="H1" s="87"/>
      <c r="I1" s="87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</row>
    <row r="2" spans="1:48" s="117" customFormat="1" ht="27.75" customHeight="1">
      <c r="B2" s="143"/>
      <c r="C2" s="92"/>
      <c r="D2" s="92"/>
      <c r="E2" s="92"/>
      <c r="F2" s="92"/>
    </row>
    <row r="3" spans="1:48" s="117" customFormat="1" ht="31.5" customHeight="1">
      <c r="A3" s="90" t="s">
        <v>20</v>
      </c>
      <c r="B3" s="91">
        <v>2008</v>
      </c>
      <c r="C3" s="92"/>
      <c r="D3" s="92"/>
      <c r="E3" s="92"/>
      <c r="F3" s="8">
        <v>2009</v>
      </c>
      <c r="G3" s="89"/>
      <c r="H3" s="89"/>
      <c r="I3" s="89"/>
      <c r="J3" s="8">
        <v>2010</v>
      </c>
      <c r="K3" s="89"/>
      <c r="L3" s="89"/>
      <c r="M3" s="89"/>
      <c r="N3" s="8">
        <v>2011</v>
      </c>
      <c r="O3" s="89"/>
      <c r="P3" s="89"/>
      <c r="Q3" s="89"/>
      <c r="R3" s="8">
        <v>2012</v>
      </c>
      <c r="S3" s="89"/>
      <c r="T3" s="89"/>
      <c r="U3" s="89"/>
      <c r="V3" s="8">
        <v>2013</v>
      </c>
      <c r="W3" s="89"/>
      <c r="X3" s="89"/>
      <c r="Y3" s="89"/>
      <c r="Z3" s="8">
        <v>2014</v>
      </c>
      <c r="AA3" s="89"/>
      <c r="AB3" s="89"/>
      <c r="AC3" s="8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</row>
    <row r="4" spans="1:48" s="137" customFormat="1" ht="31.5" customHeight="1">
      <c r="A4" s="93" t="s">
        <v>29</v>
      </c>
      <c r="B4" s="94" t="s">
        <v>30</v>
      </c>
      <c r="C4" s="94" t="s">
        <v>31</v>
      </c>
      <c r="D4" s="94" t="s">
        <v>32</v>
      </c>
      <c r="E4" s="94" t="s">
        <v>33</v>
      </c>
      <c r="F4" s="95" t="s">
        <v>34</v>
      </c>
      <c r="G4" s="95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81</v>
      </c>
      <c r="AE4" s="15" t="s">
        <v>82</v>
      </c>
      <c r="AF4" s="15" t="s">
        <v>83</v>
      </c>
      <c r="AG4" s="15" t="s">
        <v>84</v>
      </c>
      <c r="AH4" s="15" t="s">
        <v>87</v>
      </c>
      <c r="AI4" s="15" t="s">
        <v>88</v>
      </c>
      <c r="AJ4" s="15" t="s">
        <v>89</v>
      </c>
      <c r="AK4" s="15" t="s">
        <v>90</v>
      </c>
      <c r="AL4" s="96" t="s">
        <v>86</v>
      </c>
      <c r="AM4" s="96" t="s">
        <v>92</v>
      </c>
      <c r="AN4" s="96" t="s">
        <v>93</v>
      </c>
      <c r="AO4" s="96" t="s">
        <v>94</v>
      </c>
      <c r="AP4" s="15" t="s">
        <v>95</v>
      </c>
      <c r="AQ4" s="15" t="s">
        <v>96</v>
      </c>
      <c r="AR4" s="15" t="s">
        <v>97</v>
      </c>
      <c r="AS4" s="15" t="s">
        <v>98</v>
      </c>
      <c r="AT4" s="96" t="s">
        <v>100</v>
      </c>
      <c r="AU4" s="96" t="s">
        <v>104</v>
      </c>
      <c r="AV4" s="96" t="s">
        <v>112</v>
      </c>
    </row>
    <row r="5" spans="1:48" s="138" customFormat="1" ht="31.5" customHeight="1">
      <c r="A5" s="97" t="s">
        <v>58</v>
      </c>
      <c r="B5" s="98">
        <v>14085.444</v>
      </c>
      <c r="C5" s="98">
        <v>14367.165000000001</v>
      </c>
      <c r="D5" s="98">
        <v>14430.594000000001</v>
      </c>
      <c r="E5" s="98">
        <v>14525.655000000001</v>
      </c>
      <c r="F5" s="98">
        <v>14731.359999999999</v>
      </c>
      <c r="G5" s="98">
        <v>14931.277</v>
      </c>
      <c r="H5" s="98">
        <v>15159.258</v>
      </c>
      <c r="I5" s="98">
        <v>15303.172</v>
      </c>
      <c r="J5" s="98">
        <v>15679.282999999999</v>
      </c>
      <c r="K5" s="98">
        <v>15927.956</v>
      </c>
      <c r="L5" s="98">
        <v>16179.165999999999</v>
      </c>
      <c r="M5" s="98">
        <v>16417.474999999999</v>
      </c>
      <c r="N5" s="98">
        <v>16725.524000000001</v>
      </c>
      <c r="O5" s="98">
        <v>16776.420999999998</v>
      </c>
      <c r="P5" s="98">
        <v>17042.148999999998</v>
      </c>
      <c r="Q5" s="98">
        <v>17307.292000000001</v>
      </c>
      <c r="R5" s="98">
        <v>17434.752</v>
      </c>
      <c r="S5" s="98">
        <v>17389.462</v>
      </c>
      <c r="T5" s="98">
        <v>17416.396000000001</v>
      </c>
      <c r="U5" s="98">
        <v>17435.949000000001</v>
      </c>
      <c r="V5" s="98">
        <v>17370.972000000002</v>
      </c>
      <c r="W5" s="98">
        <v>17354.087</v>
      </c>
      <c r="X5" s="98">
        <v>17204.882000000001</v>
      </c>
      <c r="Y5" s="98">
        <v>17299.899000000001</v>
      </c>
      <c r="Z5" s="98">
        <v>17291.375</v>
      </c>
      <c r="AA5" s="99">
        <v>17561.798999999999</v>
      </c>
      <c r="AB5" s="99">
        <v>17952.121999999999</v>
      </c>
      <c r="AC5" s="99">
        <v>18052.745999999999</v>
      </c>
      <c r="AD5" s="99">
        <v>18178.167000000001</v>
      </c>
      <c r="AE5" s="99">
        <v>18368.379000000001</v>
      </c>
      <c r="AF5" s="99">
        <v>18514.206999999999</v>
      </c>
      <c r="AG5" s="99">
        <v>18721</v>
      </c>
      <c r="AH5" s="99">
        <v>18843.378000000001</v>
      </c>
      <c r="AI5" s="99">
        <v>18997.347000000002</v>
      </c>
      <c r="AJ5" s="99">
        <f>SUM(AJ7:AJ10)</f>
        <v>19236.344000000001</v>
      </c>
      <c r="AK5" s="99">
        <f>SUM(AK7:AK10)</f>
        <v>19397.464</v>
      </c>
      <c r="AL5" s="99">
        <v>19689.032999999999</v>
      </c>
      <c r="AM5" s="99">
        <v>19918</v>
      </c>
      <c r="AN5" s="99">
        <f>SUM(AN7:AN10)</f>
        <v>20140.112000000001</v>
      </c>
      <c r="AO5" s="99">
        <f>SUM(AO7:AO10)</f>
        <v>20319.896000000001</v>
      </c>
      <c r="AP5" s="99">
        <v>20623.074000000001</v>
      </c>
      <c r="AQ5" s="99">
        <v>20787.13</v>
      </c>
      <c r="AR5" s="99">
        <v>20960.143</v>
      </c>
      <c r="AS5" s="99">
        <v>21138.47</v>
      </c>
      <c r="AT5" s="99">
        <v>21333.414000000001</v>
      </c>
      <c r="AU5" s="99">
        <v>21549.275000000001</v>
      </c>
      <c r="AV5" s="99">
        <v>21771.395</v>
      </c>
    </row>
    <row r="6" spans="1:48" s="138" customFormat="1" ht="31.5" hidden="1" customHeight="1">
      <c r="A6" s="100" t="s">
        <v>59</v>
      </c>
      <c r="B6" s="101">
        <v>9100.3729999999996</v>
      </c>
      <c r="C6" s="101">
        <v>7849.2610000000004</v>
      </c>
      <c r="D6" s="101">
        <v>6850.723</v>
      </c>
      <c r="E6" s="101">
        <v>6099.152</v>
      </c>
      <c r="F6" s="101">
        <v>5315.1149999999998</v>
      </c>
      <c r="G6" s="101">
        <v>4295.0290000000005</v>
      </c>
      <c r="H6" s="101">
        <v>3492.0399999999991</v>
      </c>
      <c r="I6" s="101">
        <v>2908.503999999999</v>
      </c>
      <c r="J6" s="101">
        <v>2410.625</v>
      </c>
      <c r="K6" s="101">
        <v>2011.9159999999993</v>
      </c>
      <c r="L6" s="101">
        <v>1641.261</v>
      </c>
      <c r="M6" s="101">
        <v>1392.548</v>
      </c>
      <c r="N6" s="101">
        <v>1104.634</v>
      </c>
      <c r="O6" s="101">
        <v>532.71900000000005</v>
      </c>
      <c r="P6" s="101">
        <v>292.666</v>
      </c>
      <c r="Q6" s="101">
        <v>99.834999999999994</v>
      </c>
      <c r="R6" s="101">
        <v>23.209</v>
      </c>
      <c r="S6" s="101">
        <v>19.202999999999999</v>
      </c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</row>
    <row r="7" spans="1:48" s="138" customFormat="1" ht="31.5" customHeight="1">
      <c r="A7" s="100" t="s">
        <v>60</v>
      </c>
      <c r="B7" s="101">
        <v>4839.7809999999999</v>
      </c>
      <c r="C7" s="101">
        <v>6316.0010000000002</v>
      </c>
      <c r="D7" s="101">
        <v>7407.8230000000003</v>
      </c>
      <c r="E7" s="101">
        <v>8266.0810000000001</v>
      </c>
      <c r="F7" s="101">
        <v>9232.23</v>
      </c>
      <c r="G7" s="101">
        <v>10417.794</v>
      </c>
      <c r="H7" s="101">
        <v>11412.093000000001</v>
      </c>
      <c r="I7" s="101">
        <v>12107.691000000001</v>
      </c>
      <c r="J7" s="101">
        <v>12957.347</v>
      </c>
      <c r="K7" s="101">
        <v>13582.119000000001</v>
      </c>
      <c r="L7" s="101">
        <v>14190.157999999999</v>
      </c>
      <c r="M7" s="101">
        <v>14647.978999999999</v>
      </c>
      <c r="N7" s="101">
        <v>15194.27</v>
      </c>
      <c r="O7" s="101">
        <v>15763.477000000001</v>
      </c>
      <c r="P7" s="101">
        <v>16098.525</v>
      </c>
      <c r="Q7" s="101">
        <v>16463.323</v>
      </c>
      <c r="R7" s="101">
        <v>16224.641</v>
      </c>
      <c r="S7" s="101">
        <v>15298.934999999999</v>
      </c>
      <c r="T7" s="101">
        <v>13991.964</v>
      </c>
      <c r="U7" s="101">
        <v>12601.165000000001</v>
      </c>
      <c r="V7" s="101">
        <v>11374.109</v>
      </c>
      <c r="W7" s="101">
        <v>10382.145999999999</v>
      </c>
      <c r="X7" s="101">
        <v>9500.6210000000028</v>
      </c>
      <c r="Y7" s="101">
        <v>8580.2489999999998</v>
      </c>
      <c r="Z7" s="101">
        <v>7838.576</v>
      </c>
      <c r="AA7" s="101">
        <v>7366.3069999999998</v>
      </c>
      <c r="AB7" s="101">
        <v>6937.2529999999997</v>
      </c>
      <c r="AC7" s="101">
        <v>6519.7790000000005</v>
      </c>
      <c r="AD7" s="101">
        <v>6073.0060000000003</v>
      </c>
      <c r="AE7" s="101">
        <v>5754.1660000000002</v>
      </c>
      <c r="AF7" s="101">
        <v>5465.8639999999996</v>
      </c>
      <c r="AG7" s="101">
        <v>5206</v>
      </c>
      <c r="AH7" s="101">
        <v>4971.1109999999999</v>
      </c>
      <c r="AI7" s="101">
        <v>4762.3620000000001</v>
      </c>
      <c r="AJ7" s="101">
        <v>4757.0200000000004</v>
      </c>
      <c r="AK7" s="101">
        <v>4630.2849999999999</v>
      </c>
      <c r="AL7" s="101">
        <v>4626.027</v>
      </c>
      <c r="AM7" s="101">
        <v>4652.0730000000003</v>
      </c>
      <c r="AN7" s="101">
        <v>4616.1170000000002</v>
      </c>
      <c r="AO7" s="101">
        <v>4553.6470000000008</v>
      </c>
      <c r="AP7" s="101">
        <v>4511.5660000000007</v>
      </c>
      <c r="AQ7" s="144">
        <v>4438.2840000000015</v>
      </c>
      <c r="AR7" s="144">
        <v>4308.1679999999978</v>
      </c>
      <c r="AS7" s="144">
        <v>4149.0349999999999</v>
      </c>
      <c r="AT7" s="101">
        <v>3940.6840000000002</v>
      </c>
      <c r="AU7" s="101">
        <v>3747.395</v>
      </c>
      <c r="AV7" s="101">
        <v>3546.9850000000001</v>
      </c>
    </row>
    <row r="8" spans="1:48" s="138" customFormat="1" ht="31.5" customHeight="1">
      <c r="A8" s="100" t="s">
        <v>61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>
        <v>350.92099999999999</v>
      </c>
      <c r="S8" s="101">
        <v>1169.7819999999999</v>
      </c>
      <c r="T8" s="101">
        <v>2488.125</v>
      </c>
      <c r="U8" s="101">
        <v>3900.4740000000002</v>
      </c>
      <c r="V8" s="101">
        <v>5068.4139999999998</v>
      </c>
      <c r="W8" s="101">
        <v>6057.0420000000004</v>
      </c>
      <c r="X8" s="101">
        <v>6824.37</v>
      </c>
      <c r="Y8" s="101">
        <v>7874.0649999999996</v>
      </c>
      <c r="Z8" s="101">
        <v>8632.7160000000003</v>
      </c>
      <c r="AA8" s="101">
        <v>9405.6820000000007</v>
      </c>
      <c r="AB8" s="101">
        <v>10244.365</v>
      </c>
      <c r="AC8" s="101">
        <v>10780.305</v>
      </c>
      <c r="AD8" s="101">
        <v>11363.87</v>
      </c>
      <c r="AE8" s="101">
        <v>11882.784</v>
      </c>
      <c r="AF8" s="101">
        <v>12334.708000000001</v>
      </c>
      <c r="AG8" s="101">
        <v>12832</v>
      </c>
      <c r="AH8" s="101">
        <v>13208.611000000001</v>
      </c>
      <c r="AI8" s="101">
        <v>13615.369000000001</v>
      </c>
      <c r="AJ8" s="101">
        <v>13920.927</v>
      </c>
      <c r="AK8" s="101">
        <v>14261.509</v>
      </c>
      <c r="AL8" s="101">
        <v>14608.217000000001</v>
      </c>
      <c r="AM8" s="101">
        <v>14869.039000000001</v>
      </c>
      <c r="AN8" s="101">
        <v>15179.147999999999</v>
      </c>
      <c r="AO8" s="101">
        <v>15461.824000000001</v>
      </c>
      <c r="AP8" s="101">
        <v>15866.724</v>
      </c>
      <c r="AQ8" s="101">
        <v>16223.781999999999</v>
      </c>
      <c r="AR8" s="101">
        <v>16611.598000000002</v>
      </c>
      <c r="AS8" s="101">
        <v>16971.134999999998</v>
      </c>
      <c r="AT8" s="101">
        <v>17392.73</v>
      </c>
      <c r="AU8" s="101">
        <v>17382.563999999998</v>
      </c>
      <c r="AV8" s="101">
        <v>17169.25</v>
      </c>
    </row>
    <row r="9" spans="1:48" s="138" customFormat="1" ht="31.5" customHeight="1">
      <c r="A9" s="100" t="s">
        <v>105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 t="s">
        <v>107</v>
      </c>
      <c r="AM9" s="101" t="s">
        <v>107</v>
      </c>
      <c r="AN9" s="101" t="s">
        <v>107</v>
      </c>
      <c r="AO9" s="101" t="s">
        <v>107</v>
      </c>
      <c r="AP9" s="101" t="s">
        <v>107</v>
      </c>
      <c r="AQ9" s="101" t="s">
        <v>107</v>
      </c>
      <c r="AR9" s="101" t="s">
        <v>107</v>
      </c>
      <c r="AS9" s="101" t="s">
        <v>107</v>
      </c>
      <c r="AT9" s="101" t="s">
        <v>107</v>
      </c>
      <c r="AU9" s="101">
        <v>419.31599999999997</v>
      </c>
      <c r="AV9" s="101">
        <v>1055.1600000000001</v>
      </c>
    </row>
    <row r="10" spans="1:48" s="138" customFormat="1" ht="31.5" customHeight="1">
      <c r="A10" s="102" t="s">
        <v>62</v>
      </c>
      <c r="B10" s="103">
        <v>145.29</v>
      </c>
      <c r="C10" s="103">
        <v>201.90299999999999</v>
      </c>
      <c r="D10" s="103">
        <v>172.048</v>
      </c>
      <c r="E10" s="103">
        <v>160.422</v>
      </c>
      <c r="F10" s="103">
        <v>184.01499999999999</v>
      </c>
      <c r="G10" s="103">
        <v>218.45400000000001</v>
      </c>
      <c r="H10" s="103">
        <v>255.125</v>
      </c>
      <c r="I10" s="103">
        <v>286.97699999999998</v>
      </c>
      <c r="J10" s="103">
        <v>311.31099999999998</v>
      </c>
      <c r="K10" s="103">
        <v>333.92099999999999</v>
      </c>
      <c r="L10" s="103">
        <v>347.74700000000001</v>
      </c>
      <c r="M10" s="103">
        <v>376.94799999999998</v>
      </c>
      <c r="N10" s="103">
        <v>426.62</v>
      </c>
      <c r="O10" s="103">
        <v>480.22500000000002</v>
      </c>
      <c r="P10" s="103">
        <v>650.95799999999997</v>
      </c>
      <c r="Q10" s="103">
        <v>744.13400000000001</v>
      </c>
      <c r="R10" s="103">
        <v>835.98099999999999</v>
      </c>
      <c r="S10" s="103">
        <v>901.54200000000003</v>
      </c>
      <c r="T10" s="103">
        <v>936.30700000000002</v>
      </c>
      <c r="U10" s="103">
        <v>934.31</v>
      </c>
      <c r="V10" s="103">
        <v>928.44899999999996</v>
      </c>
      <c r="W10" s="103">
        <v>914.899</v>
      </c>
      <c r="X10" s="103">
        <v>879.89099999999996</v>
      </c>
      <c r="Y10" s="103">
        <v>845.58500000000004</v>
      </c>
      <c r="Z10" s="103">
        <v>820.08299999999997</v>
      </c>
      <c r="AA10" s="103">
        <v>789.81</v>
      </c>
      <c r="AB10" s="103">
        <v>770.50400000000002</v>
      </c>
      <c r="AC10" s="103">
        <v>752.66200000000003</v>
      </c>
      <c r="AD10" s="103">
        <v>741</v>
      </c>
      <c r="AE10" s="103">
        <v>731</v>
      </c>
      <c r="AF10" s="103">
        <v>713.63499999999999</v>
      </c>
      <c r="AG10" s="103">
        <v>683</v>
      </c>
      <c r="AH10" s="103">
        <v>663.60599999999999</v>
      </c>
      <c r="AI10" s="103">
        <v>619.61599999999999</v>
      </c>
      <c r="AJ10" s="103">
        <v>558.39700000000005</v>
      </c>
      <c r="AK10" s="103">
        <v>505.67</v>
      </c>
      <c r="AL10" s="103">
        <v>454.78899999999999</v>
      </c>
      <c r="AM10" s="103">
        <v>396.56200000000001</v>
      </c>
      <c r="AN10" s="103">
        <v>344.84699999999998</v>
      </c>
      <c r="AO10" s="103">
        <v>304.42500000000001</v>
      </c>
      <c r="AP10" s="103">
        <v>244.78399999999999</v>
      </c>
      <c r="AQ10" s="103">
        <v>125.06399999999999</v>
      </c>
      <c r="AR10" s="103">
        <v>40.377000000000002</v>
      </c>
      <c r="AS10" s="103">
        <v>18.3</v>
      </c>
      <c r="AT10" s="103" t="s">
        <v>107</v>
      </c>
      <c r="AU10" s="103" t="s">
        <v>107</v>
      </c>
      <c r="AV10" s="103" t="s">
        <v>113</v>
      </c>
    </row>
    <row r="11" spans="1:48" s="151" customFormat="1" ht="23.25" customHeight="1">
      <c r="A11" s="152" t="s">
        <v>106</v>
      </c>
      <c r="B11" s="148"/>
      <c r="C11" s="149"/>
      <c r="D11" s="149"/>
      <c r="E11" s="149"/>
      <c r="F11" s="149"/>
      <c r="G11" s="150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</row>
    <row r="12" spans="1:48" s="151" customFormat="1" ht="23.25" customHeight="1">
      <c r="A12" s="152" t="s">
        <v>108</v>
      </c>
      <c r="B12" s="148"/>
      <c r="C12" s="149"/>
      <c r="D12" s="149"/>
      <c r="E12" s="149"/>
      <c r="F12" s="149"/>
      <c r="G12" s="150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</row>
    <row r="13" spans="1:48" s="138" customFormat="1" ht="15" customHeight="1">
      <c r="A13" s="146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</row>
    <row r="14" spans="1:48" s="138" customFormat="1" ht="31.5" customHeight="1">
      <c r="A14" s="147"/>
      <c r="B14" s="91">
        <v>2008</v>
      </c>
      <c r="C14" s="92"/>
      <c r="D14" s="92"/>
      <c r="E14" s="92"/>
      <c r="F14" s="8">
        <v>2009</v>
      </c>
      <c r="G14" s="89"/>
      <c r="H14" s="89"/>
      <c r="I14" s="89"/>
      <c r="J14" s="8">
        <v>2010</v>
      </c>
      <c r="K14" s="89"/>
      <c r="L14" s="89"/>
      <c r="M14" s="89"/>
      <c r="N14" s="8">
        <v>2011</v>
      </c>
      <c r="O14" s="89"/>
      <c r="P14" s="89"/>
      <c r="Q14" s="89"/>
      <c r="R14" s="8">
        <v>2012</v>
      </c>
      <c r="S14" s="105"/>
      <c r="T14" s="105"/>
      <c r="U14" s="105"/>
      <c r="V14" s="8">
        <v>2013</v>
      </c>
      <c r="W14" s="105"/>
      <c r="X14" s="105"/>
      <c r="Y14" s="105"/>
      <c r="Z14" s="8">
        <v>2014</v>
      </c>
      <c r="AA14" s="105"/>
      <c r="AB14" s="105"/>
      <c r="AC14" s="105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7"/>
      <c r="AR14" s="117"/>
      <c r="AS14" s="117"/>
      <c r="AT14" s="8">
        <v>2019</v>
      </c>
      <c r="AU14" s="10"/>
      <c r="AV14" s="10"/>
    </row>
    <row r="15" spans="1:48" s="138" customFormat="1" ht="31.5" customHeight="1">
      <c r="A15" s="93" t="s">
        <v>63</v>
      </c>
      <c r="B15" s="94" t="s">
        <v>30</v>
      </c>
      <c r="C15" s="94" t="s">
        <v>31</v>
      </c>
      <c r="D15" s="94" t="s">
        <v>32</v>
      </c>
      <c r="E15" s="94" t="s">
        <v>33</v>
      </c>
      <c r="F15" s="95" t="s">
        <v>34</v>
      </c>
      <c r="G15" s="95" t="s">
        <v>35</v>
      </c>
      <c r="H15" s="14" t="s">
        <v>36</v>
      </c>
      <c r="I15" s="14" t="s">
        <v>37</v>
      </c>
      <c r="J15" s="14" t="s">
        <v>38</v>
      </c>
      <c r="K15" s="14" t="s">
        <v>39</v>
      </c>
      <c r="L15" s="14" t="s">
        <v>40</v>
      </c>
      <c r="M15" s="14" t="s">
        <v>41</v>
      </c>
      <c r="N15" s="14" t="s">
        <v>42</v>
      </c>
      <c r="O15" s="14" t="s">
        <v>43</v>
      </c>
      <c r="P15" s="14" t="s">
        <v>44</v>
      </c>
      <c r="Q15" s="14" t="s">
        <v>45</v>
      </c>
      <c r="R15" s="15" t="s">
        <v>46</v>
      </c>
      <c r="S15" s="15" t="s">
        <v>47</v>
      </c>
      <c r="T15" s="15" t="s">
        <v>48</v>
      </c>
      <c r="U15" s="15" t="s">
        <v>49</v>
      </c>
      <c r="V15" s="15" t="s">
        <v>50</v>
      </c>
      <c r="W15" s="15" t="s">
        <v>51</v>
      </c>
      <c r="X15" s="15" t="s">
        <v>52</v>
      </c>
      <c r="Y15" s="15" t="s">
        <v>53</v>
      </c>
      <c r="Z15" s="15" t="s">
        <v>54</v>
      </c>
      <c r="AA15" s="15" t="s">
        <v>55</v>
      </c>
      <c r="AB15" s="15" t="s">
        <v>56</v>
      </c>
      <c r="AC15" s="15" t="s">
        <v>57</v>
      </c>
      <c r="AD15" s="15" t="s">
        <v>81</v>
      </c>
      <c r="AE15" s="15" t="s">
        <v>82</v>
      </c>
      <c r="AF15" s="15" t="s">
        <v>83</v>
      </c>
      <c r="AG15" s="15" t="s">
        <v>84</v>
      </c>
      <c r="AH15" s="15" t="s">
        <v>76</v>
      </c>
      <c r="AI15" s="15" t="s">
        <v>80</v>
      </c>
      <c r="AJ15" s="15" t="s">
        <v>91</v>
      </c>
      <c r="AK15" s="15" t="s">
        <v>85</v>
      </c>
      <c r="AL15" s="96" t="s">
        <v>86</v>
      </c>
      <c r="AM15" s="96" t="s">
        <v>92</v>
      </c>
      <c r="AN15" s="96" t="s">
        <v>93</v>
      </c>
      <c r="AO15" s="96" t="s">
        <v>94</v>
      </c>
      <c r="AP15" s="15" t="s">
        <v>95</v>
      </c>
      <c r="AQ15" s="15" t="s">
        <v>96</v>
      </c>
      <c r="AR15" s="15" t="s">
        <v>97</v>
      </c>
      <c r="AS15" s="15" t="s">
        <v>98</v>
      </c>
      <c r="AT15" s="96" t="s">
        <v>99</v>
      </c>
      <c r="AU15" s="96" t="s">
        <v>104</v>
      </c>
      <c r="AV15" s="96" t="s">
        <v>112</v>
      </c>
    </row>
    <row r="16" spans="1:48" s="138" customFormat="1" ht="31.5" customHeight="1">
      <c r="A16" s="106" t="s">
        <v>64</v>
      </c>
      <c r="B16" s="107">
        <v>13940.154</v>
      </c>
      <c r="C16" s="107">
        <v>14165.262000000001</v>
      </c>
      <c r="D16" s="107">
        <v>14258.546</v>
      </c>
      <c r="E16" s="107">
        <v>14365.233</v>
      </c>
      <c r="F16" s="107">
        <v>14547.344999999999</v>
      </c>
      <c r="G16" s="107">
        <v>14712.823</v>
      </c>
      <c r="H16" s="107">
        <v>14904.133</v>
      </c>
      <c r="I16" s="107">
        <v>15016.195</v>
      </c>
      <c r="J16" s="107">
        <v>15367.972</v>
      </c>
      <c r="K16" s="107">
        <v>15594.035</v>
      </c>
      <c r="L16" s="107">
        <v>15831.419</v>
      </c>
      <c r="M16" s="107">
        <v>16040.527</v>
      </c>
      <c r="N16" s="107">
        <v>16298.904</v>
      </c>
      <c r="O16" s="107">
        <v>16296.196</v>
      </c>
      <c r="P16" s="107">
        <v>16391.190999999999</v>
      </c>
      <c r="Q16" s="107">
        <v>16563.157999999999</v>
      </c>
      <c r="R16" s="107">
        <v>16598.771000000001</v>
      </c>
      <c r="S16" s="107">
        <v>16487.919999999998</v>
      </c>
      <c r="T16" s="107">
        <v>16480.089</v>
      </c>
      <c r="U16" s="107">
        <v>16501.638999999999</v>
      </c>
      <c r="V16" s="107">
        <v>16442.523000000001</v>
      </c>
      <c r="W16" s="107">
        <v>16439.187999999998</v>
      </c>
      <c r="X16" s="107">
        <v>16324.991</v>
      </c>
      <c r="Y16" s="107">
        <v>16454.313999999998</v>
      </c>
      <c r="Z16" s="107">
        <v>16471.292000000001</v>
      </c>
      <c r="AA16" s="107">
        <v>16771.989000000001</v>
      </c>
      <c r="AB16" s="107">
        <v>17181.617999999999</v>
      </c>
      <c r="AC16" s="107">
        <v>17300.083999999999</v>
      </c>
      <c r="AD16" s="107">
        <v>17437</v>
      </c>
      <c r="AE16" s="107">
        <v>17636.95</v>
      </c>
      <c r="AF16" s="107">
        <v>17800.572</v>
      </c>
      <c r="AG16" s="107">
        <v>18038</v>
      </c>
      <c r="AH16" s="107">
        <v>18179.772000000001</v>
      </c>
      <c r="AI16" s="107">
        <v>18377.731</v>
      </c>
      <c r="AJ16" s="107">
        <v>18677.947</v>
      </c>
      <c r="AK16" s="107">
        <v>18891.794000000002</v>
      </c>
      <c r="AL16" s="107">
        <v>19234.243999999999</v>
      </c>
      <c r="AM16" s="107">
        <v>19521.112000000001</v>
      </c>
      <c r="AN16" s="107">
        <v>19795.264999999999</v>
      </c>
      <c r="AO16" s="107">
        <v>20015.471000000001</v>
      </c>
      <c r="AP16" s="107">
        <v>20378.29</v>
      </c>
      <c r="AQ16" s="107">
        <v>20662.065999999999</v>
      </c>
      <c r="AR16" s="107">
        <v>20919.766</v>
      </c>
      <c r="AS16" s="107">
        <v>21120.17</v>
      </c>
      <c r="AT16" s="107">
        <v>21333.414000000001</v>
      </c>
      <c r="AU16" s="107">
        <v>21549.275000000001</v>
      </c>
      <c r="AV16" s="107">
        <v>21771.395</v>
      </c>
    </row>
    <row r="17" spans="1:51" s="117" customFormat="1" ht="31.5" customHeight="1">
      <c r="A17" s="108" t="s">
        <v>21</v>
      </c>
      <c r="B17" s="109">
        <v>2343</v>
      </c>
      <c r="C17" s="109">
        <v>2350</v>
      </c>
      <c r="D17" s="109">
        <v>1788</v>
      </c>
      <c r="E17" s="109">
        <v>1463</v>
      </c>
      <c r="F17" s="109">
        <v>1623</v>
      </c>
      <c r="G17" s="109">
        <v>2174</v>
      </c>
      <c r="H17" s="109">
        <v>1816</v>
      </c>
      <c r="I17" s="109">
        <v>1551</v>
      </c>
      <c r="J17" s="109">
        <v>1855</v>
      </c>
      <c r="K17" s="109">
        <v>1752</v>
      </c>
      <c r="L17" s="109">
        <v>2037</v>
      </c>
      <c r="M17" s="109">
        <v>1636</v>
      </c>
      <c r="N17" s="109">
        <v>1684</v>
      </c>
      <c r="O17" s="109">
        <v>1861</v>
      </c>
      <c r="P17" s="109">
        <v>1621</v>
      </c>
      <c r="Q17" s="109">
        <v>1808</v>
      </c>
      <c r="R17" s="109">
        <v>1422.7650000000001</v>
      </c>
      <c r="S17" s="109">
        <v>1270.857</v>
      </c>
      <c r="T17" s="109">
        <v>1501.575</v>
      </c>
      <c r="U17" s="109">
        <v>1280.1020000000001</v>
      </c>
      <c r="V17" s="109">
        <v>1272.5709999999999</v>
      </c>
      <c r="W17" s="109">
        <v>1223.7760000000001</v>
      </c>
      <c r="X17" s="109">
        <v>1080.4349999999999</v>
      </c>
      <c r="Y17" s="109">
        <v>1403.588</v>
      </c>
      <c r="Z17" s="109">
        <v>1476.758</v>
      </c>
      <c r="AA17" s="109">
        <v>1459.374</v>
      </c>
      <c r="AB17" s="109">
        <v>1792.8130000000001</v>
      </c>
      <c r="AC17" s="109">
        <v>1254.809</v>
      </c>
      <c r="AD17" s="109">
        <v>1393</v>
      </c>
      <c r="AE17" s="109">
        <v>1179</v>
      </c>
      <c r="AF17" s="109">
        <v>1115</v>
      </c>
      <c r="AG17" s="109">
        <v>1215</v>
      </c>
      <c r="AH17" s="109">
        <v>1144.5730000000001</v>
      </c>
      <c r="AI17" s="109">
        <v>1133.586</v>
      </c>
      <c r="AJ17" s="109">
        <v>1241.316</v>
      </c>
      <c r="AK17" s="109">
        <v>1243.9079999999999</v>
      </c>
      <c r="AL17" s="109">
        <v>1243.0150000000001</v>
      </c>
      <c r="AM17" s="109">
        <v>1224.7</v>
      </c>
      <c r="AN17" s="109">
        <v>1270.134</v>
      </c>
      <c r="AO17" s="109">
        <v>1263.645</v>
      </c>
      <c r="AP17" s="109">
        <v>1210.749</v>
      </c>
      <c r="AQ17" s="109">
        <v>1159.758</v>
      </c>
      <c r="AR17" s="109">
        <v>1199.6420000000001</v>
      </c>
      <c r="AS17" s="109">
        <v>1178.807</v>
      </c>
      <c r="AT17" s="109">
        <v>1180.921</v>
      </c>
      <c r="AU17" s="109">
        <v>1133.1869999999999</v>
      </c>
      <c r="AV17" s="109">
        <v>1077.4490000000001</v>
      </c>
      <c r="AW17" s="145"/>
      <c r="AX17" s="145"/>
      <c r="AY17" s="145"/>
    </row>
    <row r="18" spans="1:51" s="117" customFormat="1" ht="31.5" customHeight="1">
      <c r="A18" s="108" t="s">
        <v>22</v>
      </c>
      <c r="B18" s="109">
        <v>2124</v>
      </c>
      <c r="C18" s="109">
        <v>2125</v>
      </c>
      <c r="D18" s="109">
        <v>1695</v>
      </c>
      <c r="E18" s="109">
        <v>1356</v>
      </c>
      <c r="F18" s="109">
        <v>1440</v>
      </c>
      <c r="G18" s="109">
        <v>2008</v>
      </c>
      <c r="H18" s="109">
        <v>1625</v>
      </c>
      <c r="I18" s="109">
        <v>1439</v>
      </c>
      <c r="J18" s="109">
        <v>1503</v>
      </c>
      <c r="K18" s="109">
        <v>1526</v>
      </c>
      <c r="L18" s="109">
        <v>1800</v>
      </c>
      <c r="M18" s="109">
        <v>1427</v>
      </c>
      <c r="N18" s="109">
        <v>1426</v>
      </c>
      <c r="O18" s="109">
        <v>1864</v>
      </c>
      <c r="P18" s="109">
        <v>1526</v>
      </c>
      <c r="Q18" s="109">
        <v>1636</v>
      </c>
      <c r="R18" s="109">
        <v>1387.152</v>
      </c>
      <c r="S18" s="109">
        <v>1381.7080000000001</v>
      </c>
      <c r="T18" s="109">
        <v>1509.4059999999999</v>
      </c>
      <c r="U18" s="109">
        <v>1258.5519999999999</v>
      </c>
      <c r="V18" s="109">
        <v>1331.6869999999999</v>
      </c>
      <c r="W18" s="109">
        <v>1227.1110000000001</v>
      </c>
      <c r="X18" s="110">
        <v>1194.6320000000001</v>
      </c>
      <c r="Y18" s="110">
        <v>1274.2650000000001</v>
      </c>
      <c r="Z18" s="110">
        <v>1457.693</v>
      </c>
      <c r="AA18" s="110">
        <v>1158.704</v>
      </c>
      <c r="AB18" s="110">
        <v>1382.8969999999999</v>
      </c>
      <c r="AC18" s="110">
        <v>1111.249</v>
      </c>
      <c r="AD18" s="110">
        <v>1219</v>
      </c>
      <c r="AE18" s="110">
        <v>940</v>
      </c>
      <c r="AF18" s="110">
        <v>938</v>
      </c>
      <c r="AG18" s="110">
        <v>958</v>
      </c>
      <c r="AH18" s="110">
        <v>1003</v>
      </c>
      <c r="AI18" s="110">
        <v>936</v>
      </c>
      <c r="AJ18" s="110">
        <v>941.1</v>
      </c>
      <c r="AK18" s="110">
        <v>1030.0830000000001</v>
      </c>
      <c r="AL18" s="110">
        <v>901</v>
      </c>
      <c r="AM18" s="110">
        <v>938</v>
      </c>
      <c r="AN18" s="110">
        <v>996</v>
      </c>
      <c r="AO18" s="110">
        <v>1043</v>
      </c>
      <c r="AP18" s="110">
        <v>848</v>
      </c>
      <c r="AQ18" s="110">
        <v>875.98199999999997</v>
      </c>
      <c r="AR18" s="110">
        <v>941.94200000000001</v>
      </c>
      <c r="AS18" s="110">
        <v>978.40300000000002</v>
      </c>
      <c r="AT18" s="110">
        <v>967.67700000000002</v>
      </c>
      <c r="AU18" s="110">
        <v>917.32600000000002</v>
      </c>
      <c r="AV18" s="110">
        <v>855.32899999999995</v>
      </c>
    </row>
    <row r="19" spans="1:51" s="117" customFormat="1" ht="31.5" hidden="1" customHeight="1">
      <c r="A19" s="108" t="s">
        <v>23</v>
      </c>
      <c r="B19" s="111">
        <v>291</v>
      </c>
      <c r="C19" s="111">
        <v>288</v>
      </c>
      <c r="D19" s="111">
        <v>352</v>
      </c>
      <c r="E19" s="111">
        <v>243</v>
      </c>
      <c r="F19" s="109">
        <v>214</v>
      </c>
      <c r="G19" s="109">
        <v>229</v>
      </c>
      <c r="H19" s="109">
        <v>306</v>
      </c>
      <c r="I19" s="109">
        <v>217</v>
      </c>
      <c r="J19" s="109">
        <v>195</v>
      </c>
      <c r="K19" s="109">
        <v>141</v>
      </c>
      <c r="L19" s="109">
        <v>136</v>
      </c>
      <c r="M19" s="109">
        <v>64</v>
      </c>
      <c r="N19" s="109">
        <v>69</v>
      </c>
      <c r="O19" s="109">
        <v>210</v>
      </c>
      <c r="P19" s="109">
        <v>105</v>
      </c>
      <c r="Q19" s="109">
        <v>117</v>
      </c>
      <c r="R19" s="109">
        <v>45.597000000000001</v>
      </c>
      <c r="S19" s="112">
        <v>1.6910000000000001</v>
      </c>
      <c r="T19" s="109">
        <v>0.94199999999999995</v>
      </c>
      <c r="U19" s="109">
        <v>0.65800000000000003</v>
      </c>
      <c r="V19" s="109"/>
      <c r="W19" s="112">
        <v>0</v>
      </c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</row>
    <row r="20" spans="1:51" s="117" customFormat="1" ht="31.5" customHeight="1">
      <c r="A20" s="113" t="s">
        <v>24</v>
      </c>
      <c r="B20" s="114">
        <v>219</v>
      </c>
      <c r="C20" s="114">
        <v>225</v>
      </c>
      <c r="D20" s="114">
        <v>93</v>
      </c>
      <c r="E20" s="114">
        <v>107</v>
      </c>
      <c r="F20" s="114">
        <v>182</v>
      </c>
      <c r="G20" s="114">
        <v>165</v>
      </c>
      <c r="H20" s="114">
        <v>191</v>
      </c>
      <c r="I20" s="114">
        <v>112</v>
      </c>
      <c r="J20" s="114">
        <v>352</v>
      </c>
      <c r="K20" s="114">
        <v>226</v>
      </c>
      <c r="L20" s="114">
        <v>237</v>
      </c>
      <c r="M20" s="114">
        <v>209</v>
      </c>
      <c r="N20" s="114">
        <v>258</v>
      </c>
      <c r="O20" s="114">
        <v>-2.7080000000005384</v>
      </c>
      <c r="P20" s="114">
        <v>94.994999999998981</v>
      </c>
      <c r="Q20" s="114">
        <v>171.96700000000055</v>
      </c>
      <c r="R20" s="114">
        <v>35.613</v>
      </c>
      <c r="S20" s="114">
        <v>-110.851</v>
      </c>
      <c r="T20" s="114">
        <v>-7.830999999998312</v>
      </c>
      <c r="U20" s="114">
        <v>21.550000000000182</v>
      </c>
      <c r="V20" s="114">
        <v>-59.115999999998166</v>
      </c>
      <c r="W20" s="114">
        <v>-3.335</v>
      </c>
      <c r="X20" s="114">
        <v>-114.197</v>
      </c>
      <c r="Y20" s="114">
        <f t="shared" ref="Y20:AF20" si="0">Y16-X16</f>
        <v>129.3229999999985</v>
      </c>
      <c r="Z20" s="114">
        <f t="shared" si="0"/>
        <v>16.978000000002794</v>
      </c>
      <c r="AA20" s="114">
        <f t="shared" si="0"/>
        <v>300.69700000000012</v>
      </c>
      <c r="AB20" s="114">
        <f t="shared" si="0"/>
        <v>409.62899999999718</v>
      </c>
      <c r="AC20" s="114">
        <f t="shared" si="0"/>
        <v>118.46600000000035</v>
      </c>
      <c r="AD20" s="114">
        <f t="shared" si="0"/>
        <v>136.91600000000108</v>
      </c>
      <c r="AE20" s="114">
        <f t="shared" si="0"/>
        <v>199.95000000000073</v>
      </c>
      <c r="AF20" s="114">
        <f t="shared" si="0"/>
        <v>163.62199999999939</v>
      </c>
      <c r="AG20" s="114">
        <f>AG16-AF16</f>
        <v>237.42799999999988</v>
      </c>
      <c r="AH20" s="114">
        <f>AH16-AG16</f>
        <v>141.77200000000084</v>
      </c>
      <c r="AI20" s="114">
        <f>AI16-AH16</f>
        <v>197.95899999999892</v>
      </c>
      <c r="AJ20" s="114">
        <f>AJ16-AI16</f>
        <v>300.21600000000035</v>
      </c>
      <c r="AK20" s="114">
        <f>AK16-AJ16</f>
        <v>213.84700000000157</v>
      </c>
      <c r="AL20" s="114">
        <v>342.45</v>
      </c>
      <c r="AM20" s="114">
        <v>286.86799999999999</v>
      </c>
      <c r="AN20" s="114">
        <v>274.15300000000002</v>
      </c>
      <c r="AO20" s="114">
        <v>220.20599999999999</v>
      </c>
      <c r="AP20" s="114">
        <v>362.81900000000002</v>
      </c>
      <c r="AQ20" s="114">
        <v>283.77600000000001</v>
      </c>
      <c r="AR20" s="114">
        <v>257.7</v>
      </c>
      <c r="AS20" s="114">
        <v>200</v>
      </c>
      <c r="AT20" s="114">
        <v>213.244</v>
      </c>
      <c r="AU20" s="114">
        <v>215.86099999999999</v>
      </c>
      <c r="AV20" s="114">
        <v>222.12</v>
      </c>
      <c r="AW20" s="145"/>
      <c r="AX20" s="145"/>
    </row>
    <row r="21" spans="1:51" s="151" customFormat="1" ht="23.25" customHeight="1">
      <c r="A21" s="152" t="s">
        <v>101</v>
      </c>
      <c r="B21" s="148"/>
      <c r="C21" s="149"/>
      <c r="D21" s="149"/>
      <c r="E21" s="149"/>
      <c r="F21" s="149"/>
      <c r="G21" s="150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</row>
    <row r="22" spans="1:51" s="138" customFormat="1" ht="15" customHeight="1">
      <c r="A22" s="146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</row>
    <row r="23" spans="1:51" s="137" customFormat="1" ht="22.5" customHeight="1">
      <c r="A23" s="116" t="s">
        <v>65</v>
      </c>
      <c r="B23" s="115">
        <v>4.3999999999999997E-2</v>
      </c>
      <c r="C23" s="115">
        <v>4.3999999999999997E-2</v>
      </c>
      <c r="D23" s="115">
        <v>3.2000000000000001E-2</v>
      </c>
      <c r="E23" s="115">
        <v>2.5999999999999999E-2</v>
      </c>
      <c r="F23" s="115">
        <v>2.8000000000000001E-2</v>
      </c>
      <c r="G23" s="115">
        <v>4.1000000000000002E-2</v>
      </c>
      <c r="H23" s="115">
        <v>0.03</v>
      </c>
      <c r="I23" s="115">
        <v>2.7E-2</v>
      </c>
      <c r="J23" s="115">
        <v>2.9000000000000001E-2</v>
      </c>
      <c r="K23" s="115">
        <v>0.03</v>
      </c>
      <c r="L23" s="115">
        <v>3.5000000000000003E-2</v>
      </c>
      <c r="M23" s="115">
        <v>2.9000000000000001E-2</v>
      </c>
      <c r="N23" s="115">
        <v>2.8000000000000001E-2</v>
      </c>
      <c r="O23" s="115">
        <v>3.4000000000000002E-2</v>
      </c>
      <c r="P23" s="115">
        <v>2.9000000000000001E-2</v>
      </c>
      <c r="Q23" s="115">
        <v>3.1E-2</v>
      </c>
      <c r="R23" s="115">
        <v>2.6663248735867368E-2</v>
      </c>
      <c r="S23" s="115">
        <v>2.757876650063151E-2</v>
      </c>
      <c r="T23" s="115">
        <v>3.0521776851747524E-2</v>
      </c>
      <c r="U23" s="115">
        <v>2.5000000000000001E-2</v>
      </c>
      <c r="V23" s="115">
        <v>2.7E-2</v>
      </c>
      <c r="W23" s="115">
        <v>2.4896691476263128E-2</v>
      </c>
      <c r="X23" s="115">
        <v>2.4312015742839848E-2</v>
      </c>
      <c r="Y23" s="115">
        <v>2.6296503944819381E-2</v>
      </c>
      <c r="Z23" s="115">
        <v>2.9466095281787591E-2</v>
      </c>
      <c r="AA23" s="115">
        <v>2.3E-2</v>
      </c>
      <c r="AB23" s="115">
        <v>2.7E-2</v>
      </c>
      <c r="AC23" s="115">
        <v>2.1445092682905939E-2</v>
      </c>
      <c r="AD23" s="115">
        <v>2.3E-2</v>
      </c>
      <c r="AE23" s="115">
        <v>1.7999999999999999E-2</v>
      </c>
      <c r="AF23" s="115">
        <v>1.7999999999999999E-2</v>
      </c>
      <c r="AG23" s="115">
        <v>1.7999999999999999E-2</v>
      </c>
      <c r="AH23" s="115">
        <v>1.7999999999999999E-2</v>
      </c>
      <c r="AI23" s="115">
        <v>1.7000000000000001E-2</v>
      </c>
      <c r="AJ23" s="115">
        <v>1.7000000000000001E-2</v>
      </c>
      <c r="AK23" s="115">
        <v>1.7999999999999999E-2</v>
      </c>
      <c r="AL23" s="115">
        <v>1.6E-2</v>
      </c>
      <c r="AM23" s="115">
        <v>1.6E-2</v>
      </c>
      <c r="AN23" s="115">
        <v>1.7000000000000001E-2</v>
      </c>
      <c r="AO23" s="115">
        <v>1.7000000000000001E-2</v>
      </c>
      <c r="AP23" s="115">
        <v>1.4E-2</v>
      </c>
      <c r="AQ23" s="115">
        <v>1.4E-2</v>
      </c>
      <c r="AR23" s="115">
        <v>1.4999999999999999E-2</v>
      </c>
      <c r="AS23" s="115">
        <v>1.6E-2</v>
      </c>
      <c r="AT23" s="115">
        <v>1.4999999999999999E-2</v>
      </c>
      <c r="AU23" s="115">
        <v>1.4E-2</v>
      </c>
      <c r="AV23" s="115">
        <v>1.2999999999999999E-2</v>
      </c>
    </row>
    <row r="24" spans="1:51" s="138" customFormat="1" ht="15" customHeight="1">
      <c r="A24" s="146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</row>
    <row r="25" spans="1:51" s="117" customFormat="1" ht="31.5" customHeight="1">
      <c r="A25" s="90" t="s">
        <v>66</v>
      </c>
      <c r="C25" s="118"/>
      <c r="E25" s="118"/>
      <c r="F25" s="8">
        <v>2009</v>
      </c>
      <c r="G25" s="89"/>
      <c r="H25" s="89"/>
      <c r="I25" s="89"/>
      <c r="J25" s="8">
        <v>2010</v>
      </c>
      <c r="K25" s="89"/>
      <c r="L25" s="89"/>
      <c r="M25" s="89"/>
      <c r="N25" s="8">
        <v>2011</v>
      </c>
      <c r="O25" s="89"/>
      <c r="P25" s="89"/>
      <c r="Q25" s="89"/>
      <c r="R25" s="8">
        <v>2012</v>
      </c>
      <c r="S25" s="89"/>
      <c r="T25" s="89"/>
      <c r="U25" s="89"/>
      <c r="V25" s="8">
        <v>2013</v>
      </c>
      <c r="W25" s="89"/>
      <c r="X25" s="89"/>
      <c r="Y25" s="89"/>
      <c r="Z25" s="8">
        <v>2014</v>
      </c>
      <c r="AA25" s="89"/>
      <c r="AB25" s="89"/>
      <c r="AC25" s="89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</row>
    <row r="26" spans="1:51" s="137" customFormat="1" ht="31.5" customHeight="1">
      <c r="A26" s="119" t="s">
        <v>67</v>
      </c>
      <c r="B26" s="94" t="s">
        <v>30</v>
      </c>
      <c r="C26" s="94" t="s">
        <v>31</v>
      </c>
      <c r="D26" s="94" t="s">
        <v>32</v>
      </c>
      <c r="E26" s="94" t="s">
        <v>33</v>
      </c>
      <c r="F26" s="95" t="s">
        <v>34</v>
      </c>
      <c r="G26" s="95" t="s">
        <v>35</v>
      </c>
      <c r="H26" s="14" t="s">
        <v>36</v>
      </c>
      <c r="I26" s="14" t="s">
        <v>37</v>
      </c>
      <c r="J26" s="14" t="s">
        <v>38</v>
      </c>
      <c r="K26" s="14" t="s">
        <v>39</v>
      </c>
      <c r="L26" s="14" t="s">
        <v>40</v>
      </c>
      <c r="M26" s="14" t="s">
        <v>41</v>
      </c>
      <c r="N26" s="14" t="s">
        <v>42</v>
      </c>
      <c r="O26" s="14" t="s">
        <v>43</v>
      </c>
      <c r="P26" s="14" t="s">
        <v>44</v>
      </c>
      <c r="Q26" s="14" t="s">
        <v>45</v>
      </c>
      <c r="R26" s="15" t="s">
        <v>46</v>
      </c>
      <c r="S26" s="15" t="s">
        <v>47</v>
      </c>
      <c r="T26" s="15" t="s">
        <v>48</v>
      </c>
      <c r="U26" s="15" t="s">
        <v>49</v>
      </c>
      <c r="V26" s="15" t="s">
        <v>50</v>
      </c>
      <c r="W26" s="15" t="s">
        <v>51</v>
      </c>
      <c r="X26" s="15" t="s">
        <v>52</v>
      </c>
      <c r="Y26" s="15" t="s">
        <v>53</v>
      </c>
      <c r="Z26" s="15" t="s">
        <v>54</v>
      </c>
      <c r="AA26" s="15" t="s">
        <v>55</v>
      </c>
      <c r="AB26" s="15" t="s">
        <v>56</v>
      </c>
      <c r="AC26" s="15" t="s">
        <v>57</v>
      </c>
      <c r="AD26" s="15" t="s">
        <v>81</v>
      </c>
      <c r="AE26" s="15" t="s">
        <v>82</v>
      </c>
      <c r="AF26" s="15" t="s">
        <v>83</v>
      </c>
      <c r="AG26" s="15" t="s">
        <v>84</v>
      </c>
      <c r="AH26" s="15" t="s">
        <v>76</v>
      </c>
      <c r="AI26" s="15" t="s">
        <v>80</v>
      </c>
      <c r="AJ26" s="15" t="s">
        <v>91</v>
      </c>
      <c r="AK26" s="15" t="s">
        <v>85</v>
      </c>
      <c r="AL26" s="96" t="s">
        <v>86</v>
      </c>
      <c r="AM26" s="96" t="s">
        <v>92</v>
      </c>
      <c r="AN26" s="96" t="s">
        <v>93</v>
      </c>
      <c r="AO26" s="96" t="s">
        <v>94</v>
      </c>
      <c r="AP26" s="15" t="s">
        <v>95</v>
      </c>
      <c r="AQ26" s="15" t="s">
        <v>96</v>
      </c>
      <c r="AR26" s="15" t="s">
        <v>97</v>
      </c>
      <c r="AS26" s="15" t="s">
        <v>98</v>
      </c>
      <c r="AT26" s="96" t="s">
        <v>99</v>
      </c>
      <c r="AU26" s="96" t="s">
        <v>104</v>
      </c>
      <c r="AV26" s="96" t="s">
        <v>112</v>
      </c>
    </row>
    <row r="27" spans="1:51" s="117" customFormat="1" ht="31.5" hidden="1" customHeight="1">
      <c r="A27" s="120" t="s">
        <v>68</v>
      </c>
      <c r="B27" s="121">
        <v>24144</v>
      </c>
      <c r="C27" s="121">
        <v>24804</v>
      </c>
      <c r="D27" s="121">
        <v>24482</v>
      </c>
      <c r="E27" s="121">
        <v>24609</v>
      </c>
      <c r="F27" s="121">
        <v>23612</v>
      </c>
      <c r="G27" s="121">
        <v>23967</v>
      </c>
      <c r="H27" s="121">
        <v>23983</v>
      </c>
      <c r="I27" s="121">
        <v>24272</v>
      </c>
      <c r="J27" s="121">
        <v>23828</v>
      </c>
      <c r="K27" s="121">
        <v>24100</v>
      </c>
      <c r="L27" s="121">
        <v>23527</v>
      </c>
      <c r="M27" s="121">
        <v>22456</v>
      </c>
      <c r="N27" s="121">
        <v>20424</v>
      </c>
      <c r="O27" s="121">
        <v>19688.828355795322</v>
      </c>
      <c r="P27" s="121">
        <v>18155</v>
      </c>
      <c r="Q27" s="121">
        <v>16574</v>
      </c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</row>
    <row r="28" spans="1:51" s="117" customFormat="1" ht="31.5" hidden="1" customHeight="1">
      <c r="A28" s="122" t="s">
        <v>25</v>
      </c>
      <c r="B28" s="123">
        <v>13122</v>
      </c>
      <c r="C28" s="123">
        <v>12955</v>
      </c>
      <c r="D28" s="123">
        <v>12852</v>
      </c>
      <c r="E28" s="123">
        <v>12753</v>
      </c>
      <c r="F28" s="123">
        <v>12600</v>
      </c>
      <c r="G28" s="123">
        <v>12551</v>
      </c>
      <c r="H28" s="123">
        <v>12573</v>
      </c>
      <c r="I28" s="123">
        <v>13066</v>
      </c>
      <c r="J28" s="123">
        <v>13398</v>
      </c>
      <c r="K28" s="123">
        <v>13717</v>
      </c>
      <c r="L28" s="123">
        <v>13881</v>
      </c>
      <c r="M28" s="123">
        <v>13480</v>
      </c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</row>
    <row r="29" spans="1:51" s="117" customFormat="1" ht="31.5" hidden="1" customHeight="1">
      <c r="A29" s="122" t="s">
        <v>26</v>
      </c>
      <c r="B29" s="123">
        <v>9531</v>
      </c>
      <c r="C29" s="123">
        <v>10354</v>
      </c>
      <c r="D29" s="123">
        <v>10128</v>
      </c>
      <c r="E29" s="123">
        <v>10321</v>
      </c>
      <c r="F29" s="123">
        <v>9481</v>
      </c>
      <c r="G29" s="123">
        <v>10040</v>
      </c>
      <c r="H29" s="123">
        <v>9970</v>
      </c>
      <c r="I29" s="123">
        <v>9874</v>
      </c>
      <c r="J29" s="123">
        <v>9228</v>
      </c>
      <c r="K29" s="123">
        <v>8931</v>
      </c>
      <c r="L29" s="123">
        <v>8184</v>
      </c>
      <c r="M29" s="123">
        <v>7633</v>
      </c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</row>
    <row r="30" spans="1:51" s="139" customFormat="1" ht="31.5" hidden="1" customHeight="1">
      <c r="A30" s="122" t="s">
        <v>69</v>
      </c>
      <c r="B30" s="123">
        <v>1491</v>
      </c>
      <c r="C30" s="123">
        <v>1495</v>
      </c>
      <c r="D30" s="123">
        <v>1501</v>
      </c>
      <c r="E30" s="123">
        <v>1535</v>
      </c>
      <c r="F30" s="123">
        <v>1531</v>
      </c>
      <c r="G30" s="123">
        <v>1375</v>
      </c>
      <c r="H30" s="123">
        <v>1440</v>
      </c>
      <c r="I30" s="123">
        <v>1332</v>
      </c>
      <c r="J30" s="123">
        <v>1202</v>
      </c>
      <c r="K30" s="123">
        <v>1452</v>
      </c>
      <c r="L30" s="123">
        <v>1462</v>
      </c>
      <c r="M30" s="123">
        <v>1343</v>
      </c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</row>
    <row r="31" spans="1:51" s="117" customFormat="1" ht="31.5" hidden="1" customHeight="1">
      <c r="A31" s="124" t="s">
        <v>70</v>
      </c>
      <c r="B31" s="123">
        <v>1491</v>
      </c>
      <c r="C31" s="125">
        <v>0</v>
      </c>
      <c r="D31" s="125">
        <v>0</v>
      </c>
      <c r="E31" s="125">
        <v>0</v>
      </c>
      <c r="F31" s="125">
        <v>0</v>
      </c>
      <c r="G31" s="125">
        <v>0</v>
      </c>
      <c r="H31" s="125">
        <v>0</v>
      </c>
      <c r="I31" s="125">
        <v>0</v>
      </c>
      <c r="J31" s="125">
        <v>0</v>
      </c>
      <c r="K31" s="125">
        <v>0</v>
      </c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</row>
    <row r="32" spans="1:51" s="117" customFormat="1" ht="31.5" hidden="1" customHeight="1">
      <c r="A32" s="120" t="s">
        <v>71</v>
      </c>
      <c r="B32" s="121">
        <v>6103</v>
      </c>
      <c r="C32" s="121">
        <v>6356</v>
      </c>
      <c r="D32" s="121">
        <v>6454</v>
      </c>
      <c r="E32" s="121">
        <v>6384</v>
      </c>
      <c r="F32" s="121">
        <v>6431</v>
      </c>
      <c r="G32" s="121">
        <v>6650</v>
      </c>
      <c r="H32" s="121">
        <v>6915</v>
      </c>
      <c r="I32" s="121">
        <v>7218</v>
      </c>
      <c r="J32" s="121">
        <v>7399</v>
      </c>
      <c r="K32" s="121">
        <v>7785</v>
      </c>
      <c r="L32" s="121">
        <v>8031</v>
      </c>
      <c r="M32" s="121">
        <v>8824</v>
      </c>
      <c r="N32" s="121">
        <v>9823</v>
      </c>
      <c r="O32" s="121">
        <v>10489.424934442295</v>
      </c>
      <c r="P32" s="121">
        <v>11454</v>
      </c>
      <c r="Q32" s="121">
        <v>12252</v>
      </c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</row>
    <row r="33" spans="1:48" s="117" customFormat="1" ht="31.5" hidden="1" customHeight="1">
      <c r="A33" s="122" t="s">
        <v>27</v>
      </c>
      <c r="B33" s="123">
        <v>0</v>
      </c>
      <c r="C33" s="123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</row>
    <row r="34" spans="1:48" s="117" customFormat="1" ht="31.5" hidden="1" customHeight="1">
      <c r="A34" s="124" t="s">
        <v>28</v>
      </c>
      <c r="B34" s="126">
        <v>0</v>
      </c>
      <c r="C34" s="126">
        <v>0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</row>
    <row r="35" spans="1:48" s="117" customFormat="1" ht="8.25" hidden="1" customHeight="1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</row>
    <row r="36" spans="1:48" s="117" customFormat="1" ht="22.5" hidden="1" customHeight="1">
      <c r="A36" s="129" t="s">
        <v>72</v>
      </c>
      <c r="B36" s="130">
        <v>4569</v>
      </c>
      <c r="C36" s="130">
        <v>4794</v>
      </c>
      <c r="D36" s="130">
        <v>4701</v>
      </c>
      <c r="E36" s="130">
        <v>5256</v>
      </c>
      <c r="F36" s="130">
        <v>4627</v>
      </c>
      <c r="G36" s="130">
        <v>4737</v>
      </c>
      <c r="H36" s="130">
        <v>5077</v>
      </c>
      <c r="I36" s="130">
        <v>4859</v>
      </c>
      <c r="J36" s="130">
        <v>4734</v>
      </c>
      <c r="K36" s="130">
        <v>4921</v>
      </c>
      <c r="L36" s="130">
        <v>4957</v>
      </c>
      <c r="M36" s="130">
        <v>3743</v>
      </c>
      <c r="N36" s="130">
        <v>4014</v>
      </c>
      <c r="O36" s="130">
        <v>4117.6622793302331</v>
      </c>
      <c r="P36" s="130">
        <v>3961</v>
      </c>
      <c r="Q36" s="130">
        <v>3943</v>
      </c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</row>
    <row r="37" spans="1:48" s="117" customFormat="1" ht="22.5" hidden="1" customHeight="1">
      <c r="A37" s="131" t="s">
        <v>73</v>
      </c>
      <c r="B37" s="132">
        <v>1034</v>
      </c>
      <c r="C37" s="132">
        <v>976</v>
      </c>
      <c r="D37" s="132">
        <v>685</v>
      </c>
      <c r="E37" s="132">
        <v>592</v>
      </c>
      <c r="F37" s="132">
        <v>631</v>
      </c>
      <c r="G37" s="132">
        <v>792</v>
      </c>
      <c r="H37" s="132">
        <v>659</v>
      </c>
      <c r="I37" s="132">
        <v>536</v>
      </c>
      <c r="J37" s="132">
        <v>698</v>
      </c>
      <c r="K37" s="132">
        <v>695</v>
      </c>
      <c r="L37" s="132">
        <v>805.23578791533646</v>
      </c>
      <c r="M37" s="132">
        <v>649</v>
      </c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</row>
    <row r="38" spans="1:48" s="117" customFormat="1" ht="31.5" customHeight="1">
      <c r="A38" s="104" t="s">
        <v>74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</row>
    <row r="39" spans="1:48" s="140" customFormat="1" ht="31.5" customHeight="1">
      <c r="A39" s="134" t="s">
        <v>75</v>
      </c>
      <c r="B39" s="121">
        <v>30247</v>
      </c>
      <c r="C39" s="121">
        <v>31160</v>
      </c>
      <c r="D39" s="121">
        <v>30936</v>
      </c>
      <c r="E39" s="121">
        <v>30993</v>
      </c>
      <c r="F39" s="121">
        <v>30042</v>
      </c>
      <c r="G39" s="121">
        <v>30617</v>
      </c>
      <c r="H39" s="121">
        <v>30898</v>
      </c>
      <c r="I39" s="121">
        <v>31490</v>
      </c>
      <c r="J39" s="121">
        <v>31227</v>
      </c>
      <c r="K39" s="121">
        <v>31885</v>
      </c>
      <c r="L39" s="121">
        <v>31559</v>
      </c>
      <c r="M39" s="121">
        <v>31281</v>
      </c>
      <c r="N39" s="121">
        <v>30247</v>
      </c>
      <c r="O39" s="121">
        <v>30178.253290237615</v>
      </c>
      <c r="P39" s="121">
        <v>29609</v>
      </c>
      <c r="Q39" s="121">
        <v>28826</v>
      </c>
      <c r="R39" s="121">
        <v>28721.8538639615</v>
      </c>
      <c r="S39" s="121">
        <v>29447.168376640533</v>
      </c>
      <c r="T39" s="121">
        <v>29969.879530835675</v>
      </c>
      <c r="U39" s="121">
        <v>30697</v>
      </c>
      <c r="V39" s="121">
        <v>31116</v>
      </c>
      <c r="W39" s="121">
        <v>31615.485824636093</v>
      </c>
      <c r="X39" s="135">
        <v>31332.085656704545</v>
      </c>
      <c r="Y39" s="135">
        <v>32160.352715576944</v>
      </c>
      <c r="Z39" s="135">
        <v>33621.579504909037</v>
      </c>
      <c r="AA39" s="136">
        <v>34504.23493915375</v>
      </c>
      <c r="AB39" s="136">
        <v>35759.946634758468</v>
      </c>
      <c r="AC39" s="136">
        <v>36284.956880718593</v>
      </c>
      <c r="AD39" s="136">
        <v>34796</v>
      </c>
      <c r="AE39" s="136">
        <v>35357</v>
      </c>
      <c r="AF39" s="136">
        <v>35422</v>
      </c>
      <c r="AG39" s="136">
        <v>35656</v>
      </c>
      <c r="AH39" s="136">
        <v>34969</v>
      </c>
      <c r="AI39" s="136">
        <v>35291</v>
      </c>
      <c r="AJ39" s="136">
        <v>35394</v>
      </c>
      <c r="AK39" s="136">
        <v>35062</v>
      </c>
      <c r="AL39" s="136">
        <v>34537</v>
      </c>
      <c r="AM39" s="136">
        <v>34554</v>
      </c>
      <c r="AN39" s="136">
        <v>34608</v>
      </c>
      <c r="AO39" s="136">
        <v>34077</v>
      </c>
      <c r="AP39" s="136">
        <v>32283</v>
      </c>
      <c r="AQ39" s="136">
        <v>32320</v>
      </c>
      <c r="AR39" s="136">
        <v>32028</v>
      </c>
      <c r="AS39" s="136">
        <v>31450</v>
      </c>
      <c r="AT39" s="136">
        <v>31496</v>
      </c>
      <c r="AU39" s="136">
        <v>31745</v>
      </c>
      <c r="AV39" s="136">
        <v>31912</v>
      </c>
    </row>
    <row r="40" spans="1:48" s="151" customFormat="1" ht="23.25" customHeight="1">
      <c r="A40" s="152" t="s">
        <v>103</v>
      </c>
      <c r="B40" s="148"/>
      <c r="C40" s="149"/>
      <c r="D40" s="149"/>
      <c r="E40" s="149"/>
      <c r="F40" s="149"/>
      <c r="G40" s="150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</row>
    <row r="41" spans="1:48" s="138" customFormat="1" ht="15" customHeight="1">
      <c r="A41" s="146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2019-11-18T00:54:00Z</dcterms:modified>
</cp:coreProperties>
</file>