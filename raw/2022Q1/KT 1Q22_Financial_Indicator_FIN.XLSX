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bbit Hole\1 실적발표\1 실적발표\22 1Q\"/>
    </mc:Choice>
  </mc:AlternateContent>
  <bookViews>
    <workbookView xWindow="9585" yWindow="285" windowWidth="14085" windowHeight="11835" tabRatio="726"/>
  </bookViews>
  <sheets>
    <sheet name="Separate" sheetId="1" r:id="rId1"/>
    <sheet name="Consolidated" sheetId="4" r:id="rId2"/>
  </sheets>
  <definedNames>
    <definedName name="_xlnm.Print_Area" localSheetId="1">Consolidated!$A$1:$W$25</definedName>
    <definedName name="_xlnm.Print_Area" localSheetId="0">Separate!$A$1:$AG$52</definedName>
  </definedNames>
  <calcPr calcId="152511"/>
</workbook>
</file>

<file path=xl/calcChain.xml><?xml version="1.0" encoding="utf-8"?>
<calcChain xmlns="http://schemas.openxmlformats.org/spreadsheetml/2006/main">
  <c r="J39" i="1" l="1"/>
  <c r="J40" i="1" s="1"/>
  <c r="X40" i="1" l="1"/>
  <c r="X39" i="1"/>
  <c r="AD29" i="1" l="1"/>
  <c r="AC29" i="1"/>
  <c r="AB29" i="1" l="1"/>
  <c r="W39" i="1" l="1"/>
  <c r="AA31" i="1" l="1"/>
  <c r="AA30" i="1"/>
  <c r="AA29" i="1"/>
  <c r="W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<sst xmlns="http://schemas.openxmlformats.org/spreadsheetml/2006/main" count="217" uniqueCount="133">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</sst>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0" fontId="2" fillId="4" borderId="0" xfId="0" applyFont="1" applyFill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3" fontId="15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41" fontId="2" fillId="4" borderId="0" xfId="1" applyFont="1" applyFill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80" zoomScaleNormal="80" zoomScaleSheetLayoutView="80" workbookViewId="0">
      <selection activeCell="AL8" sqref="AL8"/>
    </sheetView>
  </sheetViews>
  <sheetFormatPr defaultColWidth="9" defaultRowHeight="16.5"/>
  <cols>
    <col min="1" max="1" width="3.75" style="1" customWidth="1"/>
    <col min="2" max="2" width="27" style="1" customWidth="1"/>
    <col min="3" max="22" width="10" style="1" hidden="1" customWidth="1"/>
    <col min="23" max="32" width="10" style="1" customWidth="1"/>
    <col min="33" max="33" width="11" style="1" customWidth="1"/>
    <col min="34" max="34" width="9" style="1"/>
    <col min="35" max="35" width="11.375" style="1" bestFit="1" customWidth="1"/>
    <col min="36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  <c r="AE5" s="78" t="s">
        <v>131</v>
      </c>
      <c r="AF5" s="78">
        <v>2021</v>
      </c>
      <c r="AG5" s="78" t="s">
        <v>132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  <c r="AD6" s="38">
        <v>4664704.8349430002</v>
      </c>
      <c r="AE6" s="75">
        <v>4669.5</v>
      </c>
      <c r="AF6" s="63">
        <v>18387400</v>
      </c>
      <c r="AG6" s="81">
        <v>4608.3891131680002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3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3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3">
        <v>15504100</v>
      </c>
      <c r="AG7" s="81">
        <v>3962.1465626669997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3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3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3">
        <v>2883400</v>
      </c>
      <c r="AG8" s="81">
        <v>646.24255050100021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  <c r="AD9" s="38">
        <v>259127.32789499999</v>
      </c>
      <c r="AE9" s="75">
        <v>92</v>
      </c>
      <c r="AF9" s="63">
        <v>1068200</v>
      </c>
      <c r="AG9" s="20">
        <v>429.89303969299999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  <c r="AD10" s="39">
        <v>228693.39180099999</v>
      </c>
      <c r="AE10" s="76">
        <v>130.6</v>
      </c>
      <c r="AF10" s="64">
        <v>990500</v>
      </c>
      <c r="AG10" s="21">
        <v>390.96877686300002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  <c r="AD11" s="38">
        <v>1061082.123504</v>
      </c>
      <c r="AE11" s="75">
        <v>891.8</v>
      </c>
      <c r="AF11" s="63">
        <v>4285900</v>
      </c>
      <c r="AG11" s="75">
        <v>1217.1465895239999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  <c r="AD12" s="26">
        <v>0.22747036759014305</v>
      </c>
      <c r="AE12" s="56">
        <v>0.191</v>
      </c>
      <c r="AF12" s="67">
        <v>0.23308935965928043</v>
      </c>
      <c r="AG12" s="56">
        <v>0.26411541205279909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  <c r="AE14" s="78" t="s">
        <v>131</v>
      </c>
      <c r="AF14" s="78">
        <v>2021</v>
      </c>
      <c r="AG14" s="78" t="s">
        <v>132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3">
        <v>2855100</v>
      </c>
      <c r="AG15" s="38">
        <v>346400</v>
      </c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3">
        <v>1236200</v>
      </c>
      <c r="AG16" s="38">
        <v>188700</v>
      </c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3">
        <v>723600</v>
      </c>
      <c r="AG17" s="38">
        <v>43700</v>
      </c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3">
        <v>433900</v>
      </c>
      <c r="AG18" s="38">
        <v>50600</v>
      </c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4">
        <v>461400</v>
      </c>
      <c r="AG19" s="39">
        <v>63400</v>
      </c>
      <c r="AH19" s="52"/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 s="40">
        <v>801954.79560900002</v>
      </c>
      <c r="AE20" s="40">
        <v>799800</v>
      </c>
      <c r="AF20" s="70">
        <v>3217700</v>
      </c>
      <c r="AG20" s="40">
        <v>787300</v>
      </c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  <c r="AE22" s="78" t="s">
        <v>131</v>
      </c>
      <c r="AF22" s="78">
        <v>2021</v>
      </c>
      <c r="AG22" s="78" t="s">
        <v>132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  <c r="AD23" s="38">
        <v>7143123.2330109999</v>
      </c>
      <c r="AE23" s="38">
        <v>6949700</v>
      </c>
      <c r="AF23" s="63">
        <v>6949700</v>
      </c>
      <c r="AG23" s="38">
        <v>7275200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  <c r="AD24" s="39">
        <v>5313672.7414610004</v>
      </c>
      <c r="AE24" s="39">
        <v>5240900</v>
      </c>
      <c r="AF24" s="64">
        <v>5240900</v>
      </c>
      <c r="AG24" s="39">
        <v>5779200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  <c r="AD25" s="30">
        <v>0.39096218632545254</v>
      </c>
      <c r="AE25" s="30">
        <v>0.378</v>
      </c>
      <c r="AF25" s="66">
        <v>0.378</v>
      </c>
      <c r="AG25" s="30">
        <v>0.41899999999999998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  <c r="AD26" s="34"/>
      <c r="AE26" s="34"/>
      <c r="AF26" s="68">
        <v>1.2228288302647552</v>
      </c>
      <c r="AG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  <c r="AE28" s="78" t="s">
        <v>131</v>
      </c>
      <c r="AF28" s="78">
        <v>2021</v>
      </c>
      <c r="AG28" s="78" t="s">
        <v>132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261111.808-AC30</f>
        <v>234241.24400000001</v>
      </c>
      <c r="AD29" s="29">
        <f>261111.808-AD30</f>
        <v>234375.81399999998</v>
      </c>
      <c r="AE29" s="29">
        <v>235808.14600000001</v>
      </c>
      <c r="AF29" s="71">
        <v>235808.14600000001</v>
      </c>
      <c r="AG29" s="87">
        <v>235808.14600000001</v>
      </c>
      <c r="AH29" s="85"/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  <c r="AD30" s="29">
        <v>26735.993999999999</v>
      </c>
      <c r="AE30" s="29">
        <v>25303.662</v>
      </c>
      <c r="AF30" s="71">
        <v>25303.662</v>
      </c>
      <c r="AG30" s="87">
        <v>25303.662</v>
      </c>
      <c r="AI30" s="86"/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2">
        <v>30600</v>
      </c>
      <c r="AG31" s="60">
        <v>35700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  <c r="AE32" s="29"/>
      <c r="AF32" s="71">
        <v>1910</v>
      </c>
      <c r="AG32" s="82"/>
    </row>
    <row r="33" spans="1:32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  <c r="AD33" s="43"/>
      <c r="AE33" s="43"/>
      <c r="AF33" s="73">
        <v>450.39355885999998</v>
      </c>
    </row>
    <row r="34" spans="1:32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  <c r="AD34" s="27"/>
      <c r="AE34" s="27"/>
      <c r="AF34" s="74">
        <v>450.39355885999998</v>
      </c>
    </row>
    <row r="35" spans="1:32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  <c r="AE35" s="42"/>
      <c r="AF35" s="72"/>
    </row>
    <row r="36" spans="1:32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  <c r="AE36" s="26"/>
      <c r="AF36" s="79">
        <v>0.45</v>
      </c>
    </row>
    <row r="37" spans="1:32">
      <c r="G37" s="35"/>
      <c r="H37" s="29"/>
      <c r="W37" s="35"/>
      <c r="X37" s="35"/>
      <c r="Y37" s="35"/>
      <c r="Z37" s="35"/>
      <c r="AE37" s="35"/>
    </row>
    <row r="38" spans="1:32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8">
        <v>2020</v>
      </c>
      <c r="X38" s="78">
        <v>2021</v>
      </c>
    </row>
    <row r="39" spans="1:32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1"/>
      <c r="P39" s="35"/>
      <c r="Q39" s="35"/>
      <c r="R39" s="35"/>
      <c r="U39" s="62"/>
      <c r="W39" s="29">
        <f>AA10*10^3/AA29</f>
        <v>2751.7951483473948</v>
      </c>
      <c r="X39" s="71">
        <f>AF10*10^3/AF29</f>
        <v>4200.4486138489892</v>
      </c>
    </row>
    <row r="40" spans="1:32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8.7215794440270482</v>
      </c>
      <c r="X40" s="74">
        <f>AF31/X39</f>
        <v>7.2849361611307417</v>
      </c>
    </row>
    <row r="41" spans="1:32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2.8382569414446635</v>
      </c>
      <c r="X41" s="74">
        <v>3.0870812022679015</v>
      </c>
      <c r="Z41" s="35"/>
      <c r="AA41" s="35"/>
      <c r="AB41" s="35"/>
      <c r="AC41" s="35"/>
      <c r="AD41" s="35"/>
      <c r="AE41" s="35"/>
      <c r="AF41" s="35"/>
    </row>
    <row r="42" spans="1:32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5.1001935897905554E-2</v>
      </c>
      <c r="X42" s="66">
        <v>7.3184129265445971E-2</v>
      </c>
      <c r="Z42" s="35"/>
      <c r="AA42" s="35"/>
      <c r="AB42" s="35"/>
      <c r="AC42" s="35"/>
      <c r="AD42" s="35"/>
      <c r="AE42" s="35"/>
      <c r="AF42" s="35"/>
    </row>
    <row r="43" spans="1:32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2.3665953080260198E-2</v>
      </c>
      <c r="X43" s="67">
        <v>3.4517699795207184E-2</v>
      </c>
      <c r="Z43" s="35"/>
      <c r="AA43" s="35"/>
      <c r="AB43" s="35"/>
      <c r="AC43" s="35"/>
      <c r="AD43" s="35"/>
      <c r="AE43" s="35"/>
      <c r="AF43" s="35"/>
    </row>
    <row r="44" spans="1:32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6"/>
  <sheetViews>
    <sheetView showGridLines="0" view="pageBreakPreview" zoomScale="80" zoomScaleNormal="80" zoomScaleSheetLayoutView="80" workbookViewId="0">
      <selection activeCell="X25" sqref="X25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22" width="9.25" style="1" customWidth="1"/>
    <col min="23" max="23" width="10.625" style="1" customWidth="1"/>
    <col min="24" max="16384" width="9" style="1"/>
  </cols>
  <sheetData>
    <row r="2" spans="1:25" ht="20.25">
      <c r="B2" s="10" t="s">
        <v>9</v>
      </c>
    </row>
    <row r="3" spans="1:25">
      <c r="B3" s="11" t="s">
        <v>12</v>
      </c>
    </row>
    <row r="4" spans="1:25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25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</row>
    <row r="6" spans="1:25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  <c r="U6" s="38">
        <v>6623600</v>
      </c>
      <c r="V6" s="63">
        <v>24898000</v>
      </c>
      <c r="W6" s="38">
        <v>6277700</v>
      </c>
    </row>
    <row r="7" spans="1:25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  <c r="U7" s="38">
        <v>5758100</v>
      </c>
      <c r="V7" s="63">
        <v>21727500</v>
      </c>
      <c r="W7" s="38">
        <v>5565500</v>
      </c>
    </row>
    <row r="8" spans="1:25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  <c r="U8" s="38">
        <v>865500</v>
      </c>
      <c r="V8" s="63">
        <v>3170500</v>
      </c>
      <c r="W8" s="38">
        <v>712200</v>
      </c>
    </row>
    <row r="9" spans="1:25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  <c r="U9" s="38">
        <v>369400</v>
      </c>
      <c r="V9" s="63">
        <v>1671800</v>
      </c>
      <c r="W9" s="38">
        <v>626600</v>
      </c>
    </row>
    <row r="10" spans="1:25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  <c r="U10" s="38">
        <v>424400</v>
      </c>
      <c r="V10" s="63">
        <v>1459400</v>
      </c>
      <c r="W10" s="38">
        <v>455400</v>
      </c>
    </row>
    <row r="11" spans="1:25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  <c r="U11" s="39">
        <v>404600</v>
      </c>
      <c r="V11" s="64">
        <v>1356900</v>
      </c>
      <c r="W11" s="39">
        <v>409800</v>
      </c>
    </row>
    <row r="12" spans="1:25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  <c r="U12" s="44">
        <v>1283500</v>
      </c>
      <c r="V12" s="65">
        <v>5279500</v>
      </c>
      <c r="W12" s="44">
        <v>1518300</v>
      </c>
    </row>
    <row r="13" spans="1:25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5" spans="1:25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</row>
    <row r="16" spans="1:25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  <c r="U16" s="30">
        <v>5.6000000000000001E-2</v>
      </c>
      <c r="V16" s="66">
        <v>6.7000000000000004E-2</v>
      </c>
      <c r="W16" s="19">
        <v>0.1</v>
      </c>
      <c r="Y16" s="19"/>
    </row>
    <row r="17" spans="1:23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  <c r="U17" s="30">
        <v>0.19400000000000001</v>
      </c>
      <c r="V17" s="66">
        <v>0.21199999999999999</v>
      </c>
      <c r="W17" s="83">
        <v>0.24199999999999999</v>
      </c>
    </row>
    <row r="18" spans="1:23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7">
        <v>0.26200000000000001</v>
      </c>
      <c r="W18" s="26">
        <v>0.29099999999999998</v>
      </c>
    </row>
    <row r="21" spans="1:23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</row>
    <row r="22" spans="1:23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  <c r="U22" s="38">
        <v>8437700</v>
      </c>
      <c r="V22" s="63">
        <v>8437700</v>
      </c>
      <c r="W22" s="38">
        <v>8894900</v>
      </c>
    </row>
    <row r="23" spans="1:23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  <c r="U23" s="39">
        <v>5418100</v>
      </c>
      <c r="V23" s="64">
        <v>5418100</v>
      </c>
      <c r="W23" s="38">
        <v>6212700</v>
      </c>
    </row>
    <row r="24" spans="1:23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  <c r="U24" s="30">
        <v>0.32700000000000001</v>
      </c>
      <c r="V24" s="66">
        <v>0.32700000000000001</v>
      </c>
      <c r="W24" s="84">
        <v>0.374</v>
      </c>
    </row>
    <row r="25" spans="1:23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  <c r="U25" s="34"/>
      <c r="V25" s="68">
        <v>1.0262622088034821</v>
      </c>
    </row>
    <row r="26" spans="1:23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2021-05-10T04:59:32Z</cp:lastPrinted>
  <dcterms:created xsi:type="dcterms:W3CDTF">2012-01-10T00:01:55Z</dcterms:created>
  <dcterms:modified xsi:type="dcterms:W3CDTF">2022-08-09T13:42:41Z</dcterms:modified>
</cp:coreProperties>
</file>