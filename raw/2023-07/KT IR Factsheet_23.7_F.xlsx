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'Fixed(M)'!$A$1:$BP$39</definedName>
    <definedName name="_xlnm.Print_Area" localSheetId="1">'Wireless(Q)'!$A$1:$W$38</definedName>
  </definedNames>
  <calcPr calcId="162913"/>
</workbook>
</file>

<file path=xl/calcChain.xml><?xml version="1.0" encoding="utf-8"?>
<calcChain xmlns="http://schemas.openxmlformats.org/spreadsheetml/2006/main">
  <c r="BP33" i="1" l="1"/>
  <c r="BP18" i="1"/>
  <c r="BP6" i="1"/>
  <c r="BP4" i="1"/>
  <c r="BP8" i="1"/>
  <c r="BP12" i="1"/>
  <c r="BP16" i="1"/>
  <c r="BP31" i="1"/>
  <c r="W17" i="2" l="1"/>
  <c r="BO6" i="1" l="1"/>
  <c r="W13" i="2"/>
  <c r="BO4" i="1"/>
  <c r="BO8" i="1"/>
  <c r="BO12" i="1"/>
  <c r="BO16" i="1"/>
  <c r="BO18" i="1"/>
  <c r="BO31" i="1"/>
  <c r="BO33" i="1"/>
  <c r="BN6" i="1" l="1"/>
  <c r="BK31" i="1"/>
  <c r="BL31" i="1" s="1"/>
  <c r="BM31" i="1" s="1"/>
  <c r="BN31" i="1" s="1"/>
  <c r="BK16" i="1"/>
  <c r="BL16" i="1" s="1"/>
  <c r="BM16" i="1" s="1"/>
  <c r="BN16" i="1" s="1"/>
  <c r="BL4" i="1"/>
  <c r="BM4" i="1" s="1"/>
  <c r="BN4" i="1" s="1"/>
  <c r="BK4" i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<sst xmlns="http://schemas.openxmlformats.org/spreadsheetml/2006/main" count="136" uniqueCount="98">
  <si>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</si>
  <si>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</si>
  <si>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</si>
  <si>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</si>
  <si>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</si>
  <si>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</si>
  <si>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</si>
  <si>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</si>
  <si>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</si>
  <si>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</si>
  <si>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</si>
  <si>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</si>
  <si>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</si>
  <si>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</si>
  <si>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</si>
  <si>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</si>
  <si>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</si>
  <si>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</si>
  <si>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</si>
  <si>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</si>
  <si>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</si>
  <si>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</si>
  <si>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</si>
  <si>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</si>
  <si>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</si>
  <si>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</si>
  <si>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</si>
  <si>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</si>
  <si>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</si>
  <si>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</si>
  <si>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</si>
  <si>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</si>
  <si>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</si>
  <si>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</si>
  <si>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</si>
  <si>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</si>
  <si>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</si>
  <si>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</si>
  <si>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</si>
  <si>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</si>
  <si>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</si>
  <si>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</si>
  <si>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</si>
  <si>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</si>
  <si>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</si>
  <si>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</si>
  <si>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</si>
  <si>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</si>
  <si>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</si>
  <si>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</si>
  <si>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</si>
  <si>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</si>
  <si>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</si>
  <si>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</si>
  <si>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</si>
  <si>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</si>
  <si>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</si>
  <si>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</si>
  <si>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</si>
  <si>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</si>
  <si>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</si>
  <si>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</si>
  <si>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</si>
  <si>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</si>
  <si>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</si>
  <si>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</si>
  <si>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</si>
  <si>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</si>
  <si>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</si>
  <si>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</si>
  <si>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</si>
  <si>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</si>
  <si>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</si>
  <si>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</si>
  <si>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</si>
  <si>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</si>
  <si>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</si>
  <si>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</si>
  <si>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</si>
  <si>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</si>
  <si>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</si>
  <si>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</si>
  <si>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</si>
  <si>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</si>
  <si>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</si>
  <si>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</si>
  <si>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</si>
  <si>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</si>
  <si>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</si>
  <si>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</si>
  <si>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</si>
  <si>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</si>
  <si>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</si>
  <si>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</si>
  <si>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</si>
  <si>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* Genie TV M/S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</si>
  <si>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Genie TV subscriber and market share information above are different from those on MSIT's subscriber disclosure</t>
    </r>
    <phoneticPr fontId="5" type="noConversion"/>
  </si>
  <si>
    <t>KT Monthly Factsheet (July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</si>
</sst>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3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67</xdr:col>
      <xdr:colOff>13190</xdr:colOff>
      <xdr:row>0</xdr:row>
      <xdr:rowOff>66303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026572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208053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386198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P39"/>
  <sheetViews>
    <sheetView showGridLines="0" tabSelected="1" view="pageBreakPreview" zoomScale="55" zoomScaleNormal="70" zoomScaleSheetLayoutView="55" workbookViewId="0">
      <selection activeCell="BO15" sqref="BO15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7" hidden="1" customWidth="1"/>
    <col min="30" max="30" width="10.69921875" style="97" hidden="1" customWidth="1"/>
    <col min="31" max="32" width="11.69921875" style="97" hidden="1" customWidth="1"/>
    <col min="33" max="38" width="10.8984375" style="97" hidden="1" customWidth="1"/>
    <col min="39" max="49" width="11" style="97" hidden="1" customWidth="1"/>
    <col min="50" max="52" width="11" style="97" customWidth="1"/>
    <col min="53" max="53" width="10.296875" style="97" customWidth="1"/>
    <col min="54" max="55" width="11" style="97" customWidth="1"/>
    <col min="56" max="56" width="10.59765625" style="97" customWidth="1"/>
    <col min="57" max="58" width="10.8984375" style="97" customWidth="1"/>
    <col min="59" max="59" width="11" style="97" customWidth="1"/>
    <col min="60" max="61" width="11.19921875" style="97" customWidth="1"/>
    <col min="62" max="64" width="11.19921875" style="97" bestFit="1" customWidth="1"/>
    <col min="65" max="65" width="10.796875" style="97" bestFit="1" customWidth="1"/>
    <col min="66" max="68" width="11" style="97" customWidth="1"/>
    <col min="69" max="16384" width="9" style="97"/>
  </cols>
  <sheetData>
    <row r="1" spans="1:68" ht="44.25" customHeight="1">
      <c r="A1" s="1" t="s">
        <v>97</v>
      </c>
    </row>
    <row r="2" spans="1:68" ht="29.25" customHeight="1">
      <c r="A2" s="2"/>
    </row>
    <row r="3" spans="1:68" s="4" customFormat="1" ht="24.75" customHeight="1">
      <c r="A3" s="7" t="s">
        <v>92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68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P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</row>
    <row r="5" spans="1:68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2">
        <v>13328900</v>
      </c>
      <c r="AR5" s="102">
        <v>13284630</v>
      </c>
      <c r="AS5" s="102">
        <v>13250333</v>
      </c>
      <c r="AT5" s="102">
        <v>13217593</v>
      </c>
      <c r="AU5" s="102">
        <v>13192273</v>
      </c>
      <c r="AV5" s="102">
        <v>13148008</v>
      </c>
      <c r="AW5" s="102">
        <v>13095613</v>
      </c>
      <c r="AX5" s="102">
        <v>13050003</v>
      </c>
      <c r="AY5" s="102">
        <v>13021420</v>
      </c>
      <c r="AZ5" s="102">
        <v>12969337</v>
      </c>
      <c r="BA5" s="102">
        <v>12931911</v>
      </c>
      <c r="BB5" s="102">
        <v>12892055</v>
      </c>
      <c r="BC5" s="102">
        <v>12841719</v>
      </c>
      <c r="BD5" s="102">
        <v>12797833</v>
      </c>
      <c r="BE5" s="102">
        <v>12743865</v>
      </c>
      <c r="BF5" s="102">
        <v>12708883</v>
      </c>
      <c r="BG5" s="102">
        <v>12671316</v>
      </c>
      <c r="BH5" s="102">
        <v>12625048</v>
      </c>
      <c r="BI5" s="102">
        <v>12581257</v>
      </c>
      <c r="BJ5" s="102">
        <v>12538182</v>
      </c>
      <c r="BK5" s="102">
        <v>12489792</v>
      </c>
      <c r="BL5" s="102">
        <v>12445495</v>
      </c>
      <c r="BM5" s="102">
        <v>12404472</v>
      </c>
      <c r="BN5" s="102">
        <v>12354285</v>
      </c>
      <c r="BO5" s="102">
        <v>12309903</v>
      </c>
      <c r="BP5" s="102">
        <v>12263824</v>
      </c>
    </row>
    <row r="6" spans="1:68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P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</row>
    <row r="7" spans="1:68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</row>
    <row r="8" spans="1:68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P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</row>
    <row r="9" spans="1:68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3">
        <v>9199897</v>
      </c>
      <c r="AR9" s="103">
        <v>9154600</v>
      </c>
      <c r="AS9" s="103">
        <v>9110388</v>
      </c>
      <c r="AT9" s="103">
        <v>9069568</v>
      </c>
      <c r="AU9" s="103">
        <v>9029435</v>
      </c>
      <c r="AV9" s="103">
        <v>8984196</v>
      </c>
      <c r="AW9" s="103">
        <v>8937351</v>
      </c>
      <c r="AX9" s="103">
        <v>8896608</v>
      </c>
      <c r="AY9" s="103">
        <v>8857981</v>
      </c>
      <c r="AZ9" s="103">
        <v>8814512</v>
      </c>
      <c r="BA9" s="103">
        <v>8773945</v>
      </c>
      <c r="BB9" s="103">
        <v>8730702</v>
      </c>
      <c r="BC9" s="103">
        <v>8685168</v>
      </c>
      <c r="BD9" s="103">
        <v>8643706</v>
      </c>
      <c r="BE9" s="103">
        <v>8591982</v>
      </c>
      <c r="BF9" s="103">
        <v>8551024</v>
      </c>
      <c r="BG9" s="103">
        <v>8513108</v>
      </c>
      <c r="BH9" s="103">
        <v>8473186</v>
      </c>
      <c r="BI9" s="103">
        <v>8430136</v>
      </c>
      <c r="BJ9" s="103">
        <v>8384207</v>
      </c>
      <c r="BK9" s="103">
        <v>8336527</v>
      </c>
      <c r="BL9" s="103">
        <v>8285428</v>
      </c>
      <c r="BM9" s="103">
        <v>8244472</v>
      </c>
      <c r="BN9" s="103">
        <v>8199053</v>
      </c>
      <c r="BO9" s="103">
        <v>8154495</v>
      </c>
      <c r="BP9" s="103">
        <v>8110019</v>
      </c>
    </row>
    <row r="10" spans="1:68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3">
        <v>969559</v>
      </c>
      <c r="AR10" s="103">
        <v>966010</v>
      </c>
      <c r="AS10" s="103">
        <v>965551</v>
      </c>
      <c r="AT10" s="103">
        <v>967692</v>
      </c>
      <c r="AU10" s="103">
        <v>973577</v>
      </c>
      <c r="AV10" s="103">
        <v>973559</v>
      </c>
      <c r="AW10" s="103">
        <v>967611</v>
      </c>
      <c r="AX10" s="103">
        <v>964649</v>
      </c>
      <c r="AY10" s="103">
        <v>965864</v>
      </c>
      <c r="AZ10" s="103">
        <v>953754</v>
      </c>
      <c r="BA10" s="103">
        <v>952903</v>
      </c>
      <c r="BB10" s="103">
        <v>949364</v>
      </c>
      <c r="BC10" s="103">
        <v>948383</v>
      </c>
      <c r="BD10" s="103">
        <v>950455</v>
      </c>
      <c r="BE10" s="103">
        <v>946103</v>
      </c>
      <c r="BF10" s="103">
        <v>948839</v>
      </c>
      <c r="BG10" s="103">
        <v>947433</v>
      </c>
      <c r="BH10" s="103">
        <v>947550</v>
      </c>
      <c r="BI10" s="103">
        <v>945552</v>
      </c>
      <c r="BJ10" s="103">
        <v>947970</v>
      </c>
      <c r="BK10" s="103">
        <v>944357</v>
      </c>
      <c r="BL10" s="103">
        <v>940738</v>
      </c>
      <c r="BM10" s="103">
        <v>939118</v>
      </c>
      <c r="BN10" s="103">
        <v>935470</v>
      </c>
      <c r="BO10" s="103">
        <v>934759</v>
      </c>
      <c r="BP10" s="103">
        <v>932718</v>
      </c>
    </row>
    <row r="11" spans="1:68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</row>
    <row r="12" spans="1:68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P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</row>
    <row r="13" spans="1:68" s="95" customFormat="1" ht="23.25" customHeight="1">
      <c r="A13" s="96" t="s">
        <v>45</v>
      </c>
      <c r="BB13" s="18"/>
      <c r="BC13" s="18"/>
      <c r="BD13" s="18"/>
      <c r="BE13" s="18"/>
      <c r="BF13" s="18"/>
      <c r="BG13" s="18"/>
    </row>
    <row r="14" spans="1:68" s="86" customFormat="1" ht="15" customHeight="1">
      <c r="A14" s="92"/>
      <c r="BB14" s="18"/>
      <c r="BC14" s="18"/>
      <c r="BD14" s="18"/>
      <c r="BE14" s="18"/>
      <c r="BF14" s="18"/>
      <c r="BG14" s="18"/>
    </row>
    <row r="15" spans="1:68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68" s="98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P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</row>
    <row r="17" spans="1:68" s="99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</row>
    <row r="18" spans="1:68" s="99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P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</row>
    <row r="19" spans="1:68" s="99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</row>
    <row r="20" spans="1:68" s="99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</row>
    <row r="21" spans="1:68" s="99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</row>
    <row r="22" spans="1:68" s="100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</row>
    <row r="23" spans="1:68" s="100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3"/>
      <c r="AZ23" s="118"/>
      <c r="BA23" s="1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</row>
    <row r="24" spans="1:68" s="100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4">
        <v>0.41220288308621295</v>
      </c>
      <c r="AZ24" s="114">
        <v>0.41228567976633756</v>
      </c>
      <c r="BA24" s="114">
        <v>0.4137088816778956</v>
      </c>
      <c r="BB24" s="114">
        <v>0.41330366572044053</v>
      </c>
      <c r="BC24" s="114">
        <v>0.41304436598347161</v>
      </c>
      <c r="BD24" s="114">
        <v>0.41310995566236136</v>
      </c>
      <c r="BE24" s="114">
        <v>0.41312808711008941</v>
      </c>
      <c r="BF24" s="114">
        <v>0.41320834003779888</v>
      </c>
      <c r="BG24" s="114">
        <v>0.41321297906412308</v>
      </c>
      <c r="BH24" s="114">
        <v>0.41321379650940276</v>
      </c>
      <c r="BI24" s="114">
        <v>0.41324031911346965</v>
      </c>
      <c r="BJ24" s="114">
        <v>0.41296274636315655</v>
      </c>
      <c r="BK24" s="114">
        <v>0.41281183483440748</v>
      </c>
      <c r="BL24" s="114">
        <v>0.41245763914593414</v>
      </c>
      <c r="BM24" s="114">
        <v>0.4120922359861543</v>
      </c>
      <c r="BN24" s="114">
        <v>0.41177397246397651</v>
      </c>
      <c r="BO24" s="114">
        <v>0.41144018945115207</v>
      </c>
      <c r="BP24" s="115"/>
    </row>
    <row r="25" spans="1:68" s="100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34">
        <v>0.28542186906607764</v>
      </c>
      <c r="BO25" s="34">
        <v>0.28557747769370057</v>
      </c>
      <c r="BP25" s="116"/>
    </row>
    <row r="26" spans="1:68" s="100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34">
        <v>0.21118973511694106</v>
      </c>
      <c r="BO26" s="34">
        <v>0.21146000374952653</v>
      </c>
      <c r="BP26" s="116"/>
    </row>
    <row r="27" spans="1:68" s="100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36">
        <v>9.1614423353004792E-2</v>
      </c>
      <c r="BO27" s="36">
        <v>9.1522329105620831E-2</v>
      </c>
      <c r="BP27" s="117"/>
    </row>
    <row r="28" spans="1:68" s="95" customFormat="1" ht="23.25" customHeight="1">
      <c r="A28" s="96" t="s">
        <v>42</v>
      </c>
      <c r="BC28" s="34"/>
    </row>
    <row r="29" spans="1:68" s="86" customFormat="1" ht="15" customHeight="1">
      <c r="A29" s="92"/>
      <c r="BC29" s="111"/>
    </row>
    <row r="30" spans="1:68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68" s="98" customFormat="1" ht="29.25" customHeight="1">
      <c r="A31" s="6" t="s">
        <v>94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P31" si="6">EDATE(BK31,1)</f>
        <v>44986</v>
      </c>
      <c r="BM31" s="7">
        <f t="shared" si="6"/>
        <v>45017</v>
      </c>
      <c r="BN31" s="7">
        <f t="shared" si="6"/>
        <v>45047</v>
      </c>
      <c r="BO31" s="7">
        <f t="shared" si="6"/>
        <v>45078</v>
      </c>
      <c r="BP31" s="7">
        <f t="shared" si="6"/>
        <v>45108</v>
      </c>
    </row>
    <row r="32" spans="1:68" s="99" customFormat="1" ht="29.25" customHeight="1">
      <c r="A32" s="23" t="s">
        <v>94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  <c r="BO32" s="10">
        <v>9470298</v>
      </c>
      <c r="BP32" s="10">
        <v>9463661</v>
      </c>
    </row>
    <row r="33" spans="1:68" s="99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 t="shared" ref="BI33:BP33" si="7">BI32-BH32</f>
        <v>-2469</v>
      </c>
      <c r="BJ33" s="12">
        <f t="shared" si="7"/>
        <v>3911</v>
      </c>
      <c r="BK33" s="12">
        <f t="shared" si="7"/>
        <v>7254</v>
      </c>
      <c r="BL33" s="12">
        <f t="shared" si="7"/>
        <v>7846</v>
      </c>
      <c r="BM33" s="12">
        <f t="shared" si="7"/>
        <v>9409</v>
      </c>
      <c r="BN33" s="12">
        <f t="shared" si="7"/>
        <v>3241</v>
      </c>
      <c r="BO33" s="12">
        <f t="shared" si="7"/>
        <v>6507</v>
      </c>
      <c r="BP33" s="12">
        <f t="shared" si="7"/>
        <v>-6637</v>
      </c>
    </row>
    <row r="34" spans="1:68" s="99" customFormat="1" ht="29.25" customHeight="1">
      <c r="A34" s="39" t="s">
        <v>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68" s="99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7">
        <v>0.44509689620003495</v>
      </c>
      <c r="AW35" s="42">
        <v>0.44325321313712218</v>
      </c>
      <c r="AX35" s="41">
        <v>0.44292092639560732</v>
      </c>
      <c r="AY35" s="119">
        <v>0.44248657609643421</v>
      </c>
      <c r="AZ35" s="119">
        <v>0.44209342116511613</v>
      </c>
      <c r="BA35" s="123">
        <v>0.44205898112784636</v>
      </c>
      <c r="BB35" s="123">
        <v>0.44224229760198136</v>
      </c>
      <c r="BC35" s="123">
        <v>0.44310997453728629</v>
      </c>
      <c r="BD35" s="123">
        <v>0.44299142234231825</v>
      </c>
      <c r="BE35" s="123">
        <v>0.44304749480669564</v>
      </c>
      <c r="BF35" s="123">
        <v>0.4429035988019559</v>
      </c>
      <c r="BG35" s="123">
        <v>0.44279637195491967</v>
      </c>
      <c r="BH35" s="123">
        <v>0.44257021556454496</v>
      </c>
      <c r="BI35" s="123">
        <v>0.44304021920230657</v>
      </c>
      <c r="BJ35" s="123">
        <v>0.44240604831516278</v>
      </c>
      <c r="BK35" s="123">
        <v>0.44183670313557638</v>
      </c>
      <c r="BL35" s="123">
        <v>0.44141351660789491</v>
      </c>
      <c r="BM35" s="123">
        <v>0.44101521954801459</v>
      </c>
      <c r="BN35" s="123">
        <v>0.4405854963071984</v>
      </c>
      <c r="BO35" s="123">
        <v>0.44026449626354119</v>
      </c>
      <c r="BP35" s="120"/>
    </row>
    <row r="36" spans="1:68" s="99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08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43">
        <v>0.30872494469631401</v>
      </c>
      <c r="BO36" s="43">
        <v>0.30906882851581979</v>
      </c>
      <c r="BP36" s="121"/>
    </row>
    <row r="37" spans="1:68" s="99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09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46">
        <v>0.25068955899648759</v>
      </c>
      <c r="BO37" s="46">
        <v>0.25066667522063901</v>
      </c>
      <c r="BP37" s="122"/>
    </row>
    <row r="38" spans="1:68" s="95" customFormat="1" ht="23.25" customHeight="1">
      <c r="A38" s="96" t="s">
        <v>96</v>
      </c>
    </row>
    <row r="39" spans="1:68" s="86" customFormat="1" ht="15" customHeight="1">
      <c r="A39" s="92"/>
    </row>
  </sheetData>
  <phoneticPr fontId="2" type="noConversion"/>
  <pageMargins left="0.7" right="0.7" top="0.75" bottom="0.75" header="0.3" footer="0.3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38"/>
  <sheetViews>
    <sheetView showGridLines="0" view="pageBreakPreview" zoomScale="55" zoomScaleNormal="60" zoomScaleSheetLayoutView="55" workbookViewId="0">
      <selection activeCell="AB23" sqref="AB23"/>
    </sheetView>
  </sheetViews>
  <sheetFormatPr defaultColWidth="9" defaultRowHeight="18.75" customHeight="1"/>
  <cols>
    <col min="1" max="1" width="41.3984375" style="89" customWidth="1"/>
    <col min="2" max="2" width="14.8984375" style="89" hidden="1" customWidth="1"/>
    <col min="3" max="3" width="15.09765625" style="89" hidden="1" customWidth="1"/>
    <col min="4" max="4" width="14.8984375" style="89" hidden="1" customWidth="1"/>
    <col min="5" max="13" width="15.09765625" style="89" hidden="1" customWidth="1"/>
    <col min="14" max="18" width="15.09765625" style="89" customWidth="1"/>
    <col min="19" max="19" width="14.3984375" style="89" customWidth="1"/>
    <col min="20" max="20" width="13.5" style="89" customWidth="1"/>
    <col min="21" max="23" width="15" style="89" customWidth="1"/>
    <col min="24" max="16384" width="9" style="89"/>
  </cols>
  <sheetData>
    <row r="1" spans="1:26" s="90" customFormat="1" ht="46.5" customHeight="1">
      <c r="A1" s="1" t="s">
        <v>97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48"/>
      <c r="T1" s="48"/>
      <c r="U1" s="48"/>
      <c r="V1" s="48"/>
      <c r="W1" s="48"/>
    </row>
    <row r="2" spans="1:26" s="69" customFormat="1" ht="27.75" customHeight="1"/>
    <row r="3" spans="1:26" s="69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48"/>
    </row>
    <row r="4" spans="1:26" s="85" customFormat="1" ht="31.5" customHeight="1">
      <c r="A4" s="50" t="s">
        <v>26</v>
      </c>
      <c r="B4" s="51" t="s">
        <v>49</v>
      </c>
      <c r="C4" s="51" t="s">
        <v>50</v>
      </c>
      <c r="D4" s="51" t="s">
        <v>51</v>
      </c>
      <c r="E4" s="51" t="s">
        <v>52</v>
      </c>
      <c r="F4" s="7" t="s">
        <v>47</v>
      </c>
      <c r="G4" s="7" t="s">
        <v>48</v>
      </c>
      <c r="H4" s="7" t="s">
        <v>46</v>
      </c>
      <c r="I4" s="7" t="s">
        <v>66</v>
      </c>
      <c r="J4" s="51" t="s">
        <v>68</v>
      </c>
      <c r="K4" s="51" t="s">
        <v>71</v>
      </c>
      <c r="L4" s="51" t="s">
        <v>72</v>
      </c>
      <c r="M4" s="51" t="s">
        <v>75</v>
      </c>
      <c r="N4" s="7" t="s">
        <v>77</v>
      </c>
      <c r="O4" s="7" t="s">
        <v>78</v>
      </c>
      <c r="P4" s="7" t="s">
        <v>79</v>
      </c>
      <c r="Q4" s="7" t="s">
        <v>80</v>
      </c>
      <c r="R4" s="51" t="s">
        <v>84</v>
      </c>
      <c r="S4" s="51" t="s">
        <v>87</v>
      </c>
      <c r="T4" s="51" t="s">
        <v>88</v>
      </c>
      <c r="U4" s="51" t="s">
        <v>89</v>
      </c>
      <c r="V4" s="7" t="s">
        <v>91</v>
      </c>
      <c r="W4" s="7" t="s">
        <v>93</v>
      </c>
      <c r="X4" s="7"/>
      <c r="Y4" s="7"/>
    </row>
    <row r="5" spans="1:26" s="86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5">
        <v>21976.346000000001</v>
      </c>
      <c r="K5" s="105">
        <v>22133.418000000001</v>
      </c>
      <c r="L5" s="105">
        <v>22332.94</v>
      </c>
      <c r="M5" s="105">
        <v>22305.196</v>
      </c>
      <c r="N5" s="138">
        <v>22427.228999999999</v>
      </c>
      <c r="O5" s="138">
        <v>22621.043000000001</v>
      </c>
      <c r="P5" s="138">
        <v>22735.419000000002</v>
      </c>
      <c r="Q5" s="138">
        <v>22798.972000000002</v>
      </c>
      <c r="R5" s="138">
        <v>23059.858</v>
      </c>
      <c r="S5" s="138">
        <v>23408.751</v>
      </c>
      <c r="T5" s="138">
        <v>23826.744999999999</v>
      </c>
      <c r="U5" s="137">
        <v>24062220</v>
      </c>
      <c r="V5" s="137">
        <v>24331780</v>
      </c>
      <c r="W5" s="137">
        <v>24620713</v>
      </c>
    </row>
    <row r="6" spans="1:26" s="86" customFormat="1" ht="31.5" customHeight="1">
      <c r="A6" s="127" t="s">
        <v>28</v>
      </c>
      <c r="B6" s="128">
        <v>4511.5660000000007</v>
      </c>
      <c r="C6" s="129">
        <v>4438.2840000000015</v>
      </c>
      <c r="D6" s="129">
        <v>4308.1679999999978</v>
      </c>
      <c r="E6" s="129">
        <v>4149.0349999999999</v>
      </c>
      <c r="F6" s="128">
        <v>3940.6840000000002</v>
      </c>
      <c r="G6" s="128">
        <v>3747.395</v>
      </c>
      <c r="H6" s="128">
        <v>3546.9850000000001</v>
      </c>
      <c r="I6" s="128">
        <v>3349.8649999999998</v>
      </c>
      <c r="J6" s="130">
        <v>3163.1990000000001</v>
      </c>
      <c r="K6" s="130">
        <v>2942.4279999999999</v>
      </c>
      <c r="L6" s="130">
        <v>2746.404</v>
      </c>
      <c r="M6" s="130">
        <v>2512.4290000000001</v>
      </c>
      <c r="N6" s="130">
        <v>2283.9279999999999</v>
      </c>
      <c r="O6" s="131">
        <v>2103.7159999999999</v>
      </c>
      <c r="P6" s="131">
        <v>1957.6659999999999</v>
      </c>
      <c r="Q6" s="132">
        <v>1759.5460000000021</v>
      </c>
      <c r="R6" s="132">
        <v>1657.1880000000001</v>
      </c>
      <c r="S6" s="132">
        <v>1572.25</v>
      </c>
      <c r="T6" s="132">
        <v>1472.1420000000001</v>
      </c>
      <c r="U6" s="133">
        <v>1318400</v>
      </c>
      <c r="V6" s="133">
        <v>1165108</v>
      </c>
      <c r="W6" s="133">
        <v>1087070</v>
      </c>
    </row>
    <row r="7" spans="1:26" s="86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6">
        <v>17034.603999999999</v>
      </c>
      <c r="K7" s="106">
        <v>16953.513999999999</v>
      </c>
      <c r="L7" s="106">
        <v>16773.654999999999</v>
      </c>
      <c r="M7" s="106">
        <v>16173.61</v>
      </c>
      <c r="N7" s="106">
        <v>15739.071</v>
      </c>
      <c r="O7" s="106">
        <v>15503.661</v>
      </c>
      <c r="P7" s="106">
        <v>15160.852000000001</v>
      </c>
      <c r="Q7" s="110">
        <v>14661.755999999999</v>
      </c>
      <c r="R7" s="110">
        <v>14453.78</v>
      </c>
      <c r="S7" s="110">
        <v>14357.119000000001</v>
      </c>
      <c r="T7" s="110">
        <v>14392.453</v>
      </c>
      <c r="U7" s="124">
        <v>14260749</v>
      </c>
      <c r="V7" s="124">
        <v>14229983</v>
      </c>
      <c r="W7" s="124">
        <v>14255821</v>
      </c>
    </row>
    <row r="8" spans="1:26" s="86" customFormat="1" ht="31.5" customHeight="1">
      <c r="A8" s="56" t="s">
        <v>43</v>
      </c>
      <c r="B8" s="57" t="s">
        <v>44</v>
      </c>
      <c r="C8" s="57" t="s">
        <v>44</v>
      </c>
      <c r="D8" s="57" t="s">
        <v>44</v>
      </c>
      <c r="E8" s="57" t="s">
        <v>44</v>
      </c>
      <c r="F8" s="57" t="s">
        <v>44</v>
      </c>
      <c r="G8" s="57">
        <v>419.31599999999997</v>
      </c>
      <c r="H8" s="57">
        <v>1055.1600000000001</v>
      </c>
      <c r="I8" s="57">
        <v>1419.338</v>
      </c>
      <c r="J8" s="134">
        <v>1778.5429999999999</v>
      </c>
      <c r="K8" s="134">
        <v>2237.4760000000001</v>
      </c>
      <c r="L8" s="134">
        <v>2812.8809999999999</v>
      </c>
      <c r="M8" s="134">
        <v>3619.1570000000002</v>
      </c>
      <c r="N8" s="134">
        <v>4404.2299999999996</v>
      </c>
      <c r="O8" s="134">
        <v>5013.6660000000002</v>
      </c>
      <c r="P8" s="134">
        <v>5616.9009999999998</v>
      </c>
      <c r="Q8" s="135">
        <v>6377.67</v>
      </c>
      <c r="R8" s="135">
        <v>6948.89</v>
      </c>
      <c r="S8" s="135">
        <v>7479.3819999999996</v>
      </c>
      <c r="T8" s="135">
        <v>7962.15</v>
      </c>
      <c r="U8" s="136">
        <v>8483071</v>
      </c>
      <c r="V8" s="136">
        <v>8936689</v>
      </c>
      <c r="W8" s="136">
        <v>9277822</v>
      </c>
    </row>
    <row r="9" spans="1:26" s="95" customFormat="1" ht="23.25" customHeight="1">
      <c r="A9" s="96" t="s">
        <v>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26" s="86" customFormat="1" ht="15" customHeight="1">
      <c r="A10" s="9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6" s="86" customFormat="1" ht="31.5" customHeight="1">
      <c r="A11" s="93"/>
      <c r="B11" s="3">
        <v>2018</v>
      </c>
      <c r="C11" s="69"/>
      <c r="D11" s="69"/>
      <c r="E11" s="69"/>
      <c r="F11" s="3">
        <v>2019</v>
      </c>
      <c r="G11" s="5"/>
      <c r="H11" s="5"/>
      <c r="I11" s="5"/>
      <c r="J11" s="3">
        <v>2020</v>
      </c>
      <c r="K11" s="69"/>
      <c r="L11" s="69"/>
      <c r="M11" s="69"/>
      <c r="N11" s="3">
        <v>2021</v>
      </c>
      <c r="O11" s="69"/>
      <c r="P11" s="69"/>
      <c r="Q11" s="69"/>
      <c r="R11" s="3">
        <v>2022</v>
      </c>
      <c r="V11" s="3">
        <v>2023</v>
      </c>
    </row>
    <row r="12" spans="1:26" s="86" customFormat="1" ht="31.5" customHeight="1">
      <c r="A12" s="50" t="s">
        <v>30</v>
      </c>
      <c r="B12" s="51" t="s">
        <v>53</v>
      </c>
      <c r="C12" s="51" t="s">
        <v>54</v>
      </c>
      <c r="D12" s="51" t="s">
        <v>55</v>
      </c>
      <c r="E12" s="51" t="s">
        <v>56</v>
      </c>
      <c r="F12" s="7" t="s">
        <v>57</v>
      </c>
      <c r="G12" s="7" t="s">
        <v>48</v>
      </c>
      <c r="H12" s="7" t="s">
        <v>58</v>
      </c>
      <c r="I12" s="7" t="s">
        <v>66</v>
      </c>
      <c r="J12" s="51" t="s">
        <v>69</v>
      </c>
      <c r="K12" s="51" t="s">
        <v>71</v>
      </c>
      <c r="L12" s="51" t="s">
        <v>73</v>
      </c>
      <c r="M12" s="51" t="s">
        <v>76</v>
      </c>
      <c r="N12" s="7" t="s">
        <v>77</v>
      </c>
      <c r="O12" s="7" t="s">
        <v>78</v>
      </c>
      <c r="P12" s="7" t="s">
        <v>79</v>
      </c>
      <c r="Q12" s="7" t="s">
        <v>80</v>
      </c>
      <c r="R12" s="51" t="s">
        <v>84</v>
      </c>
      <c r="S12" s="51" t="s">
        <v>87</v>
      </c>
      <c r="T12" s="51" t="s">
        <v>88</v>
      </c>
      <c r="U12" s="51" t="s">
        <v>89</v>
      </c>
      <c r="V12" s="7" t="s">
        <v>91</v>
      </c>
      <c r="W12" s="7" t="s">
        <v>93</v>
      </c>
      <c r="X12" s="7"/>
      <c r="Y12" s="7"/>
      <c r="Z12" s="7"/>
    </row>
    <row r="13" spans="1:26" s="86" customFormat="1" ht="31.5" customHeight="1">
      <c r="A13" s="52" t="s">
        <v>31</v>
      </c>
      <c r="B13" s="59">
        <v>20378.29</v>
      </c>
      <c r="C13" s="59">
        <v>20662.065999999999</v>
      </c>
      <c r="D13" s="59">
        <v>20919.766</v>
      </c>
      <c r="E13" s="59">
        <v>21120.17</v>
      </c>
      <c r="F13" s="59">
        <v>21333.414000000001</v>
      </c>
      <c r="G13" s="59">
        <v>21549.275000000001</v>
      </c>
      <c r="H13" s="59">
        <v>21771.395</v>
      </c>
      <c r="I13" s="59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4">
        <v>22621.043000000001</v>
      </c>
      <c r="P13" s="104">
        <v>22735.419000000002</v>
      </c>
      <c r="Q13" s="104">
        <v>22798.972000000002</v>
      </c>
      <c r="R13" s="104">
        <v>23059.858</v>
      </c>
      <c r="S13" s="104">
        <v>23408.751</v>
      </c>
      <c r="T13" s="104">
        <v>23826.744999999999</v>
      </c>
      <c r="U13" s="137">
        <f>U5</f>
        <v>24062220</v>
      </c>
      <c r="V13" s="137">
        <f>V5</f>
        <v>24331780</v>
      </c>
      <c r="W13" s="137">
        <f>W5</f>
        <v>24620713</v>
      </c>
    </row>
    <row r="14" spans="1:26" s="69" customFormat="1" ht="31.5" customHeight="1">
      <c r="A14" s="60" t="s">
        <v>19</v>
      </c>
      <c r="B14" s="61">
        <v>1210.749</v>
      </c>
      <c r="C14" s="61">
        <v>1159.758</v>
      </c>
      <c r="D14" s="61">
        <v>1199.6420000000001</v>
      </c>
      <c r="E14" s="61">
        <v>1178.807</v>
      </c>
      <c r="F14" s="61">
        <v>1180.921</v>
      </c>
      <c r="G14" s="61">
        <v>1133.1869999999999</v>
      </c>
      <c r="H14" s="61">
        <v>1077.4490000000001</v>
      </c>
      <c r="I14" s="61">
        <v>1066.9449999999999</v>
      </c>
      <c r="J14" s="61">
        <v>938.32399999999996</v>
      </c>
      <c r="K14" s="61">
        <v>1030.0619999999999</v>
      </c>
      <c r="L14" s="61">
        <v>1032.7149999999999</v>
      </c>
      <c r="M14" s="61">
        <v>998.63499999999999</v>
      </c>
      <c r="N14" s="61">
        <v>1165.3820000000001</v>
      </c>
      <c r="O14" s="61">
        <v>1040.6130000000001</v>
      </c>
      <c r="P14" s="61">
        <v>985.726</v>
      </c>
      <c r="Q14" s="63">
        <v>1063.7280000000001</v>
      </c>
      <c r="R14" s="91">
        <v>1039.1780000000001</v>
      </c>
      <c r="S14" s="91">
        <v>1009.644</v>
      </c>
      <c r="T14" s="91">
        <v>983.87699999999995</v>
      </c>
      <c r="U14" s="125">
        <v>990482</v>
      </c>
      <c r="V14" s="125">
        <v>978590</v>
      </c>
      <c r="W14" s="125">
        <v>935846</v>
      </c>
    </row>
    <row r="15" spans="1:26" s="69" customFormat="1" ht="31.5" customHeight="1">
      <c r="A15" s="60" t="s">
        <v>85</v>
      </c>
      <c r="B15" s="62">
        <v>848</v>
      </c>
      <c r="C15" s="62">
        <v>875.98199999999997</v>
      </c>
      <c r="D15" s="62">
        <v>941.94200000000001</v>
      </c>
      <c r="E15" s="62">
        <v>978.40300000000002</v>
      </c>
      <c r="F15" s="62">
        <v>967.67700000000002</v>
      </c>
      <c r="G15" s="62">
        <v>917.32600000000002</v>
      </c>
      <c r="H15" s="62">
        <v>855.32899999999995</v>
      </c>
      <c r="I15" s="62">
        <v>916.62400000000002</v>
      </c>
      <c r="J15" s="62">
        <v>883.70399999999995</v>
      </c>
      <c r="K15" s="62">
        <v>872.9899999999999</v>
      </c>
      <c r="L15" s="62">
        <v>833.19299999999998</v>
      </c>
      <c r="M15" s="62">
        <v>1026.3789999999999</v>
      </c>
      <c r="N15" s="62">
        <v>1043.3489999999999</v>
      </c>
      <c r="O15" s="62">
        <v>846.79899999999998</v>
      </c>
      <c r="P15" s="62">
        <v>871.35</v>
      </c>
      <c r="Q15" s="62">
        <v>1000.175</v>
      </c>
      <c r="R15" s="91">
        <v>778.29200000000003</v>
      </c>
      <c r="S15" s="91">
        <v>660.75099999999998</v>
      </c>
      <c r="T15" s="91">
        <v>565.88300000000004</v>
      </c>
      <c r="U15" s="125">
        <v>755007</v>
      </c>
      <c r="V15" s="125">
        <v>709030</v>
      </c>
      <c r="W15" s="125">
        <v>646913</v>
      </c>
    </row>
    <row r="16" spans="1:26" s="69" customFormat="1" ht="31.5" hidden="1" customHeight="1">
      <c r="A16" s="60" t="s">
        <v>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91">
        <v>0</v>
      </c>
      <c r="S16" s="91"/>
      <c r="T16" s="91"/>
      <c r="U16" s="125"/>
      <c r="V16" s="125"/>
      <c r="W16" s="125"/>
    </row>
    <row r="17" spans="1:25" s="69" customFormat="1" ht="31.5" customHeight="1">
      <c r="A17" s="65" t="s">
        <v>21</v>
      </c>
      <c r="B17" s="66">
        <v>362.81900000000002</v>
      </c>
      <c r="C17" s="66">
        <v>283.77600000000001</v>
      </c>
      <c r="D17" s="66">
        <v>257.7</v>
      </c>
      <c r="E17" s="66">
        <v>200</v>
      </c>
      <c r="F17" s="66">
        <v>213.244</v>
      </c>
      <c r="G17" s="66">
        <v>215.86099999999999</v>
      </c>
      <c r="H17" s="66">
        <v>222.12</v>
      </c>
      <c r="I17" s="66">
        <v>150.33099999999999</v>
      </c>
      <c r="J17" s="66">
        <v>54.62</v>
      </c>
      <c r="K17" s="66">
        <v>157.072</v>
      </c>
      <c r="L17" s="66">
        <v>199.52199999999999</v>
      </c>
      <c r="M17" s="66">
        <v>-27.744</v>
      </c>
      <c r="N17" s="66">
        <v>122.033</v>
      </c>
      <c r="O17" s="66">
        <v>193.81399999999999</v>
      </c>
      <c r="P17" s="66">
        <v>114.376</v>
      </c>
      <c r="Q17" s="66">
        <v>63.552999999999997</v>
      </c>
      <c r="R17" s="66">
        <v>260.88600000000002</v>
      </c>
      <c r="S17" s="66">
        <v>348.89299999999997</v>
      </c>
      <c r="T17" s="66">
        <v>417.99400000000003</v>
      </c>
      <c r="U17" s="126">
        <f>U14-U15</f>
        <v>235475</v>
      </c>
      <c r="V17" s="126">
        <f>V14-V15</f>
        <v>269560</v>
      </c>
      <c r="W17" s="126">
        <f>W14-W15</f>
        <v>288933</v>
      </c>
    </row>
    <row r="18" spans="1:25" s="95" customFormat="1" ht="23.25" customHeight="1">
      <c r="A18" s="96" t="s">
        <v>41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1:25" s="86" customFormat="1" ht="15" customHeight="1">
      <c r="A19" s="92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25" s="85" customFormat="1" ht="22.5" customHeight="1">
      <c r="A20" s="68" t="s">
        <v>32</v>
      </c>
      <c r="B20" s="67">
        <v>1.4E-2</v>
      </c>
      <c r="C20" s="67">
        <v>1.4E-2</v>
      </c>
      <c r="D20" s="67">
        <v>1.4999999999999999E-2</v>
      </c>
      <c r="E20" s="67">
        <v>1.6E-2</v>
      </c>
      <c r="F20" s="67">
        <v>1.4999999999999999E-2</v>
      </c>
      <c r="G20" s="67">
        <v>1.4E-2</v>
      </c>
      <c r="H20" s="67">
        <v>1.2999999999999999E-2</v>
      </c>
      <c r="I20" s="67">
        <v>1.4E-2</v>
      </c>
      <c r="J20" s="67">
        <v>1.2999999999999999E-2</v>
      </c>
      <c r="K20" s="67">
        <v>1.2999999999999999E-2</v>
      </c>
      <c r="L20" s="67">
        <v>1.2E-2</v>
      </c>
      <c r="M20" s="67">
        <v>1.5310262761664223E-2</v>
      </c>
      <c r="N20" s="67">
        <v>1.5550109763663028E-2</v>
      </c>
      <c r="O20" s="67">
        <v>1.25361604827423E-2</v>
      </c>
      <c r="P20" s="67">
        <v>1.2808841791040556E-2</v>
      </c>
      <c r="Q20" s="67">
        <v>1.4644803567079931E-2</v>
      </c>
      <c r="R20" s="67">
        <v>1.1304262762234623E-2</v>
      </c>
      <c r="S20" s="67">
        <v>9.4559979034747315E-3</v>
      </c>
      <c r="T20" s="67">
        <v>7.9782304268682866E-3</v>
      </c>
      <c r="U20" s="67">
        <v>1.0500032326489847E-2</v>
      </c>
      <c r="V20" s="67">
        <v>9.7553535711889568E-3</v>
      </c>
      <c r="W20" s="67">
        <v>8.8170921111614866E-3</v>
      </c>
    </row>
    <row r="21" spans="1:25" s="86" customFormat="1" ht="15" customHeight="1">
      <c r="A21" s="92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25" s="69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86"/>
    </row>
    <row r="23" spans="1:25" s="85" customFormat="1" ht="31.5" customHeight="1">
      <c r="A23" s="70" t="s">
        <v>34</v>
      </c>
      <c r="B23" s="51" t="s">
        <v>59</v>
      </c>
      <c r="C23" s="51" t="s">
        <v>60</v>
      </c>
      <c r="D23" s="51" t="s">
        <v>61</v>
      </c>
      <c r="E23" s="51" t="s">
        <v>62</v>
      </c>
      <c r="F23" s="7" t="s">
        <v>63</v>
      </c>
      <c r="G23" s="7" t="s">
        <v>64</v>
      </c>
      <c r="H23" s="7" t="s">
        <v>65</v>
      </c>
      <c r="I23" s="7" t="s">
        <v>67</v>
      </c>
      <c r="J23" s="51" t="s">
        <v>70</v>
      </c>
      <c r="K23" s="51" t="s">
        <v>71</v>
      </c>
      <c r="L23" s="51" t="s">
        <v>74</v>
      </c>
      <c r="M23" s="51" t="s">
        <v>75</v>
      </c>
      <c r="N23" s="7" t="s">
        <v>77</v>
      </c>
      <c r="O23" s="7" t="s">
        <v>78</v>
      </c>
      <c r="P23" s="7" t="s">
        <v>79</v>
      </c>
      <c r="Q23" s="7" t="s">
        <v>80</v>
      </c>
      <c r="R23" s="51" t="s">
        <v>84</v>
      </c>
      <c r="S23" s="51" t="s">
        <v>87</v>
      </c>
      <c r="T23" s="51" t="s">
        <v>88</v>
      </c>
      <c r="U23" s="51" t="s">
        <v>89</v>
      </c>
      <c r="V23" s="7" t="s">
        <v>91</v>
      </c>
      <c r="W23" s="7" t="s">
        <v>93</v>
      </c>
      <c r="X23" s="7"/>
      <c r="Y23" s="7"/>
    </row>
    <row r="24" spans="1:25" s="69" customFormat="1" ht="31.5" hidden="1" customHeight="1">
      <c r="A24" s="71" t="s">
        <v>35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</row>
    <row r="25" spans="1:25" s="69" customFormat="1" ht="31.5" hidden="1" customHeight="1">
      <c r="A25" s="73" t="s">
        <v>22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1:25" s="69" customFormat="1" ht="31.5" hidden="1" customHeight="1">
      <c r="A26" s="73" t="s">
        <v>23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1:25" s="87" customFormat="1" ht="31.5" hidden="1" customHeight="1">
      <c r="A27" s="73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5" s="69" customFormat="1" ht="31.5" hidden="1" customHeight="1">
      <c r="A28" s="75" t="s">
        <v>37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5" s="69" customFormat="1" ht="31.5" hidden="1" customHeight="1">
      <c r="A29" s="71" t="s">
        <v>38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5" s="69" customFormat="1" ht="31.5" hidden="1" customHeight="1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spans="1:25" s="69" customFormat="1" ht="31.5" hidden="1" customHeight="1">
      <c r="A31" s="75" t="s">
        <v>25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5" s="69" customFormat="1" ht="8.25" hidden="1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</row>
    <row r="33" spans="1:23" s="69" customFormat="1" ht="22.5" hidden="1" customHeight="1">
      <c r="A33" s="80" t="s">
        <v>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spans="1:23" s="69" customFormat="1" ht="22.5" hidden="1" customHeight="1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spans="1:23" s="88" customFormat="1" ht="31.5" customHeight="1">
      <c r="A35" s="112" t="s">
        <v>86</v>
      </c>
      <c r="B35" s="84"/>
      <c r="C35" s="84"/>
      <c r="D35" s="84"/>
      <c r="E35" s="84"/>
      <c r="F35" s="84"/>
      <c r="G35" s="84"/>
      <c r="H35" s="84"/>
      <c r="I35" s="84"/>
      <c r="J35" s="84">
        <v>31047.535232711263</v>
      </c>
      <c r="K35" s="84">
        <v>30656.944430499378</v>
      </c>
      <c r="L35" s="84">
        <v>30815.52324865833</v>
      </c>
      <c r="M35" s="84">
        <v>31109</v>
      </c>
      <c r="N35" s="84">
        <v>31151</v>
      </c>
      <c r="O35" s="84">
        <v>31429</v>
      </c>
      <c r="P35" s="84">
        <v>31815</v>
      </c>
      <c r="Q35" s="84">
        <v>31825</v>
      </c>
      <c r="R35" s="84">
        <v>32308.38615118797</v>
      </c>
      <c r="S35" s="84">
        <v>32446</v>
      </c>
      <c r="T35" s="84">
        <v>32916.998590049174</v>
      </c>
      <c r="U35" s="84">
        <v>33542</v>
      </c>
      <c r="V35" s="84">
        <v>33771</v>
      </c>
      <c r="W35" s="84">
        <v>33948</v>
      </c>
    </row>
    <row r="36" spans="1:23" s="95" customFormat="1" ht="23.25" customHeight="1">
      <c r="A36" s="101" t="s">
        <v>81</v>
      </c>
      <c r="B36" s="94"/>
      <c r="C36" s="94"/>
      <c r="D36" s="94"/>
      <c r="E36" s="94"/>
      <c r="F36" s="94"/>
      <c r="G36" s="94"/>
      <c r="H36" s="94"/>
      <c r="I36" s="94"/>
      <c r="J36" s="94"/>
    </row>
    <row r="37" spans="1:23" s="95" customFormat="1" ht="23.25" customHeight="1">
      <c r="A37" s="96" t="s">
        <v>83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23" s="95" customFormat="1" ht="23.25" customHeight="1">
      <c r="A38" s="96" t="s">
        <v>82</v>
      </c>
      <c r="B38" s="94"/>
      <c r="C38" s="94"/>
      <c r="D38" s="94"/>
      <c r="E38" s="94"/>
      <c r="F38" s="94"/>
      <c r="G38" s="94"/>
      <c r="H38" s="94"/>
      <c r="I38" s="94"/>
      <c r="J38" s="94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2023-08-24T08:03:18Z</dcterms:modified>
</cp:coreProperties>
</file>