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03388\Desktop\1Q20\"/>
    </mc:Choice>
  </mc:AlternateContent>
  <bookViews>
    <workbookView xWindow="210" yWindow="285" windowWidth="14085" windowHeight="11835" tabRatio="726"/>
  </bookViews>
  <sheets>
    <sheet name="Separate" sheetId="1" r:id="rId1"/>
    <sheet name="Consolidated" sheetId="4" r:id="rId2"/>
  </sheets>
  <definedNames>
    <definedName name="_xlnm.Print_Area" localSheetId="1">Consolidated!$A$1:$M$26</definedName>
    <definedName name="_xlnm.Print_Area" localSheetId="0">Separate!$A$1:$W$52</definedName>
  </definedNames>
  <calcPr calcId="152511" iterate="1"/>
</workbook>
</file>

<file path=xl/calcChain.xml><?xml version="1.0" encoding="utf-8"?>
<calcChain xmlns="http://schemas.openxmlformats.org/spreadsheetml/2006/main">
  <c r="M12" i="1" l="1"/>
  <c r="N12" i="1"/>
  <c r="O12" i="1"/>
  <c r="P12" i="1"/>
  <c r="Q12" i="1"/>
  <c r="R12" i="1"/>
  <c r="S12" i="1"/>
  <c r="T12" i="1"/>
  <c r="U12" i="1"/>
  <c r="V12" i="1"/>
  <c r="W30" i="1" l="1"/>
  <c r="V31" i="1"/>
  <c r="V30" i="1"/>
  <c r="V25" i="1"/>
  <c r="W12" i="1" l="1"/>
  <c r="L25" i="4" l="1"/>
  <c r="U29" i="1" l="1"/>
  <c r="W29" i="1" l="1"/>
  <c r="V29" i="1"/>
  <c r="N39" i="1" s="1"/>
  <c r="N40" i="1" s="1"/>
  <c r="L15" i="1" l="1"/>
  <c r="L16" i="1"/>
  <c r="L17" i="1"/>
  <c r="L18" i="1"/>
  <c r="L19" i="1"/>
  <c r="G25" i="4" l="1"/>
  <c r="Q31" i="1"/>
  <c r="Q30" i="1"/>
  <c r="R30" i="1" s="1"/>
  <c r="Q29" i="1"/>
  <c r="R29" i="1" s="1"/>
  <c r="S29" i="1" s="1"/>
  <c r="T29" i="1" s="1"/>
  <c r="P29" i="1"/>
  <c r="Q25" i="1" l="1"/>
  <c r="L34" i="1" l="1"/>
  <c r="L33" i="1"/>
  <c r="L32" i="1"/>
  <c r="L31" i="1"/>
  <c r="L30" i="1"/>
  <c r="L25" i="1" l="1"/>
  <c r="L24" i="1"/>
  <c r="L23" i="1"/>
  <c r="L20" i="1"/>
  <c r="L11" i="1" l="1"/>
  <c r="L10" i="1"/>
  <c r="L9" i="1"/>
  <c r="L8" i="1"/>
  <c r="L7" i="1"/>
  <c r="L6" i="1"/>
  <c r="L12" i="1" l="1"/>
  <c r="O29" i="1"/>
  <c r="J29" i="1" l="1"/>
  <c r="K29" i="1"/>
  <c r="L29" i="1" s="1"/>
  <c r="M29" i="1"/>
  <c r="N29" i="1"/>
  <c r="I29" i="1"/>
</calcChain>
</file>

<file path=xl/sharedStrings.xml><?xml version="1.0" encoding="utf-8"?>
<sst xmlns="http://schemas.openxmlformats.org/spreadsheetml/2006/main" count="161" uniqueCount="75">
  <si>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</si>
  <si>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</si>
  <si>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</si>
  <si>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</si>
  <si>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</si>
  <si>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</si>
  <si>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</si>
  <si>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</si>
  <si>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</si>
  <si>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</si>
  <si>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</si>
  <si>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</si>
  <si>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</si>
  <si>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</si>
  <si>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</si>
  <si>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</si>
  <si>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</si>
  <si>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</si>
  <si>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</si>
  <si>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</si>
  <si>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</si>
  <si>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</si>
  <si>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</si>
  <si>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</si>
  <si>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</si>
  <si>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</si>
  <si>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</si>
  <si>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</si>
  <si>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</si>
  <si>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</si>
  <si>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</si>
  <si>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</si>
  <si>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</si>
  <si>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Net Debt to EBITDA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</si>
  <si>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</si>
  <si>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</si>
  <si>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</si>
  <si>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</si>
  <si>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</si>
  <si>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</si>
  <si>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</si>
  <si>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</si>
  <si>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</si>
  <si>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</si>
  <si>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</si>
  <si>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</si>
  <si>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</si>
  <si>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</si>
  <si>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</si>
  <si>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</si>
  <si>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</si>
  <si>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</si>
  <si>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</si>
  <si>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</si>
  <si>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</si>
  <si>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</si>
  <si>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</si>
  <si>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</si>
  <si>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</si>
  <si>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</si>
  <si>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</si>
  <si>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1Q 19</t>
    <phoneticPr fontId="1" type="noConversion"/>
  </si>
  <si>
    <t>2Q 19</t>
    <phoneticPr fontId="1" type="noConversion"/>
  </si>
  <si>
    <t>2Q19</t>
    <phoneticPr fontId="1" type="noConversion"/>
  </si>
  <si>
    <t>3Q19</t>
    <phoneticPr fontId="1" type="noConversion"/>
  </si>
  <si>
    <t>3Q19</t>
    <phoneticPr fontId="1" type="noConversion"/>
  </si>
  <si>
    <t>4Q19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</si>
  <si>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</si>
  <si>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</si>
  <si>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</si>
  <si>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</si>
  <si>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</si>
  <si>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</si>
  <si>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1Q 20</t>
    <phoneticPr fontId="1" type="noConversion"/>
  </si>
  <si>
    <t>KT Financial Indicators (Separate)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</si>
</sst>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3" formatCode="_-* #,##0.000_-;\-* #,##0.000_-;_-* &quot;-&quot;??_-;_-@_-"/>
    <numFmt numFmtId="185" formatCode="#,##0.0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185" fontId="2" fillId="0" borderId="0" xfId="1" applyNumberFormat="1" applyFont="1" applyFill="1" applyBorder="1">
      <alignment vertical="center"/>
    </xf>
    <xf numFmtId="185" fontId="2" fillId="0" borderId="2" xfId="1" applyNumberFormat="1" applyFont="1" applyFill="1" applyBorder="1">
      <alignment vertical="center"/>
    </xf>
    <xf numFmtId="185" fontId="2" fillId="4" borderId="0" xfId="1" applyNumberFormat="1" applyFont="1" applyFill="1" applyBorder="1">
      <alignment vertical="center"/>
    </xf>
    <xf numFmtId="185" fontId="2" fillId="3" borderId="0" xfId="1" applyNumberFormat="1" applyFont="1" applyFill="1" applyBorder="1">
      <alignment vertical="center"/>
    </xf>
    <xf numFmtId="185" fontId="2" fillId="4" borderId="2" xfId="1" applyNumberFormat="1" applyFont="1" applyFill="1" applyBorder="1">
      <alignment vertical="center"/>
    </xf>
    <xf numFmtId="185" fontId="2" fillId="3" borderId="2" xfId="1" applyNumberFormat="1" applyFont="1" applyFill="1" applyBorder="1">
      <alignment vertical="center"/>
    </xf>
    <xf numFmtId="185" fontId="2" fillId="0" borderId="4" xfId="1" applyNumberFormat="1" applyFont="1" applyFill="1" applyBorder="1">
      <alignment vertical="center"/>
    </xf>
    <xf numFmtId="185" fontId="2" fillId="4" borderId="4" xfId="1" applyNumberFormat="1" applyFont="1" applyFill="1" applyBorder="1">
      <alignment vertical="center"/>
    </xf>
    <xf numFmtId="185" fontId="2" fillId="3" borderId="4" xfId="1" applyNumberFormat="1" applyFont="1" applyFill="1" applyBorder="1">
      <alignment vertical="center"/>
    </xf>
    <xf numFmtId="176" fontId="2" fillId="0" borderId="0" xfId="0" applyNumberFormat="1" applyFont="1">
      <alignment vertical="center"/>
    </xf>
    <xf numFmtId="185" fontId="2" fillId="0" borderId="5" xfId="1" applyNumberFormat="1" applyFont="1" applyFill="1" applyBorder="1">
      <alignment vertical="center"/>
    </xf>
    <xf numFmtId="185" fontId="2" fillId="4" borderId="5" xfId="1" applyNumberFormat="1" applyFont="1" applyFill="1" applyBorder="1">
      <alignment vertical="center"/>
    </xf>
    <xf numFmtId="185" fontId="2" fillId="3" borderId="5" xfId="1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52"/>
  <sheetViews>
    <sheetView showGridLines="0" tabSelected="1" view="pageBreakPreview" zoomScale="80" zoomScaleNormal="80" zoomScaleSheetLayoutView="80" workbookViewId="0">
      <selection activeCell="W5" sqref="W5"/>
    </sheetView>
  </sheetViews>
  <sheetFormatPr defaultColWidth="9" defaultRowHeight="16.5"/>
  <cols>
    <col min="1" max="1" width="3.75" style="1" customWidth="1"/>
    <col min="2" max="2" width="27" style="1" customWidth="1"/>
    <col min="3" max="12" width="10" style="1" hidden="1" customWidth="1"/>
    <col min="13" max="23" width="10" style="1" customWidth="1"/>
    <col min="24" max="16384" width="9" style="1"/>
  </cols>
  <sheetData>
    <row r="2" spans="1:23" ht="20.25">
      <c r="B2" s="10" t="s">
        <v>74</v>
      </c>
    </row>
    <row r="3" spans="1:23">
      <c r="B3" s="11" t="s">
        <v>40</v>
      </c>
      <c r="C3" s="22"/>
      <c r="D3" s="22"/>
      <c r="E3" s="22"/>
      <c r="F3" s="22"/>
      <c r="G3" s="22"/>
    </row>
    <row r="4" spans="1:23" ht="13.5" customHeight="1">
      <c r="C4" s="37" t="s">
        <v>34</v>
      </c>
      <c r="D4" s="37" t="s">
        <v>34</v>
      </c>
      <c r="E4" s="37" t="s">
        <v>47</v>
      </c>
      <c r="F4" s="37" t="s">
        <v>34</v>
      </c>
      <c r="G4" s="37" t="s">
        <v>34</v>
      </c>
      <c r="H4" s="37" t="s">
        <v>34</v>
      </c>
      <c r="I4" s="37" t="s">
        <v>34</v>
      </c>
      <c r="J4" s="37" t="s">
        <v>34</v>
      </c>
      <c r="K4" s="37" t="s">
        <v>34</v>
      </c>
      <c r="L4" s="37" t="s">
        <v>34</v>
      </c>
      <c r="M4" s="60" t="s">
        <v>70</v>
      </c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23" ht="18" thickBot="1">
      <c r="A5" s="3" t="s">
        <v>21</v>
      </c>
      <c r="B5" s="2" t="s">
        <v>3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5" t="s">
        <v>51</v>
      </c>
      <c r="I5" s="45" t="s">
        <v>52</v>
      </c>
      <c r="J5" s="45" t="s">
        <v>54</v>
      </c>
      <c r="K5" s="45" t="s">
        <v>55</v>
      </c>
      <c r="L5" s="45">
        <v>2017</v>
      </c>
      <c r="M5" s="45" t="s">
        <v>56</v>
      </c>
      <c r="N5" s="45" t="s">
        <v>57</v>
      </c>
      <c r="O5" s="45" t="s">
        <v>58</v>
      </c>
      <c r="P5" s="45" t="s">
        <v>59</v>
      </c>
      <c r="Q5" s="45">
        <v>2018</v>
      </c>
      <c r="R5" s="45" t="s">
        <v>60</v>
      </c>
      <c r="S5" s="45" t="s">
        <v>63</v>
      </c>
      <c r="T5" s="45" t="s">
        <v>64</v>
      </c>
      <c r="U5" s="45" t="s">
        <v>66</v>
      </c>
      <c r="V5" s="45">
        <v>2019</v>
      </c>
      <c r="W5" s="45" t="s">
        <v>73</v>
      </c>
    </row>
    <row r="6" spans="1:23">
      <c r="B6" s="8" t="s">
        <v>4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67">
        <v>4297.2</v>
      </c>
      <c r="N6" s="67">
        <v>4283</v>
      </c>
      <c r="O6" s="67">
        <v>4358.2</v>
      </c>
      <c r="P6" s="67">
        <v>4418.2</v>
      </c>
      <c r="Q6" s="67">
        <v>17356.5</v>
      </c>
      <c r="R6" s="67">
        <v>4334.3</v>
      </c>
      <c r="S6" s="67">
        <v>4558.5</v>
      </c>
      <c r="T6" s="67">
        <v>4705.7</v>
      </c>
      <c r="U6" s="67">
        <v>4606.2</v>
      </c>
      <c r="V6" s="67">
        <v>18204.8</v>
      </c>
      <c r="W6" s="65">
        <v>4429.1000000000004</v>
      </c>
    </row>
    <row r="7" spans="1:23">
      <c r="B7" s="5" t="s">
        <v>5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67">
        <v>3577.1</v>
      </c>
      <c r="N7" s="67">
        <v>3673.6</v>
      </c>
      <c r="O7" s="67">
        <v>3680.2</v>
      </c>
      <c r="P7" s="67">
        <v>3579.1</v>
      </c>
      <c r="Q7" s="67">
        <v>14510</v>
      </c>
      <c r="R7" s="67">
        <v>3645.4</v>
      </c>
      <c r="S7" s="67">
        <v>3751.3</v>
      </c>
      <c r="T7" s="67">
        <v>3765.9</v>
      </c>
      <c r="U7" s="67">
        <v>3768.5</v>
      </c>
      <c r="V7" s="67">
        <v>14931</v>
      </c>
      <c r="W7" s="65">
        <v>3749</v>
      </c>
    </row>
    <row r="8" spans="1:23">
      <c r="B8" s="5" t="s">
        <v>27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67">
        <v>720.1</v>
      </c>
      <c r="N8" s="67">
        <v>609.5</v>
      </c>
      <c r="O8" s="67">
        <v>678</v>
      </c>
      <c r="P8" s="67">
        <v>839</v>
      </c>
      <c r="Q8" s="67">
        <v>2846.6</v>
      </c>
      <c r="R8" s="67">
        <v>688.9</v>
      </c>
      <c r="S8" s="67">
        <v>807.3</v>
      </c>
      <c r="T8" s="67">
        <v>939.8</v>
      </c>
      <c r="U8" s="67">
        <v>837.8</v>
      </c>
      <c r="V8" s="67">
        <v>3273.7</v>
      </c>
      <c r="W8" s="65">
        <v>680.1</v>
      </c>
    </row>
    <row r="9" spans="1:23">
      <c r="B9" s="5" t="s">
        <v>7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67">
        <v>305</v>
      </c>
      <c r="N9" s="67">
        <v>307.7</v>
      </c>
      <c r="O9" s="67">
        <v>280.60000000000002</v>
      </c>
      <c r="P9" s="67">
        <v>58.4</v>
      </c>
      <c r="Q9" s="67">
        <v>951.6</v>
      </c>
      <c r="R9" s="67">
        <v>296.39999999999998</v>
      </c>
      <c r="S9" s="67">
        <v>191.1</v>
      </c>
      <c r="T9" s="67">
        <v>197.7</v>
      </c>
      <c r="U9" s="67">
        <v>53.9</v>
      </c>
      <c r="V9" s="67">
        <v>739.2</v>
      </c>
      <c r="W9" s="65">
        <v>299.60000000000002</v>
      </c>
    </row>
    <row r="10" spans="1:23">
      <c r="B10" s="6" t="s">
        <v>8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68">
        <v>316.8</v>
      </c>
      <c r="N10" s="68">
        <v>209.9</v>
      </c>
      <c r="O10" s="68">
        <v>202.6</v>
      </c>
      <c r="P10" s="68">
        <v>-168.1</v>
      </c>
      <c r="Q10" s="68">
        <v>561.20000000000005</v>
      </c>
      <c r="R10" s="68">
        <v>292.60000000000002</v>
      </c>
      <c r="S10" s="68">
        <v>139.69999999999999</v>
      </c>
      <c r="T10" s="68">
        <v>72.400000000000006</v>
      </c>
      <c r="U10" s="68">
        <v>-72.900000000000006</v>
      </c>
      <c r="V10" s="68">
        <v>431.8</v>
      </c>
      <c r="W10" s="66">
        <v>320</v>
      </c>
    </row>
    <row r="11" spans="1:23">
      <c r="B11" s="12" t="s">
        <v>9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67">
        <v>1046.5999999999999</v>
      </c>
      <c r="N11" s="67">
        <v>1039.4000000000001</v>
      </c>
      <c r="O11" s="67">
        <v>1003.1</v>
      </c>
      <c r="P11" s="67">
        <v>779.7</v>
      </c>
      <c r="Q11" s="67">
        <v>3868.8</v>
      </c>
      <c r="R11" s="67">
        <v>1108.0999999999999</v>
      </c>
      <c r="S11" s="67">
        <v>997.7</v>
      </c>
      <c r="T11" s="67">
        <v>999.3</v>
      </c>
      <c r="U11" s="67">
        <v>872.6</v>
      </c>
      <c r="V11" s="67">
        <v>3977.8</v>
      </c>
      <c r="W11" s="65">
        <v>1113.5</v>
      </c>
    </row>
    <row r="12" spans="1:23" ht="17.25" thickBot="1">
      <c r="B12" s="28" t="s">
        <v>44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f t="shared" ref="M12:V12" si="1">M11/M6</f>
        <v>0.24355394210183373</v>
      </c>
      <c r="N12" s="26">
        <f t="shared" si="1"/>
        <v>0.24268036423067946</v>
      </c>
      <c r="O12" s="51">
        <f t="shared" si="1"/>
        <v>0.23016382910375846</v>
      </c>
      <c r="P12" s="51">
        <f t="shared" si="1"/>
        <v>0.17647458240912592</v>
      </c>
      <c r="Q12" s="58">
        <f t="shared" si="1"/>
        <v>0.22290208279318988</v>
      </c>
      <c r="R12" s="51">
        <f t="shared" si="1"/>
        <v>0.25565835313660795</v>
      </c>
      <c r="S12" s="51">
        <f t="shared" si="1"/>
        <v>0.21886585499616104</v>
      </c>
      <c r="T12" s="51">
        <f t="shared" si="1"/>
        <v>0.21235947892980853</v>
      </c>
      <c r="U12" s="51">
        <f t="shared" si="1"/>
        <v>0.18944031956927621</v>
      </c>
      <c r="V12" s="58">
        <f t="shared" si="1"/>
        <v>0.21850281244506944</v>
      </c>
      <c r="W12" s="51">
        <f>W11/W6</f>
        <v>0.25140547741076064</v>
      </c>
    </row>
    <row r="13" spans="1:23">
      <c r="C13" s="19"/>
      <c r="D13" s="19"/>
      <c r="E13" s="19"/>
      <c r="F13" s="19"/>
      <c r="G13" s="19"/>
      <c r="H13" s="19"/>
    </row>
    <row r="14" spans="1:23" ht="18" thickBot="1">
      <c r="A14" s="3" t="s">
        <v>21</v>
      </c>
      <c r="B14" s="2" t="s">
        <v>2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5" t="s">
        <v>51</v>
      </c>
      <c r="I14" s="45" t="s">
        <v>52</v>
      </c>
      <c r="J14" s="45" t="s">
        <v>54</v>
      </c>
      <c r="K14" s="45" t="s">
        <v>55</v>
      </c>
      <c r="L14" s="45">
        <v>2017</v>
      </c>
      <c r="M14" s="45" t="s">
        <v>56</v>
      </c>
      <c r="N14" s="45" t="s">
        <v>57</v>
      </c>
      <c r="O14" s="45" t="s">
        <v>58</v>
      </c>
      <c r="P14" s="45" t="s">
        <v>59</v>
      </c>
      <c r="Q14" s="45">
        <v>2018</v>
      </c>
      <c r="R14" s="45" t="s">
        <v>60</v>
      </c>
      <c r="S14" s="45" t="s">
        <v>63</v>
      </c>
      <c r="T14" s="45" t="s">
        <v>65</v>
      </c>
      <c r="U14" s="45" t="s">
        <v>66</v>
      </c>
      <c r="V14" s="45">
        <v>2019</v>
      </c>
      <c r="W14" s="45" t="s">
        <v>73</v>
      </c>
    </row>
    <row r="15" spans="1:23">
      <c r="B15" s="8" t="s">
        <v>10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67">
        <v>237.3</v>
      </c>
      <c r="N15" s="67">
        <v>407.39888256799992</v>
      </c>
      <c r="O15" s="69">
        <v>463.65301951999999</v>
      </c>
      <c r="P15" s="69">
        <v>868.2</v>
      </c>
      <c r="Q15" s="70">
        <v>1976.5250097169999</v>
      </c>
      <c r="R15" s="69">
        <v>552.1</v>
      </c>
      <c r="S15" s="69">
        <v>802</v>
      </c>
      <c r="T15" s="69">
        <v>741.1</v>
      </c>
      <c r="U15" s="69">
        <v>1161.5999999999999</v>
      </c>
      <c r="V15" s="70">
        <v>3256.8</v>
      </c>
      <c r="W15" s="67">
        <v>406.9</v>
      </c>
    </row>
    <row r="16" spans="1:23">
      <c r="B16" s="5" t="s">
        <v>48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67">
        <v>127.8</v>
      </c>
      <c r="N16" s="67">
        <v>196.24200212099998</v>
      </c>
      <c r="O16" s="69">
        <v>255.00570813399997</v>
      </c>
      <c r="P16" s="69">
        <v>455.70000000000005</v>
      </c>
      <c r="Q16" s="70">
        <v>1034.7683788899999</v>
      </c>
      <c r="R16" s="69">
        <v>417.3</v>
      </c>
      <c r="S16" s="69">
        <v>593.70000000000005</v>
      </c>
      <c r="T16" s="69">
        <v>503.4</v>
      </c>
      <c r="U16" s="69">
        <v>684.3</v>
      </c>
      <c r="V16" s="70">
        <v>2198.6999999999998</v>
      </c>
      <c r="W16" s="67">
        <v>225.7</v>
      </c>
    </row>
    <row r="17" spans="1:24">
      <c r="B17" s="5" t="s">
        <v>49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67">
        <v>38.700000000000003</v>
      </c>
      <c r="N17" s="67">
        <v>84.672791606000004</v>
      </c>
      <c r="O17" s="69">
        <v>103.023409055</v>
      </c>
      <c r="P17" s="69">
        <v>221.7</v>
      </c>
      <c r="Q17" s="70">
        <v>448.08355607599998</v>
      </c>
      <c r="R17" s="69">
        <v>42.8</v>
      </c>
      <c r="S17" s="69">
        <v>62.6</v>
      </c>
      <c r="T17" s="69">
        <v>88</v>
      </c>
      <c r="U17" s="69">
        <v>214.6</v>
      </c>
      <c r="V17" s="70">
        <v>408</v>
      </c>
      <c r="W17" s="67">
        <v>55.1</v>
      </c>
    </row>
    <row r="18" spans="1:24">
      <c r="B18" s="5" t="s">
        <v>50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67">
        <v>41.3</v>
      </c>
      <c r="N18" s="67">
        <v>86.609800632999978</v>
      </c>
      <c r="O18" s="69">
        <v>60.775216536000002</v>
      </c>
      <c r="P18" s="69">
        <v>116</v>
      </c>
      <c r="Q18" s="70">
        <v>304.68060046599999</v>
      </c>
      <c r="R18" s="69">
        <v>53.7</v>
      </c>
      <c r="S18" s="69">
        <v>64.900000000000006</v>
      </c>
      <c r="T18" s="69">
        <v>72.8</v>
      </c>
      <c r="U18" s="69">
        <v>175.1</v>
      </c>
      <c r="V18" s="70">
        <v>366.5</v>
      </c>
      <c r="W18" s="67">
        <v>77.400000000000006</v>
      </c>
    </row>
    <row r="19" spans="1:24">
      <c r="B19" s="6" t="s">
        <v>6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68">
        <v>29.5</v>
      </c>
      <c r="N19" s="68">
        <v>39.874288208000003</v>
      </c>
      <c r="O19" s="71">
        <v>44.848685795000002</v>
      </c>
      <c r="P19" s="71">
        <v>74.8</v>
      </c>
      <c r="Q19" s="72">
        <v>189.022974003</v>
      </c>
      <c r="R19" s="71">
        <v>38.300000000000004</v>
      </c>
      <c r="S19" s="71">
        <v>80.8</v>
      </c>
      <c r="T19" s="71">
        <v>76.900000000000006</v>
      </c>
      <c r="U19" s="71">
        <v>87.7</v>
      </c>
      <c r="V19" s="72">
        <v>283.7</v>
      </c>
      <c r="W19" s="68">
        <v>48.7</v>
      </c>
    </row>
    <row r="20" spans="1:24" ht="17.25" thickBot="1">
      <c r="B20" s="9" t="s">
        <v>11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73">
        <v>741.66794050100009</v>
      </c>
      <c r="N20" s="73">
        <v>731.76183268500017</v>
      </c>
      <c r="O20" s="74">
        <v>722.46347838600002</v>
      </c>
      <c r="P20" s="74">
        <v>721.27019036299987</v>
      </c>
      <c r="Q20" s="75">
        <v>2917.1634419349998</v>
      </c>
      <c r="R20" s="74">
        <v>811.7</v>
      </c>
      <c r="S20" s="74">
        <v>806.6</v>
      </c>
      <c r="T20" s="74">
        <v>801.6</v>
      </c>
      <c r="U20" s="74">
        <v>818.7</v>
      </c>
      <c r="V20" s="75">
        <v>3238.6</v>
      </c>
      <c r="W20" s="73">
        <v>813.9</v>
      </c>
    </row>
    <row r="22" spans="1:24" ht="18" thickBot="1">
      <c r="A22" s="3" t="s">
        <v>21</v>
      </c>
      <c r="B22" s="2" t="s">
        <v>28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5" t="s">
        <v>51</v>
      </c>
      <c r="I22" s="45" t="s">
        <v>52</v>
      </c>
      <c r="J22" s="45" t="s">
        <v>54</v>
      </c>
      <c r="K22" s="45" t="s">
        <v>55</v>
      </c>
      <c r="L22" s="45">
        <v>2017</v>
      </c>
      <c r="M22" s="45" t="s">
        <v>56</v>
      </c>
      <c r="N22" s="45" t="s">
        <v>57</v>
      </c>
      <c r="O22" s="45" t="s">
        <v>58</v>
      </c>
      <c r="P22" s="45" t="s">
        <v>59</v>
      </c>
      <c r="Q22" s="45">
        <v>2018</v>
      </c>
      <c r="R22" s="45" t="s">
        <v>60</v>
      </c>
      <c r="S22" s="45" t="s">
        <v>63</v>
      </c>
      <c r="T22" s="45" t="s">
        <v>65</v>
      </c>
      <c r="U22" s="45" t="s">
        <v>66</v>
      </c>
      <c r="V22" s="45">
        <v>2019</v>
      </c>
      <c r="W22" s="45" t="s">
        <v>73</v>
      </c>
    </row>
    <row r="23" spans="1:24">
      <c r="B23" s="8" t="s">
        <v>12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67">
        <v>6237.6</v>
      </c>
      <c r="N23" s="67">
        <v>6203.8</v>
      </c>
      <c r="O23" s="69">
        <v>5995.1</v>
      </c>
      <c r="P23" s="69">
        <v>6313.5</v>
      </c>
      <c r="Q23" s="70">
        <v>6313.5</v>
      </c>
      <c r="R23" s="69">
        <v>6451.2</v>
      </c>
      <c r="S23" s="69">
        <v>5929.4</v>
      </c>
      <c r="T23" s="69">
        <v>6115.9</v>
      </c>
      <c r="U23" s="69">
        <v>7028</v>
      </c>
      <c r="V23" s="70">
        <v>7028</v>
      </c>
      <c r="W23" s="67">
        <v>7023</v>
      </c>
    </row>
    <row r="24" spans="1:24">
      <c r="B24" s="6" t="s">
        <v>42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68">
        <v>5173.5</v>
      </c>
      <c r="N24" s="68">
        <v>4739.5</v>
      </c>
      <c r="O24" s="71">
        <v>4162.5</v>
      </c>
      <c r="P24" s="71">
        <v>4533.8</v>
      </c>
      <c r="Q24" s="72">
        <v>4533.8</v>
      </c>
      <c r="R24" s="71">
        <v>4701.1000000000004</v>
      </c>
      <c r="S24" s="71">
        <v>4534.5</v>
      </c>
      <c r="T24" s="71">
        <v>4926.6000000000004</v>
      </c>
      <c r="U24" s="71">
        <v>5699.6</v>
      </c>
      <c r="V24" s="72">
        <v>5699.6</v>
      </c>
      <c r="W24" s="68">
        <v>6269</v>
      </c>
    </row>
    <row r="25" spans="1:24">
      <c r="B25" s="5" t="s">
        <v>13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0.41499999999999998</v>
      </c>
      <c r="N25" s="30">
        <v>0.374</v>
      </c>
      <c r="O25" s="52">
        <v>0.32300000000000001</v>
      </c>
      <c r="P25" s="52">
        <v>0.35699999999999998</v>
      </c>
      <c r="Q25" s="57">
        <f>P25</f>
        <v>0.35699999999999998</v>
      </c>
      <c r="R25" s="52">
        <v>0.36899999999999999</v>
      </c>
      <c r="S25" s="52">
        <v>0.35199999999999998</v>
      </c>
      <c r="T25" s="52">
        <v>0.38</v>
      </c>
      <c r="U25" s="52">
        <v>0.442</v>
      </c>
      <c r="V25" s="57">
        <f>U25</f>
        <v>0.442</v>
      </c>
      <c r="W25" s="30">
        <v>0.48499999999999999</v>
      </c>
      <c r="X25" s="76"/>
    </row>
    <row r="26" spans="1:24" ht="17.25" thickBot="1">
      <c r="B26" s="9" t="s">
        <v>33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59">
        <v>1.1718899023481357</v>
      </c>
      <c r="R26" s="34"/>
      <c r="S26" s="34"/>
      <c r="T26" s="34"/>
      <c r="U26" s="34"/>
      <c r="V26" s="59">
        <v>1.4328600265012512</v>
      </c>
      <c r="W26" s="34"/>
    </row>
    <row r="27" spans="1:24">
      <c r="B27" s="49">
        <v>261111.80799999999</v>
      </c>
      <c r="D27" s="32"/>
      <c r="E27" s="32"/>
      <c r="F27" s="32"/>
      <c r="G27" s="41"/>
      <c r="H27" s="41"/>
    </row>
    <row r="28" spans="1:24" ht="18" thickBot="1">
      <c r="A28" s="3" t="s">
        <v>21</v>
      </c>
      <c r="B28" s="2" t="s">
        <v>0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5" t="s">
        <v>51</v>
      </c>
      <c r="I28" s="45" t="s">
        <v>52</v>
      </c>
      <c r="J28" s="45" t="s">
        <v>54</v>
      </c>
      <c r="K28" s="45" t="s">
        <v>55</v>
      </c>
      <c r="L28" s="45">
        <v>2017</v>
      </c>
      <c r="M28" s="45" t="s">
        <v>56</v>
      </c>
      <c r="N28" s="45" t="s">
        <v>57</v>
      </c>
      <c r="O28" s="45" t="s">
        <v>58</v>
      </c>
      <c r="P28" s="45" t="s">
        <v>59</v>
      </c>
      <c r="Q28" s="45">
        <v>2018</v>
      </c>
      <c r="R28" s="45" t="s">
        <v>60</v>
      </c>
      <c r="S28" s="45" t="s">
        <v>63</v>
      </c>
      <c r="T28" s="45" t="s">
        <v>65</v>
      </c>
      <c r="U28" s="45" t="s">
        <v>66</v>
      </c>
      <c r="V28" s="45">
        <v>2019</v>
      </c>
      <c r="W28" s="45" t="s">
        <v>73</v>
      </c>
    </row>
    <row r="29" spans="1:24">
      <c r="B29" s="8" t="s">
        <v>36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3">$B$27-J30</f>
        <v>245097.05499999999</v>
      </c>
      <c r="K29" s="29">
        <f t="shared" si="3"/>
        <v>245097.05499999999</v>
      </c>
      <c r="L29" s="29">
        <f t="shared" ref="L29:L34" si="4">K29</f>
        <v>245097.05499999999</v>
      </c>
      <c r="M29" s="29">
        <f t="shared" si="3"/>
        <v>245097.05499999999</v>
      </c>
      <c r="N29" s="29">
        <f t="shared" si="3"/>
        <v>245100.247</v>
      </c>
      <c r="O29" s="53">
        <f t="shared" si="3"/>
        <v>245144.76799999998</v>
      </c>
      <c r="P29" s="53">
        <f t="shared" si="3"/>
        <v>245144.76799999998</v>
      </c>
      <c r="Q29" s="61">
        <f>P29</f>
        <v>245144.76799999998</v>
      </c>
      <c r="R29" s="53">
        <f>Q29</f>
        <v>245144.76799999998</v>
      </c>
      <c r="S29" s="53">
        <f>R29</f>
        <v>245144.76799999998</v>
      </c>
      <c r="T29" s="53">
        <f>S29</f>
        <v>245144.76799999998</v>
      </c>
      <c r="U29" s="53">
        <f>B27-U30</f>
        <v>245241.55</v>
      </c>
      <c r="V29" s="61">
        <f>U29</f>
        <v>245241.55</v>
      </c>
      <c r="W29" s="29">
        <f>U29</f>
        <v>245241.55</v>
      </c>
    </row>
    <row r="30" spans="1:24">
      <c r="B30" s="5" t="s">
        <v>37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4"/>
        <v>16014.753000000001</v>
      </c>
      <c r="M30" s="29">
        <v>16014.753000000001</v>
      </c>
      <c r="N30" s="29">
        <v>16011.561</v>
      </c>
      <c r="O30" s="53">
        <v>15967.04</v>
      </c>
      <c r="P30" s="53">
        <v>15967.04</v>
      </c>
      <c r="Q30" s="61">
        <f t="shared" ref="Q30:Q31" si="5">P30</f>
        <v>15967.04</v>
      </c>
      <c r="R30" s="53">
        <f>Q30</f>
        <v>15967.04</v>
      </c>
      <c r="S30" s="53">
        <v>15962.88</v>
      </c>
      <c r="T30" s="53">
        <v>15870.258</v>
      </c>
      <c r="U30" s="53">
        <v>15870.258</v>
      </c>
      <c r="V30" s="61">
        <f>U30</f>
        <v>15870.258</v>
      </c>
      <c r="W30" s="29">
        <f>U30</f>
        <v>15870.258</v>
      </c>
    </row>
    <row r="31" spans="1:24">
      <c r="B31" s="6" t="s">
        <v>26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4"/>
        <v>30250</v>
      </c>
      <c r="M31" s="42">
        <v>27550</v>
      </c>
      <c r="N31" s="42">
        <v>27400</v>
      </c>
      <c r="O31" s="54">
        <v>30150</v>
      </c>
      <c r="P31" s="54">
        <v>29800</v>
      </c>
      <c r="Q31" s="62">
        <f t="shared" si="5"/>
        <v>29800</v>
      </c>
      <c r="R31" s="54">
        <v>27400</v>
      </c>
      <c r="S31" s="54">
        <v>28350</v>
      </c>
      <c r="T31" s="54">
        <v>27450</v>
      </c>
      <c r="U31" s="54">
        <v>27000</v>
      </c>
      <c r="V31" s="62">
        <f>U31</f>
        <v>27000</v>
      </c>
      <c r="W31" s="42">
        <v>19850</v>
      </c>
    </row>
    <row r="32" spans="1:24">
      <c r="B32" s="5" t="s">
        <v>14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4"/>
        <v>1000</v>
      </c>
      <c r="M32" s="29"/>
      <c r="N32" s="29"/>
      <c r="O32" s="29"/>
      <c r="P32" s="29"/>
      <c r="Q32" s="61">
        <v>1100</v>
      </c>
      <c r="R32" s="29"/>
      <c r="S32" s="29"/>
      <c r="T32" s="29"/>
      <c r="U32" s="29"/>
      <c r="V32" s="61">
        <v>1100</v>
      </c>
      <c r="W32" s="29"/>
    </row>
    <row r="33" spans="1:23">
      <c r="B33" s="4" t="s">
        <v>31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4"/>
        <v>245.09705500000001</v>
      </c>
      <c r="M33" s="43"/>
      <c r="N33" s="43"/>
      <c r="O33" s="43"/>
      <c r="P33" s="43"/>
      <c r="Q33" s="63">
        <v>269.65924480000001</v>
      </c>
      <c r="R33" s="43"/>
      <c r="S33" s="43"/>
      <c r="T33" s="43"/>
      <c r="U33" s="43"/>
      <c r="V33" s="63">
        <v>269.76570500000003</v>
      </c>
      <c r="W33" s="43"/>
    </row>
    <row r="34" spans="1:23">
      <c r="B34" s="5" t="s">
        <v>38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4"/>
        <v>245.09705500000001</v>
      </c>
      <c r="M34" s="27"/>
      <c r="N34" s="27"/>
      <c r="O34" s="27"/>
      <c r="P34" s="27"/>
      <c r="Q34" s="64">
        <v>269.65924480000001</v>
      </c>
      <c r="R34" s="27"/>
      <c r="S34" s="27"/>
      <c r="T34" s="27"/>
      <c r="U34" s="27"/>
      <c r="V34" s="64">
        <v>269.76570500000003</v>
      </c>
      <c r="W34" s="27"/>
    </row>
    <row r="35" spans="1:23">
      <c r="B35" s="6" t="s">
        <v>39</v>
      </c>
      <c r="C35" s="18">
        <v>0</v>
      </c>
      <c r="D35" s="18">
        <v>0</v>
      </c>
      <c r="E35" s="18">
        <v>0</v>
      </c>
      <c r="F35" s="18"/>
      <c r="G35" s="46"/>
      <c r="H35" s="42"/>
      <c r="I35" s="42"/>
      <c r="J35" s="42"/>
      <c r="K35" s="42"/>
      <c r="L35" s="42"/>
      <c r="M35" s="42"/>
      <c r="N35" s="42"/>
      <c r="O35" s="42"/>
      <c r="P35" s="42"/>
      <c r="Q35" s="62"/>
      <c r="R35" s="42"/>
      <c r="S35" s="42"/>
      <c r="T35" s="42"/>
      <c r="U35" s="42"/>
      <c r="V35" s="62"/>
      <c r="W35" s="42"/>
    </row>
    <row r="36" spans="1:23" ht="17.25" thickBot="1">
      <c r="B36" s="9" t="s">
        <v>15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58">
        <v>0.4804838376286259</v>
      </c>
      <c r="R36" s="26"/>
      <c r="S36" s="26"/>
      <c r="T36" s="26"/>
      <c r="U36" s="26"/>
      <c r="V36" s="58">
        <v>0.625</v>
      </c>
      <c r="W36" s="26"/>
    </row>
    <row r="37" spans="1:23">
      <c r="G37" s="35"/>
      <c r="H37" s="29"/>
      <c r="W37" s="35"/>
    </row>
    <row r="38" spans="1:23" ht="18" thickBot="1">
      <c r="A38" s="3" t="s">
        <v>21</v>
      </c>
      <c r="B38" s="2" t="s">
        <v>1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L38" s="16">
        <v>2017</v>
      </c>
      <c r="M38" s="16">
        <v>2018</v>
      </c>
      <c r="N38" s="16">
        <v>2019</v>
      </c>
    </row>
    <row r="39" spans="1:23">
      <c r="B39" s="47" t="s">
        <v>16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J39" s="35"/>
      <c r="K39" s="29"/>
      <c r="L39" s="29">
        <v>1890.6245799849059</v>
      </c>
      <c r="M39" s="29">
        <v>2289.3590041007969</v>
      </c>
      <c r="N39" s="61">
        <f>V10*10^3/V29</f>
        <v>1.7607130602461125</v>
      </c>
      <c r="O39" s="55"/>
      <c r="P39" s="35"/>
      <c r="Q39" s="35"/>
      <c r="R39" s="35"/>
      <c r="S39" s="35"/>
      <c r="T39" s="56"/>
      <c r="U39" s="56"/>
      <c r="V39" s="56"/>
      <c r="W39" s="56"/>
    </row>
    <row r="40" spans="1:23">
      <c r="B40" s="12" t="s">
        <v>17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J40" s="35"/>
      <c r="K40" s="35"/>
      <c r="L40" s="27">
        <v>16.000003554508694</v>
      </c>
      <c r="M40" s="27">
        <v>13.016743964848228</v>
      </c>
      <c r="N40" s="64">
        <f>U31/N39</f>
        <v>15334.696271421953</v>
      </c>
      <c r="O40" s="35"/>
      <c r="P40" s="35"/>
      <c r="Q40" s="35"/>
      <c r="R40" s="35"/>
      <c r="S40" s="35"/>
      <c r="T40" s="35"/>
      <c r="U40" s="35"/>
      <c r="V40" s="35"/>
      <c r="W40" s="35"/>
    </row>
    <row r="41" spans="1:23">
      <c r="B41" s="12" t="s">
        <v>18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J41" s="35"/>
      <c r="K41" s="35"/>
      <c r="L41" s="27">
        <v>3.2618213378384606</v>
      </c>
      <c r="M41" s="27">
        <v>3.2</v>
      </c>
      <c r="N41" s="64">
        <v>3.0975311154974303</v>
      </c>
      <c r="O41" s="35"/>
      <c r="P41" s="35"/>
      <c r="Q41" s="35"/>
      <c r="R41" s="35"/>
      <c r="S41" s="35"/>
      <c r="T41" s="35"/>
      <c r="U41" s="35"/>
      <c r="V41" s="35"/>
      <c r="W41" s="35"/>
    </row>
    <row r="42" spans="1:23">
      <c r="B42" s="12" t="s">
        <v>19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J42" s="35"/>
      <c r="K42" s="35"/>
      <c r="L42" s="30">
        <v>4.1371344016020148E-2</v>
      </c>
      <c r="M42" s="30">
        <v>4.1955157385205874E-2</v>
      </c>
      <c r="N42" s="57">
        <v>3.4000000000000002E-2</v>
      </c>
      <c r="O42" s="35"/>
      <c r="P42" s="35"/>
      <c r="Q42" s="35"/>
      <c r="R42" s="35"/>
      <c r="S42" s="35"/>
      <c r="T42" s="35"/>
      <c r="U42" s="35"/>
      <c r="V42" s="35"/>
      <c r="W42" s="35"/>
    </row>
    <row r="43" spans="1:23" ht="17.25" thickBot="1">
      <c r="B43" s="28" t="s">
        <v>20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J43" s="35"/>
      <c r="K43" s="35"/>
      <c r="L43" s="26">
        <v>1.9288662825229497E-2</v>
      </c>
      <c r="M43" s="26">
        <v>2.0196930277131771E-2</v>
      </c>
      <c r="N43" s="58">
        <v>1.6E-2</v>
      </c>
      <c r="O43" s="35"/>
      <c r="P43" s="35"/>
      <c r="Q43" s="35"/>
      <c r="R43" s="35"/>
      <c r="S43" s="35"/>
      <c r="T43" s="35"/>
      <c r="U43" s="35"/>
      <c r="V43" s="35"/>
      <c r="W43" s="35"/>
    </row>
    <row r="44" spans="1:23">
      <c r="B44" s="35"/>
      <c r="C44" s="48"/>
      <c r="D44" s="48"/>
      <c r="E44" s="48"/>
      <c r="F44" s="48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pans="1:23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 spans="1:23">
      <c r="B46" s="35" t="s">
        <v>22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1:23">
      <c r="B47" s="35" t="s">
        <v>23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1:23">
      <c r="B48" s="35" t="s">
        <v>24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 spans="2:23">
      <c r="B49" s="35" t="s">
        <v>25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 spans="2:23">
      <c r="B50" s="35" t="s">
        <v>53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2:23">
      <c r="B51" s="35" t="s">
        <v>29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</row>
    <row r="52" spans="2:23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showGridLines="0" view="pageBreakPreview" zoomScale="80" zoomScaleNormal="80" zoomScaleSheetLayoutView="80" workbookViewId="0">
      <selection activeCell="M5" sqref="M5"/>
    </sheetView>
  </sheetViews>
  <sheetFormatPr defaultColWidth="9" defaultRowHeight="16.5"/>
  <cols>
    <col min="1" max="1" width="3.75" style="1" customWidth="1"/>
    <col min="2" max="2" width="38" style="1" customWidth="1"/>
    <col min="3" max="13" width="9.25" style="1" customWidth="1"/>
    <col min="14" max="16384" width="9" style="1"/>
  </cols>
  <sheetData>
    <row r="2" spans="1:13" ht="20.25">
      <c r="B2" s="10" t="s">
        <v>30</v>
      </c>
    </row>
    <row r="3" spans="1:13">
      <c r="B3" s="11" t="s">
        <v>40</v>
      </c>
    </row>
    <row r="4" spans="1:13">
      <c r="B4" s="7"/>
      <c r="C4" s="60" t="s">
        <v>70</v>
      </c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18" thickBot="1">
      <c r="A5" s="3" t="s">
        <v>21</v>
      </c>
      <c r="B5" s="2" t="s">
        <v>3</v>
      </c>
      <c r="C5" s="45" t="s">
        <v>56</v>
      </c>
      <c r="D5" s="45" t="s">
        <v>57</v>
      </c>
      <c r="E5" s="45" t="s">
        <v>58</v>
      </c>
      <c r="F5" s="45" t="s">
        <v>59</v>
      </c>
      <c r="G5" s="45">
        <v>2018</v>
      </c>
      <c r="H5" s="45" t="s">
        <v>61</v>
      </c>
      <c r="I5" s="45" t="s">
        <v>62</v>
      </c>
      <c r="J5" s="45" t="s">
        <v>67</v>
      </c>
      <c r="K5" s="45" t="s">
        <v>69</v>
      </c>
      <c r="L5" s="45">
        <v>2019</v>
      </c>
      <c r="M5" s="45" t="s">
        <v>71</v>
      </c>
    </row>
    <row r="6" spans="1:13">
      <c r="B6" s="8" t="s">
        <v>4</v>
      </c>
      <c r="C6" s="67">
        <v>5710.2</v>
      </c>
      <c r="D6" s="67">
        <v>5806.9</v>
      </c>
      <c r="E6" s="69">
        <v>5948.5</v>
      </c>
      <c r="F6" s="69">
        <v>5994.5</v>
      </c>
      <c r="G6" s="70">
        <v>23460.1</v>
      </c>
      <c r="H6" s="69">
        <v>5834.4</v>
      </c>
      <c r="I6" s="69">
        <v>6098.5</v>
      </c>
      <c r="J6" s="69">
        <v>6213.7</v>
      </c>
      <c r="K6" s="69">
        <v>6195.5</v>
      </c>
      <c r="L6" s="70">
        <v>24342.1</v>
      </c>
      <c r="M6" s="69">
        <v>5831.7</v>
      </c>
    </row>
    <row r="7" spans="1:13">
      <c r="B7" s="5" t="s">
        <v>5</v>
      </c>
      <c r="C7" s="67">
        <v>4869.2</v>
      </c>
      <c r="D7" s="67">
        <v>5180.5</v>
      </c>
      <c r="E7" s="69">
        <v>5203.5</v>
      </c>
      <c r="F7" s="69">
        <v>5099.3</v>
      </c>
      <c r="G7" s="70">
        <v>20352.5</v>
      </c>
      <c r="H7" s="69">
        <v>5055.5</v>
      </c>
      <c r="I7" s="69">
        <v>5225.2</v>
      </c>
      <c r="J7" s="69">
        <v>5199.6000000000004</v>
      </c>
      <c r="K7" s="69">
        <v>5289.8</v>
      </c>
      <c r="L7" s="70">
        <v>20770.099999999999</v>
      </c>
      <c r="M7" s="69">
        <v>5107</v>
      </c>
    </row>
    <row r="8" spans="1:13">
      <c r="B8" s="5" t="s">
        <v>72</v>
      </c>
      <c r="C8" s="67">
        <v>841</v>
      </c>
      <c r="D8" s="67">
        <v>626.4</v>
      </c>
      <c r="E8" s="69">
        <v>745</v>
      </c>
      <c r="F8" s="69">
        <v>895.2</v>
      </c>
      <c r="G8" s="70">
        <v>3107.7</v>
      </c>
      <c r="H8" s="69">
        <v>778.9</v>
      </c>
      <c r="I8" s="69">
        <v>873.3</v>
      </c>
      <c r="J8" s="69">
        <v>1014.1</v>
      </c>
      <c r="K8" s="69">
        <v>905.7</v>
      </c>
      <c r="L8" s="70">
        <v>3572</v>
      </c>
      <c r="M8" s="69">
        <v>724.8</v>
      </c>
    </row>
    <row r="9" spans="1:13">
      <c r="B9" s="5" t="s">
        <v>7</v>
      </c>
      <c r="C9" s="67">
        <v>397.1</v>
      </c>
      <c r="D9" s="67">
        <v>399.1</v>
      </c>
      <c r="E9" s="69">
        <v>369.5</v>
      </c>
      <c r="F9" s="69">
        <v>95.8</v>
      </c>
      <c r="G9" s="70">
        <v>1261.5</v>
      </c>
      <c r="H9" s="69">
        <v>402.1</v>
      </c>
      <c r="I9" s="69">
        <v>288.3</v>
      </c>
      <c r="J9" s="69">
        <v>312.39999999999998</v>
      </c>
      <c r="K9" s="69">
        <v>148.30000000000001</v>
      </c>
      <c r="L9" s="70">
        <v>1151.0999999999999</v>
      </c>
      <c r="M9" s="69">
        <v>383.1</v>
      </c>
    </row>
    <row r="10" spans="1:13">
      <c r="B10" s="5" t="s">
        <v>8</v>
      </c>
      <c r="C10" s="67">
        <v>224.1</v>
      </c>
      <c r="D10" s="67">
        <v>280.7</v>
      </c>
      <c r="E10" s="69">
        <v>239.5</v>
      </c>
      <c r="F10" s="69">
        <v>18.100000000000001</v>
      </c>
      <c r="G10" s="70">
        <v>762.3</v>
      </c>
      <c r="H10" s="69">
        <v>259.8</v>
      </c>
      <c r="I10" s="69">
        <v>203.1</v>
      </c>
      <c r="J10" s="69">
        <v>213.3</v>
      </c>
      <c r="K10" s="69">
        <v>-6.8</v>
      </c>
      <c r="L10" s="70">
        <v>669.3</v>
      </c>
      <c r="M10" s="69">
        <v>226.6</v>
      </c>
    </row>
    <row r="11" spans="1:13">
      <c r="B11" s="13" t="s">
        <v>32</v>
      </c>
      <c r="C11" s="68">
        <v>197</v>
      </c>
      <c r="D11" s="68">
        <v>251</v>
      </c>
      <c r="E11" s="71">
        <v>222.5</v>
      </c>
      <c r="F11" s="71">
        <v>18</v>
      </c>
      <c r="G11" s="72">
        <v>688.5</v>
      </c>
      <c r="H11" s="71">
        <v>231.1</v>
      </c>
      <c r="I11" s="71">
        <v>173.9</v>
      </c>
      <c r="J11" s="71">
        <v>189.7</v>
      </c>
      <c r="K11" s="71">
        <v>24.4</v>
      </c>
      <c r="L11" s="72">
        <v>619.20000000000005</v>
      </c>
      <c r="M11" s="71">
        <v>208.3</v>
      </c>
    </row>
    <row r="12" spans="1:13" ht="17.25" thickBot="1">
      <c r="B12" s="15" t="s">
        <v>9</v>
      </c>
      <c r="C12" s="77">
        <v>1228.9000000000001</v>
      </c>
      <c r="D12" s="77">
        <v>1221.2</v>
      </c>
      <c r="E12" s="78">
        <v>1184.9000000000001</v>
      </c>
      <c r="F12" s="78">
        <v>908.2</v>
      </c>
      <c r="G12" s="79">
        <v>4543.3</v>
      </c>
      <c r="H12" s="78">
        <v>1309.5</v>
      </c>
      <c r="I12" s="78">
        <v>1191.3</v>
      </c>
      <c r="J12" s="78">
        <v>1209.8</v>
      </c>
      <c r="K12" s="78">
        <v>1079.3</v>
      </c>
      <c r="L12" s="79">
        <v>4790</v>
      </c>
      <c r="M12" s="78">
        <v>1295.8</v>
      </c>
    </row>
    <row r="13" spans="1:13"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5" spans="1:13" ht="18" thickBot="1">
      <c r="A15" s="3" t="s">
        <v>21</v>
      </c>
      <c r="B15" s="14" t="s">
        <v>35</v>
      </c>
      <c r="C15" s="45" t="s">
        <v>56</v>
      </c>
      <c r="D15" s="45" t="s">
        <v>57</v>
      </c>
      <c r="E15" s="45" t="s">
        <v>58</v>
      </c>
      <c r="F15" s="45" t="s">
        <v>59</v>
      </c>
      <c r="G15" s="45">
        <v>2018</v>
      </c>
      <c r="H15" s="45" t="s">
        <v>61</v>
      </c>
      <c r="I15" s="45" t="s">
        <v>62</v>
      </c>
      <c r="J15" s="45" t="s">
        <v>68</v>
      </c>
      <c r="K15" s="45" t="s">
        <v>69</v>
      </c>
      <c r="L15" s="45">
        <v>2019</v>
      </c>
      <c r="M15" s="45" t="s">
        <v>71</v>
      </c>
    </row>
    <row r="16" spans="1:13">
      <c r="B16" s="12" t="s">
        <v>43</v>
      </c>
      <c r="C16" s="30">
        <v>7.0000000000000007E-2</v>
      </c>
      <c r="D16" s="30">
        <v>6.9000000000000006E-2</v>
      </c>
      <c r="E16" s="52">
        <v>6.2E-2</v>
      </c>
      <c r="F16" s="52">
        <v>1.6E-2</v>
      </c>
      <c r="G16" s="57">
        <v>5.3999999999999999E-2</v>
      </c>
      <c r="H16" s="52">
        <v>6.9000000000000006E-2</v>
      </c>
      <c r="I16" s="52">
        <v>4.7E-2</v>
      </c>
      <c r="J16" s="52">
        <v>0.05</v>
      </c>
      <c r="K16" s="52">
        <v>2.4E-2</v>
      </c>
      <c r="L16" s="57">
        <v>4.7E-2</v>
      </c>
      <c r="M16" s="52">
        <v>6.6000000000000003E-2</v>
      </c>
    </row>
    <row r="17" spans="1:13">
      <c r="B17" s="12" t="s">
        <v>44</v>
      </c>
      <c r="C17" s="30">
        <v>0.215</v>
      </c>
      <c r="D17" s="30">
        <v>0.21</v>
      </c>
      <c r="E17" s="52">
        <v>0.19900000000000001</v>
      </c>
      <c r="F17" s="52">
        <v>0.152</v>
      </c>
      <c r="G17" s="57">
        <v>0.19400000000000001</v>
      </c>
      <c r="H17" s="52">
        <v>0.224</v>
      </c>
      <c r="I17" s="52">
        <v>0.19500000000000001</v>
      </c>
      <c r="J17" s="52">
        <v>0.19500000000000001</v>
      </c>
      <c r="K17" s="52">
        <v>0.17399999999999999</v>
      </c>
      <c r="L17" s="57">
        <v>0.19700000000000001</v>
      </c>
      <c r="M17" s="52">
        <v>0.222</v>
      </c>
    </row>
    <row r="18" spans="1:13" ht="17.25" thickBot="1">
      <c r="B18" s="9" t="s">
        <v>45</v>
      </c>
      <c r="C18" s="26">
        <v>0.36499999999999999</v>
      </c>
      <c r="D18" s="26">
        <v>0.28299999999999997</v>
      </c>
      <c r="E18" s="51">
        <v>0.28299999999999997</v>
      </c>
      <c r="F18" s="51">
        <v>-0.443</v>
      </c>
      <c r="G18" s="58">
        <v>0.30099999999999999</v>
      </c>
      <c r="H18" s="51">
        <v>0.34699999999999998</v>
      </c>
      <c r="I18" s="51">
        <v>0.28399999999999997</v>
      </c>
      <c r="J18" s="51">
        <v>0.21099999999999999</v>
      </c>
      <c r="K18" s="51">
        <v>1.2410000000000001</v>
      </c>
      <c r="L18" s="58">
        <v>0.317</v>
      </c>
      <c r="M18" s="51">
        <v>0.38300000000000001</v>
      </c>
    </row>
    <row r="21" spans="1:13" ht="18" thickBot="1">
      <c r="A21" s="3" t="s">
        <v>21</v>
      </c>
      <c r="B21" s="2" t="s">
        <v>28</v>
      </c>
      <c r="C21" s="45" t="s">
        <v>56</v>
      </c>
      <c r="D21" s="45" t="s">
        <v>57</v>
      </c>
      <c r="E21" s="45" t="s">
        <v>58</v>
      </c>
      <c r="F21" s="45" t="s">
        <v>59</v>
      </c>
      <c r="G21" s="45">
        <v>2018</v>
      </c>
      <c r="H21" s="45" t="s">
        <v>61</v>
      </c>
      <c r="I21" s="45" t="s">
        <v>62</v>
      </c>
      <c r="J21" s="45" t="s">
        <v>68</v>
      </c>
      <c r="K21" s="45" t="s">
        <v>69</v>
      </c>
      <c r="L21" s="45">
        <v>2019</v>
      </c>
      <c r="M21" s="45" t="s">
        <v>71</v>
      </c>
    </row>
    <row r="22" spans="1:13">
      <c r="B22" s="8" t="s">
        <v>46</v>
      </c>
      <c r="C22" s="67">
        <v>6689.3</v>
      </c>
      <c r="D22" s="67">
        <v>6604.5</v>
      </c>
      <c r="E22" s="69">
        <v>6370.2</v>
      </c>
      <c r="F22" s="69">
        <v>6648.3</v>
      </c>
      <c r="G22" s="70">
        <v>6683.7</v>
      </c>
      <c r="H22" s="69">
        <v>6790.1</v>
      </c>
      <c r="I22" s="69">
        <v>6256.8</v>
      </c>
      <c r="J22" s="69">
        <v>6408.3</v>
      </c>
      <c r="K22" s="69">
        <v>7298.9</v>
      </c>
      <c r="L22" s="70">
        <v>7298.9</v>
      </c>
      <c r="M22" s="69">
        <v>7286.9</v>
      </c>
    </row>
    <row r="23" spans="1:13">
      <c r="B23" s="6" t="s">
        <v>42</v>
      </c>
      <c r="C23" s="68">
        <v>4911.8</v>
      </c>
      <c r="D23" s="68">
        <v>4354.8</v>
      </c>
      <c r="E23" s="71">
        <v>3652.1</v>
      </c>
      <c r="F23" s="71">
        <v>3944.9</v>
      </c>
      <c r="G23" s="72">
        <v>4755.5</v>
      </c>
      <c r="H23" s="71">
        <v>4025.1</v>
      </c>
      <c r="I23" s="71">
        <v>4006.7</v>
      </c>
      <c r="J23" s="71">
        <v>4279.8999999999996</v>
      </c>
      <c r="K23" s="71">
        <v>4993</v>
      </c>
      <c r="L23" s="72">
        <v>4993</v>
      </c>
      <c r="M23" s="71">
        <v>5659.8</v>
      </c>
    </row>
    <row r="24" spans="1:13">
      <c r="B24" s="5" t="s">
        <v>13</v>
      </c>
      <c r="C24" s="30">
        <v>0.34699999999999998</v>
      </c>
      <c r="D24" s="30">
        <v>0.30199999999999999</v>
      </c>
      <c r="E24" s="52">
        <v>0.248</v>
      </c>
      <c r="F24" s="52">
        <v>0.26800000000000002</v>
      </c>
      <c r="G24" s="57">
        <v>0.33400000000000002</v>
      </c>
      <c r="H24" s="52">
        <v>0.27300000000000002</v>
      </c>
      <c r="I24" s="52">
        <v>0.26700000000000002</v>
      </c>
      <c r="J24" s="52">
        <v>0.28100000000000003</v>
      </c>
      <c r="K24" s="52">
        <v>0.32900000000000001</v>
      </c>
      <c r="L24" s="57">
        <v>0.32900000000000001</v>
      </c>
      <c r="M24" s="52">
        <v>0.376</v>
      </c>
    </row>
    <row r="25" spans="1:13" ht="17.25" thickBot="1">
      <c r="B25" s="9" t="s">
        <v>41</v>
      </c>
      <c r="C25" s="34"/>
      <c r="D25" s="34"/>
      <c r="E25" s="34"/>
      <c r="F25" s="34"/>
      <c r="G25" s="59">
        <f>G23/G12</f>
        <v>1.0467061387097483</v>
      </c>
      <c r="H25" s="34"/>
      <c r="I25" s="34"/>
      <c r="J25" s="34"/>
      <c r="K25" s="34"/>
      <c r="L25" s="59">
        <f>L23/L12</f>
        <v>1.0423799582463467</v>
      </c>
      <c r="M25" s="34"/>
    </row>
    <row r="26" spans="1:13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이고은(IR2팀)</cp:lastModifiedBy>
  <cp:lastPrinted>2015-04-29T05:47:50Z</cp:lastPrinted>
  <dcterms:created xsi:type="dcterms:W3CDTF">2012-01-10T00:01:55Z</dcterms:created>
  <dcterms:modified xsi:type="dcterms:W3CDTF">2020-05-13T02:21:12Z</dcterms:modified>
</cp:coreProperties>
</file>