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xr:revisionPtr revIDLastSave="0" documentId="13_ncr:1_{FA8C301C-4E41-4372-A98F-73AB5A00DD68}" xr6:coauthVersionLast="47" xr6:coauthVersionMax="47" xr10:uidLastSave="{00000000-0000-0000-0000-000000000000}"/>
  <bookViews>
    <workbookView xWindow="-108" yWindow="-108" windowWidth="23256" windowHeight="12576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'Fixed(M)'!$A$1:$BW$24</definedName>
    <definedName name="_xlnm.Print_Area" localSheetId="0">'Wireless(Q)'!$A$1:$Y$30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<sst xmlns="http://schemas.openxmlformats.org/spreadsheetml/2006/main" count="98" uniqueCount="73">
  <si>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</si>
  <si>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</si>
  <si>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</si>
  <si>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</si>
  <si>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</si>
  <si>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</si>
  <si>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</si>
  <si>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</si>
  <si>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Net add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</si>
  <si>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</si>
  <si>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</si>
  <si>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</si>
  <si>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</si>
  <si>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</si>
  <si>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</si>
  <si>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</si>
  <si>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</si>
  <si>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</si>
  <si>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</si>
  <si>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</si>
  <si>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</si>
  <si>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</si>
  <si>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</si>
  <si>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</si>
  <si>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</si>
  <si>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</si>
  <si>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</si>
  <si>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</si>
  <si>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</si>
  <si>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</si>
  <si>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</si>
  <si>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</si>
  <si>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</si>
  <si>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</si>
  <si>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</si>
  <si>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</si>
  <si>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</si>
  <si>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</si>
  <si>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</si>
  <si>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</si>
  <si>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</si>
  <si>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</si>
  <si>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</si>
  <si>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</si>
  <si>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</si>
  <si>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</si>
  <si>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</si>
  <si>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</si>
  <si>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</si>
  <si>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</si>
  <si>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</si>
  <si>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</si>
  <si>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</si>
  <si>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</si>
  <si>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</si>
  <si>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</si>
  <si>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</si>
  <si>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</si>
  <si>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</si>
  <si>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</si>
  <si>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</si>
  <si>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</si>
  <si>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</si>
  <si>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</si>
  <si>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</si>
  <si>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</si>
  <si>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</si>
  <si>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</si>
  <si>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</si>
  <si>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</si>
  <si>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</si>
  <si>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</si>
  <si>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KT Monthly Factsheet (February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</si>
</sst>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left" vertical="center"/>
    </xf>
    <xf numFmtId="0" fontId="18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Border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2" fillId="0" borderId="0" xfId="0" applyFont="1" applyFill="1" applyAlignment="1">
      <alignment vertical="center"/>
    </xf>
    <xf numFmtId="0" fontId="16" fillId="11" borderId="0" xfId="0" applyFont="1" applyFill="1" applyAlignment="1">
      <alignment vertical="center"/>
    </xf>
    <xf numFmtId="0" fontId="16" fillId="0" borderId="0" xfId="0" applyFont="1" applyAlignment="1"/>
    <xf numFmtId="0" fontId="16" fillId="9" borderId="0" xfId="0" applyFont="1" applyFill="1" applyAlignment="1">
      <alignment vertical="center"/>
    </xf>
    <xf numFmtId="41" fontId="25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vertical="center"/>
    </xf>
    <xf numFmtId="9" fontId="17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Fill="1" applyBorder="1" applyAlignment="1">
      <alignment horizontal="right" vertical="center" wrapText="1"/>
    </xf>
    <xf numFmtId="41" fontId="7" fillId="0" borderId="0" xfId="0" applyNumberFormat="1" applyFont="1" applyFill="1" applyBorder="1" applyAlignment="1">
      <alignment horizontal="left" vertical="center"/>
    </xf>
    <xf numFmtId="41" fontId="7" fillId="0" borderId="1" xfId="0" applyNumberFormat="1" applyFont="1" applyFill="1" applyBorder="1" applyAlignment="1">
      <alignment horizontal="left" vertical="center"/>
    </xf>
    <xf numFmtId="328" fontId="19" fillId="0" borderId="1" xfId="0" applyNumberFormat="1" applyFont="1" applyFill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Fill="1" applyBorder="1" applyAlignment="1">
      <alignment horizontal="righ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24</xdr:col>
      <xdr:colOff>290945</xdr:colOff>
      <xdr:row>0</xdr:row>
      <xdr:rowOff>199465</xdr:rowOff>
    </xdr:from>
    <xdr:ext cx="733535" cy="528411"/>
    <xdr:pic>
      <xdr:nvPicPr>
        <xdr:cNvPr id="5" name="그림 4">
          <a:extLst>
            <a:ext uri="{FF2B5EF4-FFF2-40B4-BE49-F238E27FC236}">
              <a16:creationId xmlns:a16="http://schemas.microsoft.com/office/drawing/2014/main" id="{0E3AB7EF-6A24-4F43-A520-E82A78067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918872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73</xdr:col>
      <xdr:colOff>82464</xdr:colOff>
      <xdr:row>0</xdr:row>
      <xdr:rowOff>135576</xdr:rowOff>
    </xdr:from>
    <xdr:ext cx="672073" cy="598714"/>
    <xdr:pic>
      <xdr:nvPicPr>
        <xdr:cNvPr id="4" name="그림 3">
          <a:extLst>
            <a:ext uri="{FF2B5EF4-FFF2-40B4-BE49-F238E27FC236}">
              <a16:creationId xmlns:a16="http://schemas.microsoft.com/office/drawing/2014/main" id="{7B119DCA-AD70-43F2-8474-A9288D409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180464" y="135576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34"/>
  <sheetViews>
    <sheetView showGridLines="0" view="pageBreakPreview" zoomScale="55" zoomScaleNormal="60" zoomScaleSheetLayoutView="55" workbookViewId="0">
      <selection activeCell="A2" sqref="A2"/>
    </sheetView>
  </sheetViews>
  <sheetFormatPr defaultColWidth="9" defaultRowHeight="18.75" customHeight="1"/>
  <cols>
    <col min="1" max="1" width="41.3984375" style="54" customWidth="1"/>
    <col min="2" max="2" width="14.8984375" style="54" hidden="1" customWidth="1"/>
    <col min="3" max="3" width="15.09765625" style="54" hidden="1" customWidth="1"/>
    <col min="4" max="4" width="14.8984375" style="54" hidden="1" customWidth="1"/>
    <col min="5" max="17" width="15.09765625" style="54" hidden="1" customWidth="1"/>
    <col min="18" max="18" width="15.09765625" style="54" customWidth="1"/>
    <col min="19" max="19" width="14.3984375" style="54" customWidth="1"/>
    <col min="20" max="20" width="13.5" style="54" customWidth="1"/>
    <col min="21" max="25" width="15" style="54" customWidth="1"/>
    <col min="26" max="28" width="9" style="54"/>
    <col min="29" max="29" width="10.796875" style="54" bestFit="1" customWidth="1"/>
    <col min="30" max="16384" width="9" style="54"/>
  </cols>
  <sheetData>
    <row r="1" spans="1:25" s="55" customFormat="1" ht="46.5" customHeight="1">
      <c r="A1" s="1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6"/>
      <c r="T1" s="26"/>
      <c r="U1" s="26"/>
      <c r="V1" s="26"/>
      <c r="W1" s="26"/>
      <c r="X1" s="26"/>
      <c r="Y1" s="26"/>
    </row>
    <row r="2" spans="1:25" s="34" customFormat="1" ht="27.75" customHeight="1"/>
    <row r="3" spans="1:25" s="34" customFormat="1" ht="31.5" customHeight="1">
      <c r="A3" s="27" t="s">
        <v>9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6"/>
      <c r="X3" s="26"/>
      <c r="Y3" s="26"/>
    </row>
    <row r="4" spans="1:25" s="50" customFormat="1" ht="31.5" customHeight="1">
      <c r="A4" s="28" t="s">
        <v>14</v>
      </c>
      <c r="B4" s="29" t="s">
        <v>33</v>
      </c>
      <c r="C4" s="29" t="s">
        <v>34</v>
      </c>
      <c r="D4" s="29" t="s">
        <v>35</v>
      </c>
      <c r="E4" s="29" t="s">
        <v>36</v>
      </c>
      <c r="F4" s="7" t="s">
        <v>31</v>
      </c>
      <c r="G4" s="7" t="s">
        <v>32</v>
      </c>
      <c r="H4" s="7" t="s">
        <v>30</v>
      </c>
      <c r="I4" s="7" t="s">
        <v>44</v>
      </c>
      <c r="J4" s="29" t="s">
        <v>46</v>
      </c>
      <c r="K4" s="29" t="s">
        <v>48</v>
      </c>
      <c r="L4" s="29" t="s">
        <v>49</v>
      </c>
      <c r="M4" s="29" t="s">
        <v>51</v>
      </c>
      <c r="N4" s="7" t="s">
        <v>52</v>
      </c>
      <c r="O4" s="7" t="s">
        <v>53</v>
      </c>
      <c r="P4" s="7" t="s">
        <v>54</v>
      </c>
      <c r="Q4" s="7" t="s">
        <v>55</v>
      </c>
      <c r="R4" s="29" t="s">
        <v>58</v>
      </c>
      <c r="S4" s="29" t="s">
        <v>60</v>
      </c>
      <c r="T4" s="29" t="s">
        <v>61</v>
      </c>
      <c r="U4" s="29" t="s">
        <v>62</v>
      </c>
      <c r="V4" s="7" t="s">
        <v>63</v>
      </c>
      <c r="W4" s="7" t="s">
        <v>65</v>
      </c>
      <c r="X4" s="7" t="s">
        <v>67</v>
      </c>
      <c r="Y4" s="7" t="s">
        <v>68</v>
      </c>
    </row>
    <row r="5" spans="1:25" s="51" customFormat="1" ht="31.5" customHeight="1">
      <c r="A5" s="30" t="s">
        <v>15</v>
      </c>
      <c r="B5" s="68">
        <v>20623074</v>
      </c>
      <c r="C5" s="68">
        <v>20787130</v>
      </c>
      <c r="D5" s="68">
        <v>20960143</v>
      </c>
      <c r="E5" s="68">
        <v>21138470</v>
      </c>
      <c r="F5" s="68">
        <v>21333414</v>
      </c>
      <c r="G5" s="68">
        <v>21549275</v>
      </c>
      <c r="H5" s="68">
        <v>21771395</v>
      </c>
      <c r="I5" s="68">
        <v>21921726</v>
      </c>
      <c r="J5" s="68">
        <v>21976346</v>
      </c>
      <c r="K5" s="68">
        <v>22133418</v>
      </c>
      <c r="L5" s="68">
        <v>22332940</v>
      </c>
      <c r="M5" s="68">
        <v>22305196</v>
      </c>
      <c r="N5" s="68">
        <v>22427229</v>
      </c>
      <c r="O5" s="68">
        <v>22621043</v>
      </c>
      <c r="P5" s="68">
        <v>22735419</v>
      </c>
      <c r="Q5" s="68">
        <v>22798972</v>
      </c>
      <c r="R5" s="68">
        <v>23059858</v>
      </c>
      <c r="S5" s="68">
        <v>23408751</v>
      </c>
      <c r="T5" s="68">
        <v>23826745</v>
      </c>
      <c r="U5" s="68">
        <v>24062220</v>
      </c>
      <c r="V5" s="68">
        <v>24331780</v>
      </c>
      <c r="W5" s="68">
        <v>24620713</v>
      </c>
      <c r="X5" s="68">
        <v>24903276</v>
      </c>
      <c r="Y5" s="68">
        <v>24896794</v>
      </c>
    </row>
    <row r="6" spans="1:25" s="51" customFormat="1" ht="31.5" customHeight="1">
      <c r="A6" s="73" t="s">
        <v>70</v>
      </c>
      <c r="B6" s="74" t="s">
        <v>28</v>
      </c>
      <c r="C6" s="74">
        <f>C5-B5</f>
        <v>164056</v>
      </c>
      <c r="D6" s="74">
        <f t="shared" ref="D6:Y6" si="0">D5-C5</f>
        <v>173013</v>
      </c>
      <c r="E6" s="74">
        <f t="shared" si="0"/>
        <v>178327</v>
      </c>
      <c r="F6" s="74">
        <f t="shared" si="0"/>
        <v>194944</v>
      </c>
      <c r="G6" s="74">
        <f t="shared" si="0"/>
        <v>215861</v>
      </c>
      <c r="H6" s="74">
        <f t="shared" si="0"/>
        <v>222120</v>
      </c>
      <c r="I6" s="74">
        <f t="shared" si="0"/>
        <v>150331</v>
      </c>
      <c r="J6" s="74">
        <f t="shared" si="0"/>
        <v>54620</v>
      </c>
      <c r="K6" s="74">
        <f t="shared" si="0"/>
        <v>157072</v>
      </c>
      <c r="L6" s="74">
        <f t="shared" si="0"/>
        <v>199522</v>
      </c>
      <c r="M6" s="74">
        <f t="shared" si="0"/>
        <v>-27744</v>
      </c>
      <c r="N6" s="74">
        <f t="shared" si="0"/>
        <v>122033</v>
      </c>
      <c r="O6" s="74">
        <f t="shared" si="0"/>
        <v>193814</v>
      </c>
      <c r="P6" s="74">
        <f t="shared" si="0"/>
        <v>114376</v>
      </c>
      <c r="Q6" s="74">
        <f t="shared" si="0"/>
        <v>63553</v>
      </c>
      <c r="R6" s="74">
        <f t="shared" si="0"/>
        <v>260886</v>
      </c>
      <c r="S6" s="74">
        <f t="shared" si="0"/>
        <v>348893</v>
      </c>
      <c r="T6" s="74">
        <f t="shared" si="0"/>
        <v>417994</v>
      </c>
      <c r="U6" s="74">
        <f t="shared" si="0"/>
        <v>235475</v>
      </c>
      <c r="V6" s="74">
        <f t="shared" si="0"/>
        <v>269560</v>
      </c>
      <c r="W6" s="74">
        <f t="shared" si="0"/>
        <v>288933</v>
      </c>
      <c r="X6" s="74">
        <f t="shared" si="0"/>
        <v>282563</v>
      </c>
      <c r="Y6" s="74">
        <f t="shared" si="0"/>
        <v>-6482</v>
      </c>
    </row>
    <row r="7" spans="1:25" s="51" customFormat="1" ht="31.5" customHeight="1">
      <c r="A7" s="70" t="s">
        <v>16</v>
      </c>
      <c r="B7" s="69">
        <v>4511566.0000000009</v>
      </c>
      <c r="C7" s="69">
        <v>4438284.0000000019</v>
      </c>
      <c r="D7" s="69">
        <v>4308167.9999999981</v>
      </c>
      <c r="E7" s="69">
        <v>4149035</v>
      </c>
      <c r="F7" s="69">
        <v>3940684</v>
      </c>
      <c r="G7" s="69">
        <v>3747395</v>
      </c>
      <c r="H7" s="69">
        <v>3546985</v>
      </c>
      <c r="I7" s="69">
        <v>3349865</v>
      </c>
      <c r="J7" s="69">
        <v>3163199</v>
      </c>
      <c r="K7" s="69">
        <v>2942428</v>
      </c>
      <c r="L7" s="69">
        <v>2746404</v>
      </c>
      <c r="M7" s="69">
        <v>2512429</v>
      </c>
      <c r="N7" s="69">
        <v>2283928</v>
      </c>
      <c r="O7" s="69">
        <v>2103716</v>
      </c>
      <c r="P7" s="69">
        <v>1957666</v>
      </c>
      <c r="Q7" s="69">
        <v>1759546.0000000021</v>
      </c>
      <c r="R7" s="69">
        <v>1657188</v>
      </c>
      <c r="S7" s="69">
        <v>1572250</v>
      </c>
      <c r="T7" s="69">
        <v>1472142</v>
      </c>
      <c r="U7" s="69">
        <v>1318400</v>
      </c>
      <c r="V7" s="69">
        <v>1165108</v>
      </c>
      <c r="W7" s="69">
        <v>1087070</v>
      </c>
      <c r="X7" s="69">
        <v>1036120</v>
      </c>
      <c r="Y7" s="69">
        <v>985534</v>
      </c>
    </row>
    <row r="8" spans="1:25" s="51" customFormat="1" ht="31.5" customHeight="1">
      <c r="A8" s="70" t="s">
        <v>17</v>
      </c>
      <c r="B8" s="69">
        <v>15866724</v>
      </c>
      <c r="C8" s="69">
        <v>16223782</v>
      </c>
      <c r="D8" s="69">
        <v>16611598.000000002</v>
      </c>
      <c r="E8" s="69">
        <v>16971135</v>
      </c>
      <c r="F8" s="69">
        <v>17392730</v>
      </c>
      <c r="G8" s="69">
        <v>17382564</v>
      </c>
      <c r="H8" s="69">
        <v>17169250</v>
      </c>
      <c r="I8" s="69">
        <v>17152523</v>
      </c>
      <c r="J8" s="69">
        <v>17034604</v>
      </c>
      <c r="K8" s="69">
        <v>16953514</v>
      </c>
      <c r="L8" s="69">
        <v>16773654.999999998</v>
      </c>
      <c r="M8" s="69">
        <v>16173610</v>
      </c>
      <c r="N8" s="69">
        <v>15739071</v>
      </c>
      <c r="O8" s="69">
        <v>15503661</v>
      </c>
      <c r="P8" s="69">
        <v>15160852</v>
      </c>
      <c r="Q8" s="69">
        <v>14661756</v>
      </c>
      <c r="R8" s="69">
        <v>14453780</v>
      </c>
      <c r="S8" s="69">
        <v>14357119</v>
      </c>
      <c r="T8" s="69">
        <v>14392453</v>
      </c>
      <c r="U8" s="69">
        <v>14260749</v>
      </c>
      <c r="V8" s="69">
        <v>14229983</v>
      </c>
      <c r="W8" s="69">
        <v>14255821</v>
      </c>
      <c r="X8" s="69">
        <v>14280292</v>
      </c>
      <c r="Y8" s="69">
        <v>13993398</v>
      </c>
    </row>
    <row r="9" spans="1:25" s="51" customFormat="1" ht="31.5" customHeight="1">
      <c r="A9" s="71" t="s">
        <v>27</v>
      </c>
      <c r="B9" s="72" t="s">
        <v>28</v>
      </c>
      <c r="C9" s="72" t="s">
        <v>28</v>
      </c>
      <c r="D9" s="72" t="s">
        <v>28</v>
      </c>
      <c r="E9" s="72" t="s">
        <v>28</v>
      </c>
      <c r="F9" s="72" t="s">
        <v>28</v>
      </c>
      <c r="G9" s="72">
        <v>419316</v>
      </c>
      <c r="H9" s="72">
        <v>1055160</v>
      </c>
      <c r="I9" s="72">
        <v>1419338</v>
      </c>
      <c r="J9" s="72">
        <v>1778543</v>
      </c>
      <c r="K9" s="72">
        <v>2237476</v>
      </c>
      <c r="L9" s="72">
        <v>2812881</v>
      </c>
      <c r="M9" s="72">
        <v>3619157</v>
      </c>
      <c r="N9" s="72">
        <v>4404230</v>
      </c>
      <c r="O9" s="72">
        <v>5013666</v>
      </c>
      <c r="P9" s="72">
        <v>5616901</v>
      </c>
      <c r="Q9" s="72">
        <v>6377670</v>
      </c>
      <c r="R9" s="72">
        <v>6948890</v>
      </c>
      <c r="S9" s="72">
        <v>7479382</v>
      </c>
      <c r="T9" s="72">
        <v>7962150</v>
      </c>
      <c r="U9" s="72">
        <v>8483071</v>
      </c>
      <c r="V9" s="72">
        <v>8936689</v>
      </c>
      <c r="W9" s="72">
        <v>9277822</v>
      </c>
      <c r="X9" s="72">
        <v>9586864</v>
      </c>
      <c r="Y9" s="72">
        <v>9917862</v>
      </c>
    </row>
    <row r="10" spans="1:25" s="51" customFormat="1" ht="15" customHeight="1">
      <c r="A10" s="56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spans="1:25" s="50" customFormat="1" ht="22.5" customHeight="1">
      <c r="A11" s="33" t="s">
        <v>18</v>
      </c>
      <c r="B11" s="32">
        <v>1.3748488908059174E-2</v>
      </c>
      <c r="C11" s="32">
        <v>1.3284523467846372E-2</v>
      </c>
      <c r="D11" s="32">
        <v>1.3551031620685289E-2</v>
      </c>
      <c r="E11" s="32">
        <v>1.3677286720044986E-2</v>
      </c>
      <c r="F11" s="32">
        <v>1.2681971449584956E-2</v>
      </c>
      <c r="G11" s="32">
        <v>1.2014271897953316E-2</v>
      </c>
      <c r="H11" s="32">
        <v>1.2355497761047248E-2</v>
      </c>
      <c r="I11" s="32">
        <v>1.3054934868873321E-2</v>
      </c>
      <c r="J11" s="32">
        <v>1.1620213841128005E-2</v>
      </c>
      <c r="K11" s="32">
        <v>1.1891273144185494E-2</v>
      </c>
      <c r="L11" s="32">
        <v>1.1146820349273804E-2</v>
      </c>
      <c r="M11" s="32">
        <v>1.1997847796132203E-2</v>
      </c>
      <c r="N11" s="32">
        <v>1.1460546729710161E-2</v>
      </c>
      <c r="O11" s="32">
        <v>9.7942944884347009E-3</v>
      </c>
      <c r="P11" s="32">
        <v>1.1578983784680934E-2</v>
      </c>
      <c r="Q11" s="32">
        <v>1.4187944302847701E-2</v>
      </c>
      <c r="R11" s="32">
        <v>1.2147853921436781E-2</v>
      </c>
      <c r="S11" s="32">
        <v>1.1633195540115314E-2</v>
      </c>
      <c r="T11" s="32">
        <v>9.3580254252591706E-3</v>
      </c>
      <c r="U11" s="32">
        <v>1.3296377183729427E-2</v>
      </c>
      <c r="V11" s="32">
        <v>9.9259728788386008E-3</v>
      </c>
      <c r="W11" s="32">
        <v>1.0269398508515716E-2</v>
      </c>
      <c r="X11" s="32">
        <v>1.1041968479703448E-2</v>
      </c>
      <c r="Y11" s="32">
        <v>1.0535838963924338E-2</v>
      </c>
    </row>
    <row r="12" spans="1:25" s="50" customFormat="1" ht="22.5" customHeight="1">
      <c r="A12" s="63" t="s">
        <v>69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51" customFormat="1" ht="15" customHeight="1">
      <c r="A13" s="56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25" s="34" customFormat="1" ht="31.5" customHeight="1">
      <c r="A14" s="27" t="s">
        <v>19</v>
      </c>
      <c r="B14" s="3">
        <v>2018</v>
      </c>
      <c r="F14" s="3">
        <v>2019</v>
      </c>
      <c r="G14" s="5"/>
      <c r="H14" s="5"/>
      <c r="I14" s="5"/>
      <c r="J14" s="3">
        <v>2020</v>
      </c>
      <c r="N14" s="3">
        <v>2021</v>
      </c>
      <c r="R14" s="3">
        <v>2022</v>
      </c>
      <c r="V14" s="3">
        <v>2023</v>
      </c>
      <c r="W14" s="51"/>
      <c r="X14" s="51"/>
      <c r="Y14" s="51"/>
    </row>
    <row r="15" spans="1:25" s="50" customFormat="1" ht="31.5" customHeight="1">
      <c r="A15" s="35" t="s">
        <v>20</v>
      </c>
      <c r="B15" s="29" t="s">
        <v>37</v>
      </c>
      <c r="C15" s="29" t="s">
        <v>38</v>
      </c>
      <c r="D15" s="29" t="s">
        <v>39</v>
      </c>
      <c r="E15" s="29" t="s">
        <v>40</v>
      </c>
      <c r="F15" s="7" t="s">
        <v>41</v>
      </c>
      <c r="G15" s="7" t="s">
        <v>42</v>
      </c>
      <c r="H15" s="7" t="s">
        <v>43</v>
      </c>
      <c r="I15" s="7" t="s">
        <v>45</v>
      </c>
      <c r="J15" s="29" t="s">
        <v>47</v>
      </c>
      <c r="K15" s="29" t="s">
        <v>48</v>
      </c>
      <c r="L15" s="29" t="s">
        <v>50</v>
      </c>
      <c r="M15" s="29" t="s">
        <v>51</v>
      </c>
      <c r="N15" s="7" t="s">
        <v>52</v>
      </c>
      <c r="O15" s="7" t="s">
        <v>53</v>
      </c>
      <c r="P15" s="7" t="s">
        <v>54</v>
      </c>
      <c r="Q15" s="7" t="s">
        <v>55</v>
      </c>
      <c r="R15" s="29" t="s">
        <v>58</v>
      </c>
      <c r="S15" s="29" t="s">
        <v>60</v>
      </c>
      <c r="T15" s="29" t="s">
        <v>61</v>
      </c>
      <c r="U15" s="29" t="s">
        <v>62</v>
      </c>
      <c r="V15" s="7" t="s">
        <v>63</v>
      </c>
      <c r="W15" s="7" t="s">
        <v>65</v>
      </c>
      <c r="X15" s="7" t="s">
        <v>67</v>
      </c>
      <c r="Y15" s="7" t="s">
        <v>68</v>
      </c>
    </row>
    <row r="16" spans="1:25" s="34" customFormat="1" ht="31.5" hidden="1" customHeight="1">
      <c r="A16" s="36" t="s">
        <v>21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s="34" customFormat="1" ht="31.5" hidden="1" customHeight="1">
      <c r="A17" s="38" t="s">
        <v>10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s="34" customFormat="1" ht="31.5" hidden="1" customHeight="1">
      <c r="A18" s="38" t="s">
        <v>11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s="52" customFormat="1" ht="31.5" hidden="1" customHeight="1">
      <c r="A19" s="38" t="s">
        <v>22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s="34" customFormat="1" ht="31.5" hidden="1" customHeight="1">
      <c r="A20" s="40" t="s">
        <v>23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s="34" customFormat="1" ht="31.5" hidden="1" customHeight="1">
      <c r="A21" s="36" t="s">
        <v>24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s="34" customFormat="1" ht="31.5" hidden="1" customHeight="1">
      <c r="A22" s="38" t="s">
        <v>12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s="34" customFormat="1" ht="31.5" hidden="1" customHeight="1">
      <c r="A23" s="40" t="s">
        <v>13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 s="34" customFormat="1" ht="8.25" hidden="1" customHeight="1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s="34" customFormat="1" ht="22.5" hidden="1" customHeight="1">
      <c r="A25" s="45" t="s">
        <v>25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 s="34" customFormat="1" ht="22.5" hidden="1" customHeight="1">
      <c r="A26" s="47" t="s">
        <v>26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spans="1:25" s="53" customFormat="1" ht="31.5" customHeight="1">
      <c r="A27" s="67" t="s">
        <v>59</v>
      </c>
      <c r="B27" s="49"/>
      <c r="C27" s="49"/>
      <c r="D27" s="49"/>
      <c r="E27" s="49"/>
      <c r="F27" s="49"/>
      <c r="G27" s="49"/>
      <c r="H27" s="49"/>
      <c r="I27" s="49"/>
      <c r="J27" s="49">
        <v>31047.535232711263</v>
      </c>
      <c r="K27" s="49">
        <v>30656.944430499378</v>
      </c>
      <c r="L27" s="49">
        <v>30815.52324865833</v>
      </c>
      <c r="M27" s="49">
        <v>31109</v>
      </c>
      <c r="N27" s="49">
        <v>31151</v>
      </c>
      <c r="O27" s="49">
        <v>31429</v>
      </c>
      <c r="P27" s="49">
        <v>31815</v>
      </c>
      <c r="Q27" s="49">
        <v>31825</v>
      </c>
      <c r="R27" s="49">
        <v>32308.38615118797</v>
      </c>
      <c r="S27" s="49">
        <v>32446</v>
      </c>
      <c r="T27" s="49">
        <v>32916.998590049174</v>
      </c>
      <c r="U27" s="49">
        <v>33542</v>
      </c>
      <c r="V27" s="49">
        <v>33771</v>
      </c>
      <c r="W27" s="49">
        <v>33948</v>
      </c>
      <c r="X27" s="49">
        <v>33838</v>
      </c>
      <c r="Y27" s="49">
        <v>34302</v>
      </c>
    </row>
    <row r="28" spans="1:25" s="58" customFormat="1" ht="23.25" customHeight="1">
      <c r="A28" s="63" t="s">
        <v>56</v>
      </c>
      <c r="B28" s="57"/>
      <c r="C28" s="57"/>
      <c r="D28" s="57"/>
      <c r="E28" s="57"/>
      <c r="F28" s="57"/>
      <c r="G28" s="57"/>
      <c r="H28" s="57"/>
      <c r="I28" s="57"/>
      <c r="J28" s="57"/>
    </row>
    <row r="29" spans="1:25" s="58" customFormat="1" ht="23.25" customHeight="1">
      <c r="A29" s="59" t="s">
        <v>71</v>
      </c>
      <c r="B29" s="57"/>
      <c r="C29" s="57"/>
      <c r="D29" s="57"/>
      <c r="E29" s="57"/>
      <c r="F29" s="57"/>
      <c r="G29" s="57"/>
      <c r="H29" s="57"/>
      <c r="I29" s="57"/>
      <c r="J29" s="57"/>
    </row>
    <row r="30" spans="1:25" s="58" customFormat="1" ht="23.25" customHeight="1">
      <c r="A30" s="59" t="s">
        <v>57</v>
      </c>
      <c r="B30" s="57"/>
      <c r="C30" s="57"/>
      <c r="D30" s="57"/>
      <c r="E30" s="57"/>
      <c r="F30" s="57"/>
      <c r="G30" s="57"/>
      <c r="H30" s="57"/>
      <c r="I30" s="57"/>
      <c r="J30" s="57"/>
    </row>
    <row r="34" spans="7:7" ht="18.75" customHeight="1">
      <c r="G34" s="54">
        <v>1000</v>
      </c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W24"/>
  <sheetViews>
    <sheetView showGridLines="0" tabSelected="1" view="pageBreakPreview" zoomScale="55" zoomScaleNormal="70" zoomScaleSheetLayoutView="55" workbookViewId="0">
      <pane xSplit="49" topLeftCell="AX1" activePane="topRight" state="frozen"/>
      <selection pane="topRight" activeCell="BK16" sqref="BK16"/>
    </sheetView>
  </sheetViews>
  <sheetFormatPr defaultColWidth="9" defaultRowHeight="30.75" customHeight="1"/>
  <cols>
    <col min="1" max="1" width="35.8984375" style="25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60" hidden="1" customWidth="1"/>
    <col min="30" max="30" width="10.69921875" style="60" hidden="1" customWidth="1"/>
    <col min="31" max="32" width="11.69921875" style="60" hidden="1" customWidth="1"/>
    <col min="33" max="38" width="10.8984375" style="60" hidden="1" customWidth="1"/>
    <col min="39" max="49" width="11" style="60" hidden="1" customWidth="1"/>
    <col min="50" max="52" width="11" style="60" customWidth="1"/>
    <col min="53" max="53" width="10.296875" style="60" customWidth="1"/>
    <col min="54" max="55" width="11" style="60" customWidth="1"/>
    <col min="56" max="56" width="10.59765625" style="60" customWidth="1"/>
    <col min="57" max="58" width="10.8984375" style="60" customWidth="1"/>
    <col min="59" max="59" width="11" style="60" customWidth="1"/>
    <col min="60" max="61" width="11.19921875" style="60" customWidth="1"/>
    <col min="62" max="64" width="11.19921875" style="60" bestFit="1" customWidth="1"/>
    <col min="65" max="65" width="10.796875" style="60" bestFit="1" customWidth="1"/>
    <col min="66" max="71" width="11" style="60" customWidth="1"/>
    <col min="72" max="74" width="11.19921875" style="60" customWidth="1"/>
    <col min="75" max="75" width="10.796875" style="60" bestFit="1" customWidth="1"/>
    <col min="76" max="16384" width="9" style="60"/>
  </cols>
  <sheetData>
    <row r="1" spans="1:75" ht="44.25" customHeight="1">
      <c r="A1" s="1" t="s">
        <v>72</v>
      </c>
    </row>
    <row r="2" spans="1:75" ht="29.25" customHeight="1">
      <c r="A2" s="2"/>
    </row>
    <row r="3" spans="1:75" s="4" customFormat="1" ht="24.75" customHeight="1">
      <c r="A3" s="7" t="s">
        <v>64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75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9">
        <v>43466</v>
      </c>
      <c r="O4" s="29">
        <v>43497</v>
      </c>
      <c r="P4" s="29">
        <v>43525</v>
      </c>
      <c r="Q4" s="29">
        <v>43556</v>
      </c>
      <c r="R4" s="29">
        <v>43586</v>
      </c>
      <c r="S4" s="29">
        <v>43617</v>
      </c>
      <c r="T4" s="29">
        <v>43647</v>
      </c>
      <c r="U4" s="29">
        <v>43678</v>
      </c>
      <c r="V4" s="29">
        <v>43709</v>
      </c>
      <c r="W4" s="29">
        <v>43739</v>
      </c>
      <c r="X4" s="29">
        <v>43770</v>
      </c>
      <c r="Y4" s="29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9">
        <v>44562</v>
      </c>
      <c r="AY4" s="29">
        <v>44593</v>
      </c>
      <c r="AZ4" s="29">
        <v>44621</v>
      </c>
      <c r="BA4" s="29">
        <v>44652</v>
      </c>
      <c r="BB4" s="29">
        <v>44682</v>
      </c>
      <c r="BC4" s="29">
        <v>44713</v>
      </c>
      <c r="BD4" s="29">
        <v>44744</v>
      </c>
      <c r="BE4" s="29">
        <v>44776</v>
      </c>
      <c r="BF4" s="29">
        <v>44808</v>
      </c>
      <c r="BG4" s="29">
        <v>44839</v>
      </c>
      <c r="BH4" s="29">
        <v>44870</v>
      </c>
      <c r="BI4" s="29">
        <v>44926</v>
      </c>
      <c r="BJ4" s="7">
        <v>44927</v>
      </c>
      <c r="BK4" s="7">
        <f>EDATE(BJ4,1)</f>
        <v>44958</v>
      </c>
      <c r="BL4" s="7">
        <f t="shared" ref="BL4:BW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9">
        <f t="shared" si="0"/>
        <v>45292</v>
      </c>
      <c r="BW4" s="29">
        <f t="shared" si="0"/>
        <v>45323</v>
      </c>
    </row>
    <row r="5" spans="1:75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4">
        <v>13328900</v>
      </c>
      <c r="AR5" s="64">
        <v>13284630</v>
      </c>
      <c r="AS5" s="64">
        <v>13250333</v>
      </c>
      <c r="AT5" s="64">
        <v>13217593</v>
      </c>
      <c r="AU5" s="64">
        <v>13192273</v>
      </c>
      <c r="AV5" s="64">
        <v>13148008</v>
      </c>
      <c r="AW5" s="64">
        <v>13095613</v>
      </c>
      <c r="AX5" s="64">
        <v>13050003</v>
      </c>
      <c r="AY5" s="64">
        <v>13021420</v>
      </c>
      <c r="AZ5" s="64">
        <v>12969337</v>
      </c>
      <c r="BA5" s="64">
        <v>12931911</v>
      </c>
      <c r="BB5" s="64">
        <v>12892055</v>
      </c>
      <c r="BC5" s="64">
        <v>12841719</v>
      </c>
      <c r="BD5" s="64">
        <v>12797833</v>
      </c>
      <c r="BE5" s="64">
        <v>12743865</v>
      </c>
      <c r="BF5" s="64">
        <v>12708883</v>
      </c>
      <c r="BG5" s="64">
        <v>12671316</v>
      </c>
      <c r="BH5" s="64">
        <v>12625048</v>
      </c>
      <c r="BI5" s="64">
        <v>12581257</v>
      </c>
      <c r="BJ5" s="64">
        <v>12538182</v>
      </c>
      <c r="BK5" s="64">
        <v>12489792</v>
      </c>
      <c r="BL5" s="64">
        <v>12445495</v>
      </c>
      <c r="BM5" s="64">
        <v>12404472</v>
      </c>
      <c r="BN5" s="64">
        <v>12354285</v>
      </c>
      <c r="BO5" s="64">
        <v>12309903</v>
      </c>
      <c r="BP5" s="64">
        <v>12263824</v>
      </c>
      <c r="BQ5" s="64">
        <v>12217727</v>
      </c>
      <c r="BR5" s="64">
        <v>12184317</v>
      </c>
      <c r="BS5" s="64">
        <v>12138512</v>
      </c>
      <c r="BT5" s="64">
        <v>12093639</v>
      </c>
      <c r="BU5" s="64">
        <v>12034713</v>
      </c>
      <c r="BV5" s="64">
        <v>11977707</v>
      </c>
      <c r="BW5" s="64">
        <v>11947123</v>
      </c>
    </row>
    <row r="6" spans="1:75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W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</row>
    <row r="7" spans="1:75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</row>
    <row r="8" spans="1:75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W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</row>
    <row r="9" spans="1:75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5">
        <v>9199897</v>
      </c>
      <c r="AR9" s="65">
        <v>9154600</v>
      </c>
      <c r="AS9" s="65">
        <v>9110388</v>
      </c>
      <c r="AT9" s="65">
        <v>9069568</v>
      </c>
      <c r="AU9" s="65">
        <v>9029435</v>
      </c>
      <c r="AV9" s="65">
        <v>8984196</v>
      </c>
      <c r="AW9" s="65">
        <v>8937351</v>
      </c>
      <c r="AX9" s="65">
        <v>8896608</v>
      </c>
      <c r="AY9" s="65">
        <v>8857981</v>
      </c>
      <c r="AZ9" s="65">
        <v>8814512</v>
      </c>
      <c r="BA9" s="65">
        <v>8773945</v>
      </c>
      <c r="BB9" s="65">
        <v>8730702</v>
      </c>
      <c r="BC9" s="65">
        <v>8685168</v>
      </c>
      <c r="BD9" s="65">
        <v>8643706</v>
      </c>
      <c r="BE9" s="65">
        <v>8591982</v>
      </c>
      <c r="BF9" s="65">
        <v>8551024</v>
      </c>
      <c r="BG9" s="65">
        <v>8513108</v>
      </c>
      <c r="BH9" s="65">
        <v>8473186</v>
      </c>
      <c r="BI9" s="65">
        <v>8430136</v>
      </c>
      <c r="BJ9" s="65">
        <v>8384207</v>
      </c>
      <c r="BK9" s="65">
        <v>8336527</v>
      </c>
      <c r="BL9" s="65">
        <v>8285428</v>
      </c>
      <c r="BM9" s="65">
        <v>8244472</v>
      </c>
      <c r="BN9" s="65">
        <v>8199053</v>
      </c>
      <c r="BO9" s="65">
        <v>8154495</v>
      </c>
      <c r="BP9" s="65">
        <v>8110019</v>
      </c>
      <c r="BQ9" s="65">
        <v>8063192</v>
      </c>
      <c r="BR9" s="65">
        <v>8025336</v>
      </c>
      <c r="BS9" s="65">
        <v>7980408</v>
      </c>
      <c r="BT9" s="65">
        <v>7935603</v>
      </c>
      <c r="BU9" s="65">
        <v>7891780</v>
      </c>
      <c r="BV9" s="65">
        <v>7836056</v>
      </c>
      <c r="BW9" s="65">
        <v>7789535</v>
      </c>
    </row>
    <row r="10" spans="1:75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5">
        <v>969559</v>
      </c>
      <c r="AR10" s="65">
        <v>966010</v>
      </c>
      <c r="AS10" s="65">
        <v>965551</v>
      </c>
      <c r="AT10" s="65">
        <v>967692</v>
      </c>
      <c r="AU10" s="65">
        <v>973577</v>
      </c>
      <c r="AV10" s="65">
        <v>973559</v>
      </c>
      <c r="AW10" s="65">
        <v>967611</v>
      </c>
      <c r="AX10" s="65">
        <v>964649</v>
      </c>
      <c r="AY10" s="65">
        <v>965864</v>
      </c>
      <c r="AZ10" s="65">
        <v>953754</v>
      </c>
      <c r="BA10" s="65">
        <v>952903</v>
      </c>
      <c r="BB10" s="65">
        <v>949364</v>
      </c>
      <c r="BC10" s="65">
        <v>948383</v>
      </c>
      <c r="BD10" s="65">
        <v>950455</v>
      </c>
      <c r="BE10" s="65">
        <v>946103</v>
      </c>
      <c r="BF10" s="65">
        <v>948839</v>
      </c>
      <c r="BG10" s="65">
        <v>947433</v>
      </c>
      <c r="BH10" s="65">
        <v>947550</v>
      </c>
      <c r="BI10" s="65">
        <v>945552</v>
      </c>
      <c r="BJ10" s="65">
        <v>947970</v>
      </c>
      <c r="BK10" s="65">
        <v>944357</v>
      </c>
      <c r="BL10" s="65">
        <v>940738</v>
      </c>
      <c r="BM10" s="65">
        <v>939118</v>
      </c>
      <c r="BN10" s="65">
        <v>935470</v>
      </c>
      <c r="BO10" s="65">
        <v>934759</v>
      </c>
      <c r="BP10" s="65">
        <v>932718</v>
      </c>
      <c r="BQ10" s="65">
        <f t="shared" ref="BQ10:BV10" si="3">BQ7-BQ9</f>
        <v>933056</v>
      </c>
      <c r="BR10" s="65">
        <f t="shared" si="3"/>
        <v>934467</v>
      </c>
      <c r="BS10" s="65">
        <f t="shared" si="3"/>
        <v>934665</v>
      </c>
      <c r="BT10" s="65">
        <f t="shared" si="3"/>
        <v>934837</v>
      </c>
      <c r="BU10" s="65">
        <f t="shared" si="3"/>
        <v>928193</v>
      </c>
      <c r="BV10" s="65">
        <f t="shared" si="3"/>
        <v>926805</v>
      </c>
      <c r="BW10" s="65">
        <f t="shared" ref="BW10" si="4">BW7-BW9</f>
        <v>930328</v>
      </c>
    </row>
    <row r="11" spans="1:75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</row>
    <row r="12" spans="1:75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W12" si="5">BI11-BH11</f>
        <v>1257</v>
      </c>
      <c r="BJ12" s="12">
        <f t="shared" si="5"/>
        <v>436</v>
      </c>
      <c r="BK12" s="12">
        <f t="shared" si="5"/>
        <v>2903</v>
      </c>
      <c r="BL12" s="12">
        <f t="shared" si="5"/>
        <v>10421</v>
      </c>
      <c r="BM12" s="12">
        <f t="shared" si="5"/>
        <v>1553</v>
      </c>
      <c r="BN12" s="12">
        <f t="shared" si="5"/>
        <v>-1120</v>
      </c>
      <c r="BO12" s="12">
        <f t="shared" si="5"/>
        <v>887</v>
      </c>
      <c r="BP12" s="12">
        <f t="shared" si="5"/>
        <v>438</v>
      </c>
      <c r="BQ12" s="12">
        <f t="shared" si="5"/>
        <v>392</v>
      </c>
      <c r="BR12" s="12">
        <f t="shared" si="5"/>
        <v>3035</v>
      </c>
      <c r="BS12" s="12">
        <f t="shared" si="5"/>
        <v>-1075</v>
      </c>
      <c r="BT12" s="12">
        <f t="shared" si="5"/>
        <v>-240</v>
      </c>
      <c r="BU12" s="12">
        <f t="shared" si="5"/>
        <v>-8459</v>
      </c>
      <c r="BV12" s="12">
        <f t="shared" si="5"/>
        <v>106</v>
      </c>
      <c r="BW12" s="12">
        <f t="shared" si="5"/>
        <v>12414</v>
      </c>
    </row>
    <row r="13" spans="1:75" s="58" customFormat="1" ht="23.25" customHeight="1">
      <c r="A13" s="59" t="s">
        <v>29</v>
      </c>
      <c r="BB13" s="18"/>
      <c r="BC13" s="18"/>
      <c r="BD13" s="18"/>
      <c r="BE13" s="18"/>
      <c r="BF13" s="18"/>
      <c r="BG13" s="18"/>
    </row>
    <row r="14" spans="1:75" s="51" customFormat="1" ht="15" customHeight="1">
      <c r="A14" s="56"/>
      <c r="BB14" s="18"/>
      <c r="BC14" s="18"/>
      <c r="BD14" s="18"/>
      <c r="BE14" s="18"/>
      <c r="BF14" s="18"/>
      <c r="BG14" s="18"/>
    </row>
    <row r="15" spans="1:75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5" s="61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9">
        <v>43466</v>
      </c>
      <c r="O16" s="29">
        <v>43497</v>
      </c>
      <c r="P16" s="29">
        <v>43525</v>
      </c>
      <c r="Q16" s="29">
        <v>43556</v>
      </c>
      <c r="R16" s="29">
        <v>43586</v>
      </c>
      <c r="S16" s="29">
        <v>43617</v>
      </c>
      <c r="T16" s="29">
        <v>43647</v>
      </c>
      <c r="U16" s="29">
        <v>43678</v>
      </c>
      <c r="V16" s="29">
        <v>43709</v>
      </c>
      <c r="W16" s="29">
        <v>43739</v>
      </c>
      <c r="X16" s="29">
        <v>43770</v>
      </c>
      <c r="Y16" s="29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9">
        <v>44562</v>
      </c>
      <c r="AY16" s="29">
        <v>44593</v>
      </c>
      <c r="AZ16" s="29">
        <v>44621</v>
      </c>
      <c r="BA16" s="29">
        <v>44652</v>
      </c>
      <c r="BB16" s="29">
        <v>44682</v>
      </c>
      <c r="BC16" s="29">
        <v>44713</v>
      </c>
      <c r="BD16" s="29">
        <v>44744</v>
      </c>
      <c r="BE16" s="29">
        <v>44776</v>
      </c>
      <c r="BF16" s="29">
        <v>44808</v>
      </c>
      <c r="BG16" s="29">
        <v>44839</v>
      </c>
      <c r="BH16" s="29">
        <v>44870</v>
      </c>
      <c r="BI16" s="29">
        <v>44926</v>
      </c>
      <c r="BJ16" s="7">
        <v>44927</v>
      </c>
      <c r="BK16" s="7">
        <f>EDATE(BJ16,1)</f>
        <v>44958</v>
      </c>
      <c r="BL16" s="7">
        <f t="shared" ref="BL16:BW16" si="6">EDATE(BK16,1)</f>
        <v>44986</v>
      </c>
      <c r="BM16" s="7">
        <f t="shared" si="6"/>
        <v>45017</v>
      </c>
      <c r="BN16" s="7">
        <f t="shared" si="6"/>
        <v>45047</v>
      </c>
      <c r="BO16" s="7">
        <f t="shared" si="6"/>
        <v>45078</v>
      </c>
      <c r="BP16" s="7">
        <f t="shared" si="6"/>
        <v>45108</v>
      </c>
      <c r="BQ16" s="7">
        <f t="shared" si="6"/>
        <v>45139</v>
      </c>
      <c r="BR16" s="7">
        <f t="shared" si="6"/>
        <v>45170</v>
      </c>
      <c r="BS16" s="7">
        <f t="shared" si="6"/>
        <v>45200</v>
      </c>
      <c r="BT16" s="7">
        <f t="shared" si="6"/>
        <v>45231</v>
      </c>
      <c r="BU16" s="7">
        <f t="shared" si="6"/>
        <v>45261</v>
      </c>
      <c r="BV16" s="29">
        <f t="shared" si="6"/>
        <v>45292</v>
      </c>
      <c r="BW16" s="29">
        <f t="shared" si="6"/>
        <v>45323</v>
      </c>
    </row>
    <row r="17" spans="1:75" s="62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</row>
    <row r="18" spans="1:75" s="62" customFormat="1" ht="29.25" customHeight="1">
      <c r="A18" s="24" t="s">
        <v>2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W18" si="7">BI17-BH17</f>
        <v>7508</v>
      </c>
      <c r="BJ18" s="12">
        <f t="shared" si="7"/>
        <v>11056</v>
      </c>
      <c r="BK18" s="12">
        <f t="shared" si="7"/>
        <v>18245</v>
      </c>
      <c r="BL18" s="12">
        <f t="shared" si="7"/>
        <v>17766</v>
      </c>
      <c r="BM18" s="12">
        <f t="shared" si="7"/>
        <v>14046</v>
      </c>
      <c r="BN18" s="12">
        <f t="shared" si="7"/>
        <v>11529</v>
      </c>
      <c r="BO18" s="12">
        <f t="shared" si="7"/>
        <v>12676</v>
      </c>
      <c r="BP18" s="12">
        <f t="shared" si="7"/>
        <v>5456</v>
      </c>
      <c r="BQ18" s="12">
        <f t="shared" si="7"/>
        <v>-18440</v>
      </c>
      <c r="BR18" s="12">
        <f t="shared" si="7"/>
        <v>11366</v>
      </c>
      <c r="BS18" s="12">
        <f t="shared" si="7"/>
        <v>6109</v>
      </c>
      <c r="BT18" s="12">
        <f t="shared" si="7"/>
        <v>7598</v>
      </c>
      <c r="BU18" s="12">
        <f t="shared" si="7"/>
        <v>3098</v>
      </c>
      <c r="BV18" s="12">
        <f t="shared" si="7"/>
        <v>7546</v>
      </c>
      <c r="BW18" s="12">
        <f t="shared" si="7"/>
        <v>8546</v>
      </c>
    </row>
    <row r="19" spans="1:75" s="51" customFormat="1" ht="15" customHeight="1">
      <c r="A19" s="56"/>
      <c r="BC19" s="66"/>
    </row>
    <row r="20" spans="1:75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5" s="61" customFormat="1" ht="29.25" customHeight="1">
      <c r="A21" s="6" t="s">
        <v>66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9">
        <v>43466</v>
      </c>
      <c r="O21" s="29">
        <v>43497</v>
      </c>
      <c r="P21" s="29">
        <v>43525</v>
      </c>
      <c r="Q21" s="29">
        <v>43556</v>
      </c>
      <c r="R21" s="29">
        <v>43586</v>
      </c>
      <c r="S21" s="29">
        <v>43617</v>
      </c>
      <c r="T21" s="29">
        <v>43647</v>
      </c>
      <c r="U21" s="29">
        <v>43678</v>
      </c>
      <c r="V21" s="29">
        <v>43709</v>
      </c>
      <c r="W21" s="29">
        <v>43739</v>
      </c>
      <c r="X21" s="29">
        <v>43770</v>
      </c>
      <c r="Y21" s="29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9">
        <v>44562</v>
      </c>
      <c r="AY21" s="29">
        <v>44593</v>
      </c>
      <c r="AZ21" s="29">
        <v>44621</v>
      </c>
      <c r="BA21" s="29">
        <v>44652</v>
      </c>
      <c r="BB21" s="29">
        <v>44682</v>
      </c>
      <c r="BC21" s="29">
        <v>44713</v>
      </c>
      <c r="BD21" s="29">
        <v>44744</v>
      </c>
      <c r="BE21" s="29">
        <v>44776</v>
      </c>
      <c r="BF21" s="29">
        <v>44808</v>
      </c>
      <c r="BG21" s="29">
        <v>44839</v>
      </c>
      <c r="BH21" s="29">
        <v>44870</v>
      </c>
      <c r="BI21" s="29">
        <v>44926</v>
      </c>
      <c r="BJ21" s="7">
        <v>44927</v>
      </c>
      <c r="BK21" s="7">
        <f>EDATE(BJ21,1)</f>
        <v>44958</v>
      </c>
      <c r="BL21" s="7">
        <f t="shared" ref="BL21:BW21" si="8">EDATE(BK21,1)</f>
        <v>44986</v>
      </c>
      <c r="BM21" s="7">
        <f t="shared" si="8"/>
        <v>45017</v>
      </c>
      <c r="BN21" s="7">
        <f t="shared" si="8"/>
        <v>45047</v>
      </c>
      <c r="BO21" s="7">
        <f t="shared" si="8"/>
        <v>45078</v>
      </c>
      <c r="BP21" s="7">
        <f t="shared" si="8"/>
        <v>45108</v>
      </c>
      <c r="BQ21" s="7">
        <f t="shared" si="8"/>
        <v>45139</v>
      </c>
      <c r="BR21" s="7">
        <f t="shared" si="8"/>
        <v>45170</v>
      </c>
      <c r="BS21" s="7">
        <f t="shared" si="8"/>
        <v>45200</v>
      </c>
      <c r="BT21" s="7">
        <f t="shared" si="8"/>
        <v>45231</v>
      </c>
      <c r="BU21" s="7">
        <f t="shared" si="8"/>
        <v>45261</v>
      </c>
      <c r="BV21" s="29">
        <f t="shared" si="8"/>
        <v>45292</v>
      </c>
      <c r="BW21" s="29">
        <f t="shared" si="8"/>
        <v>45323</v>
      </c>
    </row>
    <row r="22" spans="1:75" s="62" customFormat="1" ht="29.25" customHeight="1">
      <c r="A22" s="23" t="s">
        <v>66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</row>
    <row r="23" spans="1:75" s="62" customFormat="1" ht="29.25" customHeight="1">
      <c r="A23" s="24" t="s">
        <v>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9">BI22-BH22</f>
        <v>-2469</v>
      </c>
      <c r="BJ23" s="12">
        <f t="shared" si="9"/>
        <v>3911</v>
      </c>
      <c r="BK23" s="12">
        <f t="shared" si="9"/>
        <v>7254</v>
      </c>
      <c r="BL23" s="12">
        <f t="shared" si="9"/>
        <v>7846</v>
      </c>
      <c r="BM23" s="12">
        <f t="shared" si="9"/>
        <v>9409</v>
      </c>
      <c r="BN23" s="12">
        <f t="shared" si="9"/>
        <v>3241</v>
      </c>
      <c r="BO23" s="12">
        <f t="shared" si="9"/>
        <v>6507</v>
      </c>
      <c r="BP23" s="12">
        <f t="shared" si="9"/>
        <v>-6637</v>
      </c>
      <c r="BQ23" s="12">
        <f t="shared" si="9"/>
        <v>-32993</v>
      </c>
      <c r="BR23" s="12">
        <f t="shared" si="9"/>
        <v>-960</v>
      </c>
      <c r="BS23" s="12">
        <f t="shared" si="9"/>
        <v>-10630</v>
      </c>
      <c r="BT23" s="12">
        <f>BT22-BS22</f>
        <v>-5128</v>
      </c>
      <c r="BU23" s="12">
        <f>BU22-BT22</f>
        <v>-5296</v>
      </c>
      <c r="BV23" s="12">
        <f>BV22-BU22</f>
        <v>2945</v>
      </c>
      <c r="BW23" s="12">
        <f>BW22-BV22</f>
        <v>575</v>
      </c>
    </row>
    <row r="24" spans="1:75" s="51" customFormat="1" ht="15" customHeight="1">
      <c r="A24" s="56"/>
    </row>
  </sheetData>
  <phoneticPr fontId="2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김주혜(IR1팀)</cp:lastModifiedBy>
  <cp:lastPrinted>2022-05-02T04:43:26Z</cp:lastPrinted>
  <dcterms:created xsi:type="dcterms:W3CDTF">2016-04-15T08:39:09Z</dcterms:created>
  <dcterms:modified xsi:type="dcterms:W3CDTF">2024-03-26T01:55:03Z</dcterms:modified>
</cp:coreProperties>
</file>