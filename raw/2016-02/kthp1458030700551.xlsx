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2000" windowHeight="9075" tabRatio="678"/>
  </bookViews>
  <sheets>
    <sheet name="Fixed(M)" sheetId="5" r:id="rId1"/>
    <sheet name="Wireless(Q)" sheetId="6" r:id="rId2"/>
  </sheets>
  <definedNames>
    <definedName name="_xlnm.Print_Area" localSheetId="0">'Fixed(M)'!$A$1:$EE$45</definedName>
    <definedName name="_xlnm.Print_Area" localSheetId="1">'Wireless(Q)'!$A$1:$AG$43</definedName>
  </definedNames>
  <calcPr calcId="145621"/>
</workbook>
</file>

<file path=xl/calcChain.xml><?xml version="1.0" encoding="utf-8"?>
<calcChain xmlns="http://schemas.openxmlformats.org/spreadsheetml/2006/main">
  <c r="EB43" i="5" l="1"/>
  <c r="AF17" i="6"/>
  <c r="Z17" i="6"/>
  <c r="AA17" i="6"/>
  <c r="AB17" i="6"/>
  <c r="AC17" i="6"/>
  <c r="AD17" i="6"/>
  <c r="AE17" i="6"/>
  <c r="EA43" i="5"/>
  <c r="DZ43" i="5"/>
  <c r="DY43" i="5"/>
  <c r="DX43" i="5"/>
  <c r="DW43" i="5"/>
  <c r="DV43" i="5"/>
  <c r="DU43" i="5"/>
  <c r="DT43" i="5"/>
  <c r="DQ43" i="5"/>
  <c r="DP43" i="5"/>
  <c r="DO43" i="5"/>
  <c r="DN43" i="5"/>
  <c r="DM43" i="5"/>
  <c r="DL43" i="5"/>
  <c r="DK43" i="5"/>
  <c r="Y17" i="6"/>
  <c r="DF43" i="5"/>
  <c r="DE43" i="5"/>
  <c r="DD43" i="5"/>
  <c r="DC43" i="5"/>
  <c r="DB43" i="5"/>
  <c r="DA43" i="5"/>
  <c r="CZ43" i="5"/>
  <c r="CY43" i="5"/>
</calcChain>
</file>

<file path=xl/sharedStrings.xml><?xml version="1.0" encoding="utf-8"?>
<sst xmlns="http://schemas.openxmlformats.org/spreadsheetml/2006/main" count="187" uniqueCount="126">
  <si>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</si>
  <si>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</si>
  <si>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</si>
  <si>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</si>
  <si>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</si>
  <si>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</si>
  <si>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</si>
  <si>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</si>
  <si>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</si>
  <si>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Total ( incl. interconnection)</t>
    <phoneticPr fontId="2" type="noConversion"/>
  </si>
  <si>
    <t xml:space="preserve">*  Interconnection </t>
    <phoneticPr fontId="2" type="noConversion"/>
  </si>
  <si>
    <t>*  Activation fee</t>
    <phoneticPr fontId="2" type="noConversion"/>
  </si>
  <si>
    <t xml:space="preserve">  ARPU_excl. Interconnection </t>
    <phoneticPr fontId="2" type="noConversion"/>
  </si>
  <si>
    <t xml:space="preserve">  ARPU_incl. Interconnection</t>
    <phoneticPr fontId="2" type="noConversion"/>
  </si>
  <si>
    <t xml:space="preserve">  ARPU_incl. Activation fee </t>
    <phoneticPr fontId="2" type="noConversion"/>
  </si>
  <si>
    <t>Wireless Service</t>
    <phoneticPr fontId="2" type="noConversion"/>
  </si>
  <si>
    <t>Voice ARPU</t>
    <phoneticPr fontId="2" type="noConversion"/>
  </si>
  <si>
    <t>Subscribers ('000)</t>
    <phoneticPr fontId="2" type="noConversion"/>
  </si>
  <si>
    <t>Data ARPU (Net-based)</t>
    <phoneticPr fontId="2" type="noConversion"/>
  </si>
  <si>
    <t>Total ARPU</t>
    <phoneticPr fontId="2" type="noConversion"/>
  </si>
  <si>
    <t>3Q 09</t>
    <phoneticPr fontId="2" type="noConversion"/>
  </si>
  <si>
    <t>4Q 09</t>
    <phoneticPr fontId="2" type="noConversion"/>
  </si>
  <si>
    <t>1Q 10</t>
    <phoneticPr fontId="2" type="noConversion"/>
  </si>
  <si>
    <t>2Q 10</t>
    <phoneticPr fontId="2" type="noConversion"/>
  </si>
  <si>
    <t>4Q 08</t>
    <phoneticPr fontId="2" type="noConversion"/>
  </si>
  <si>
    <t>2Q 09</t>
    <phoneticPr fontId="2" type="noConversion"/>
  </si>
  <si>
    <t>1Q 09</t>
    <phoneticPr fontId="2" type="noConversion"/>
  </si>
  <si>
    <t>1Q 08</t>
    <phoneticPr fontId="2" type="noConversion"/>
  </si>
  <si>
    <t>2Q 08</t>
    <phoneticPr fontId="2" type="noConversion"/>
  </si>
  <si>
    <t>3Q 08</t>
    <phoneticPr fontId="2" type="noConversion"/>
  </si>
  <si>
    <t>Quarterly Churn Rate (%)</t>
    <phoneticPr fontId="2" type="noConversion"/>
  </si>
  <si>
    <t>VAS / Others</t>
    <phoneticPr fontId="2" type="noConversion"/>
  </si>
  <si>
    <t>3Q 10</t>
    <phoneticPr fontId="2" type="noConversion"/>
  </si>
  <si>
    <t>4Q 10</t>
    <phoneticPr fontId="2" type="noConversion"/>
  </si>
  <si>
    <t>1Q 11</t>
    <phoneticPr fontId="2" type="noConversion"/>
  </si>
  <si>
    <t xml:space="preserve">ARPU </t>
    <phoneticPr fontId="2" type="noConversion"/>
  </si>
  <si>
    <t>2Q 11</t>
    <phoneticPr fontId="2" type="noConversion"/>
  </si>
  <si>
    <t>('000)</t>
    <phoneticPr fontId="2" type="noConversion"/>
  </si>
  <si>
    <t>Telephony (PSTN+VoIP)</t>
    <phoneticPr fontId="2" type="noConversion"/>
  </si>
  <si>
    <t>Net add</t>
    <phoneticPr fontId="2" type="noConversion"/>
  </si>
  <si>
    <t>PSTN</t>
    <phoneticPr fontId="2" type="noConversion"/>
  </si>
  <si>
    <t xml:space="preserve">   o Local Telephony</t>
    <phoneticPr fontId="2" type="noConversion"/>
  </si>
  <si>
    <t xml:space="preserve">   o Group Telephony</t>
    <phoneticPr fontId="2" type="noConversion"/>
  </si>
  <si>
    <t>VoIP</t>
    <phoneticPr fontId="2" type="noConversion"/>
  </si>
  <si>
    <t>Domestic Long Distance</t>
    <phoneticPr fontId="2" type="noConversion"/>
  </si>
  <si>
    <t>Broadband</t>
    <phoneticPr fontId="2" type="noConversion"/>
  </si>
  <si>
    <t xml:space="preserve">  o Internet Lite</t>
    <phoneticPr fontId="2" type="noConversion"/>
  </si>
  <si>
    <t xml:space="preserve">  o Megapass Premium</t>
    <phoneticPr fontId="2" type="noConversion"/>
  </si>
  <si>
    <t xml:space="preserve">  o Internet Special</t>
    <phoneticPr fontId="2" type="noConversion"/>
  </si>
  <si>
    <t xml:space="preserve">  o Megapass Ntopia</t>
    <phoneticPr fontId="2" type="noConversion"/>
  </si>
  <si>
    <t xml:space="preserve">     KT</t>
    <phoneticPr fontId="2" type="noConversion"/>
  </si>
  <si>
    <t xml:space="preserve">     SKB</t>
    <phoneticPr fontId="2" type="noConversion"/>
  </si>
  <si>
    <t xml:space="preserve">     LGU+</t>
    <phoneticPr fontId="2" type="noConversion"/>
  </si>
  <si>
    <t xml:space="preserve">     SO, others</t>
    <phoneticPr fontId="2" type="noConversion"/>
  </si>
  <si>
    <t>Others</t>
    <phoneticPr fontId="2" type="noConversion"/>
  </si>
  <si>
    <t xml:space="preserve">IPTV </t>
    <phoneticPr fontId="2" type="noConversion"/>
  </si>
  <si>
    <t>* IPTV M/S</t>
    <phoneticPr fontId="2" type="noConversion"/>
  </si>
  <si>
    <t>WiFi</t>
    <phoneticPr fontId="2" type="noConversion"/>
  </si>
  <si>
    <t>ollhe WiFi zones</t>
    <phoneticPr fontId="2" type="noConversion"/>
  </si>
  <si>
    <t>* Reference  Data</t>
    <phoneticPr fontId="2" type="noConversion"/>
  </si>
  <si>
    <t xml:space="preserve"> Population</t>
    <phoneticPr fontId="2" type="noConversion"/>
  </si>
  <si>
    <t xml:space="preserve"> Number of Household</t>
    <phoneticPr fontId="2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</si>
  <si>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</t>
    </r>
    <phoneticPr fontId="2" type="noConversion"/>
  </si>
  <si>
    <r>
      <t xml:space="preserve">   - 2008.5.19 </t>
    </r>
    <r>
      <rPr>
        <sz val="14"/>
        <rFont val="굴림"/>
        <family val="3"/>
        <charset val="129"/>
      </rPr>
      <t>상품체계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개편에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따라</t>
    </r>
    <r>
      <rPr>
        <sz val="14"/>
        <rFont val="Arial"/>
        <family val="2"/>
      </rPr>
      <t xml:space="preserve"> Lite, Special </t>
    </r>
    <r>
      <rPr>
        <sz val="14"/>
        <rFont val="굴림"/>
        <family val="3"/>
        <charset val="129"/>
      </rPr>
      <t>두가지로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통합</t>
    </r>
    <r>
      <rPr>
        <sz val="14"/>
        <rFont val="Arial"/>
        <family val="2"/>
      </rPr>
      <t xml:space="preserve">. </t>
    </r>
    <r>
      <rPr>
        <sz val="14"/>
        <rFont val="굴림"/>
        <family val="3"/>
        <charset val="129"/>
      </rPr>
      <t>기존의</t>
    </r>
    <r>
      <rPr>
        <sz val="14"/>
        <rFont val="Arial"/>
        <family val="2"/>
      </rPr>
      <t xml:space="preserve"> Lite, Premium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Lite(</t>
    </r>
    <r>
      <rPr>
        <sz val="14"/>
        <rFont val="굴림"/>
        <family val="3"/>
        <charset val="129"/>
      </rPr>
      <t>최대속도</t>
    </r>
    <r>
      <rPr>
        <sz val="14"/>
        <rFont val="Arial"/>
        <family val="2"/>
      </rPr>
      <t>50M), Special, Ntopia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Special(</t>
    </r>
    <r>
      <rPr>
        <sz val="14"/>
        <rFont val="굴림"/>
        <family val="3"/>
        <charset val="129"/>
      </rPr>
      <t>최대속도</t>
    </r>
    <r>
      <rPr>
        <sz val="14"/>
        <rFont val="Arial"/>
        <family val="2"/>
      </rPr>
      <t xml:space="preserve">100M) </t>
    </r>
    <phoneticPr fontId="2" type="noConversion"/>
  </si>
  <si>
    <r>
      <t xml:space="preserve">   - Reorganized service lineup into 2 price packages- Lite and Special in May 19, 2008. Previous Lite, Premium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Lite(50M), Special, Ntopia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Special(100M)</t>
    </r>
    <phoneticPr fontId="2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</si>
  <si>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Fixed-Line</t>
    </r>
    <phoneticPr fontId="2" type="noConversion"/>
  </si>
  <si>
    <r>
      <t xml:space="preserve">   - Local : </t>
    </r>
    <r>
      <rPr>
        <sz val="14"/>
        <rFont val="굴림"/>
        <family val="3"/>
        <charset val="129"/>
      </rPr>
      <t>기존에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제공되던</t>
    </r>
    <r>
      <rPr>
        <sz val="14"/>
        <rFont val="Arial"/>
        <family val="2"/>
      </rPr>
      <t xml:space="preserve"> Household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현황</t>
    </r>
    <r>
      <rPr>
        <sz val="14"/>
        <rFont val="Arial"/>
        <family val="2"/>
      </rPr>
      <t xml:space="preserve">  /  - Group : </t>
    </r>
    <r>
      <rPr>
        <sz val="14"/>
        <rFont val="굴림"/>
        <family val="3"/>
        <charset val="129"/>
      </rPr>
      <t>기존에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제공되던</t>
    </r>
    <r>
      <rPr>
        <sz val="14"/>
        <rFont val="Arial"/>
        <family val="2"/>
      </rPr>
      <t xml:space="preserve"> Business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현황</t>
    </r>
    <phoneticPr fontId="2" type="noConversion"/>
  </si>
  <si>
    <t xml:space="preserve">   - PSTN : From Jan. 2008, number of group telephony subscribers will be included in PSTN, pursuant to the reporting rules of KCC.</t>
    <phoneticPr fontId="2" type="noConversion"/>
  </si>
  <si>
    <t xml:space="preserve">   - Local : Formerly 'Household' subscribers  /  - Group : Formerly 'Business' subscribers </t>
    <phoneticPr fontId="2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</si>
  <si>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WiBro(4G) </t>
    </r>
    <phoneticPr fontId="2" type="noConversion"/>
  </si>
  <si>
    <r>
      <t xml:space="preserve">   - 2011.6 WiBro </t>
    </r>
    <r>
      <rPr>
        <sz val="14"/>
        <rFont val="돋움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실적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무선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실적으로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분류</t>
    </r>
    <phoneticPr fontId="2" type="noConversion"/>
  </si>
  <si>
    <t xml:space="preserve">   - Starting June 2011, WiBro subscribers are classified as part of Wireless.</t>
    <phoneticPr fontId="2" type="noConversion"/>
  </si>
  <si>
    <t xml:space="preserve"> </t>
    <phoneticPr fontId="2" type="noConversion"/>
  </si>
  <si>
    <t>KT Factsheet (Wireless)</t>
    <phoneticPr fontId="2" type="noConversion"/>
  </si>
  <si>
    <t>* Broadband M/S</t>
    <phoneticPr fontId="2" type="noConversion"/>
  </si>
  <si>
    <t xml:space="preserve">Telephony  </t>
    <phoneticPr fontId="2" type="noConversion"/>
  </si>
  <si>
    <t>Broadband</t>
    <phoneticPr fontId="2" type="noConversion"/>
  </si>
  <si>
    <t>3Q 11</t>
    <phoneticPr fontId="2" type="noConversion"/>
  </si>
  <si>
    <t>4Q 11</t>
    <phoneticPr fontId="2" type="noConversion"/>
  </si>
  <si>
    <t>Total Wireless Service</t>
    <phoneticPr fontId="2" type="noConversion"/>
  </si>
  <si>
    <t xml:space="preserve">  CDMA</t>
    <phoneticPr fontId="2" type="noConversion"/>
  </si>
  <si>
    <t xml:space="preserve">  WCDMA</t>
    <phoneticPr fontId="2" type="noConversion"/>
  </si>
  <si>
    <t xml:space="preserve">  WiBro</t>
    <phoneticPr fontId="2" type="noConversion"/>
  </si>
  <si>
    <t>Mobile Service</t>
    <phoneticPr fontId="2" type="noConversion"/>
  </si>
  <si>
    <t>Total Mobile Service</t>
    <phoneticPr fontId="2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</si>
  <si>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2" type="noConversion"/>
  </si>
  <si>
    <t>1Q 10</t>
    <phoneticPr fontId="2" type="noConversion"/>
  </si>
  <si>
    <t>2Q 10</t>
    <phoneticPr fontId="2" type="noConversion"/>
  </si>
  <si>
    <t>3Q 10</t>
    <phoneticPr fontId="2" type="noConversion"/>
  </si>
  <si>
    <t>4Q 10</t>
    <phoneticPr fontId="2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</si>
  <si>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2" type="noConversion"/>
  </si>
  <si>
    <t>1Q 12</t>
    <phoneticPr fontId="2" type="noConversion"/>
  </si>
  <si>
    <t xml:space="preserve">  LTE</t>
    <phoneticPr fontId="2" type="noConversion"/>
  </si>
  <si>
    <t>2Q 12</t>
    <phoneticPr fontId="2" type="noConversion"/>
  </si>
  <si>
    <t>3Q 12</t>
    <phoneticPr fontId="2" type="noConversion"/>
  </si>
  <si>
    <t>4Q 12</t>
    <phoneticPr fontId="2" type="noConversion"/>
  </si>
  <si>
    <t>1Q 13</t>
    <phoneticPr fontId="2" type="noConversion"/>
  </si>
  <si>
    <t>2Q 13</t>
    <phoneticPr fontId="2" type="noConversion"/>
  </si>
  <si>
    <t>3Q 13</t>
    <phoneticPr fontId="2" type="noConversion"/>
  </si>
  <si>
    <t>4Q 13</t>
    <phoneticPr fontId="2" type="noConversion"/>
  </si>
  <si>
    <t xml:space="preserve">   - Broadband subscribers are not classified according to the service lineup. Lite and Special pricing plans are unified into "Olleh Internet" in August, 2014</t>
    <phoneticPr fontId="2" type="noConversion"/>
  </si>
  <si>
    <r>
      <t xml:space="preserve">   - </t>
    </r>
    <r>
      <rPr>
        <sz val="14"/>
        <rFont val="돋움"/>
        <family val="3"/>
        <charset val="129"/>
      </rPr>
      <t>인터넷요금제</t>
    </r>
    <r>
      <rPr>
        <sz val="14"/>
        <rFont val="Arial"/>
        <family val="2"/>
      </rPr>
      <t xml:space="preserve"> Lite</t>
    </r>
    <r>
      <rPr>
        <sz val="14"/>
        <rFont val="돋움"/>
        <family val="3"/>
        <charset val="129"/>
      </rPr>
      <t>와</t>
    </r>
    <r>
      <rPr>
        <sz val="14"/>
        <rFont val="Arial"/>
        <family val="2"/>
      </rPr>
      <t xml:space="preserve"> Special</t>
    </r>
    <r>
      <rPr>
        <sz val="14"/>
        <rFont val="돋움"/>
        <family val="3"/>
        <charset val="129"/>
      </rPr>
      <t>은</t>
    </r>
    <r>
      <rPr>
        <sz val="14"/>
        <rFont val="Arial"/>
        <family val="2"/>
      </rPr>
      <t xml:space="preserve"> 2014</t>
    </r>
    <r>
      <rPr>
        <sz val="14"/>
        <rFont val="돋움"/>
        <family val="3"/>
        <charset val="129"/>
      </rPr>
      <t>년</t>
    </r>
    <r>
      <rPr>
        <sz val="14"/>
        <rFont val="Arial"/>
        <family val="2"/>
      </rPr>
      <t xml:space="preserve"> 8</t>
    </r>
    <r>
      <rPr>
        <sz val="14"/>
        <rFont val="돋움"/>
        <family val="3"/>
        <charset val="129"/>
      </rPr>
      <t>월부터</t>
    </r>
    <r>
      <rPr>
        <sz val="14"/>
        <rFont val="Arial"/>
        <family val="2"/>
      </rPr>
      <t xml:space="preserve"> Olleh Internet</t>
    </r>
    <r>
      <rPr>
        <sz val="14"/>
        <rFont val="돋움"/>
        <family val="3"/>
        <charset val="129"/>
      </rPr>
      <t>으로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상품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일원화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되어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구분하지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않기로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함</t>
    </r>
    <phoneticPr fontId="2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</si>
  <si>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WiFi</t>
    </r>
    <phoneticPr fontId="2" type="noConversion"/>
  </si>
  <si>
    <r>
      <t xml:space="preserve">   - WiFi </t>
    </r>
    <r>
      <rPr>
        <sz val="14"/>
        <rFont val="돋움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산출기준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변경</t>
    </r>
    <r>
      <rPr>
        <sz val="14"/>
        <rFont val="Arial"/>
        <family val="2"/>
      </rPr>
      <t>. 2014</t>
    </r>
    <r>
      <rPr>
        <sz val="14"/>
        <rFont val="돋움"/>
        <family val="3"/>
        <charset val="129"/>
      </rPr>
      <t>년</t>
    </r>
    <r>
      <rPr>
        <sz val="14"/>
        <rFont val="Arial"/>
        <family val="2"/>
      </rPr>
      <t xml:space="preserve"> 1</t>
    </r>
    <r>
      <rPr>
        <sz val="14"/>
        <rFont val="돋움"/>
        <family val="3"/>
        <charset val="129"/>
      </rPr>
      <t>월부터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소급적용</t>
    </r>
    <phoneticPr fontId="2" type="noConversion"/>
  </si>
  <si>
    <t xml:space="preserve">   - Starting Jan 2014, the standard of WiFi subscribers is revised</t>
    <phoneticPr fontId="2" type="noConversion"/>
  </si>
  <si>
    <t>1Q 15</t>
    <phoneticPr fontId="2" type="noConversion"/>
  </si>
  <si>
    <t>1Q 14</t>
    <phoneticPr fontId="2" type="noConversion"/>
  </si>
  <si>
    <t>2Q 14</t>
    <phoneticPr fontId="2" type="noConversion"/>
  </si>
  <si>
    <t>3Q 14</t>
    <phoneticPr fontId="2" type="noConversion"/>
  </si>
  <si>
    <t>4Q 14</t>
    <phoneticPr fontId="2" type="noConversion"/>
  </si>
  <si>
    <t>1Q 14</t>
    <phoneticPr fontId="2" type="noConversion"/>
  </si>
  <si>
    <t>2Q 14</t>
    <phoneticPr fontId="2" type="noConversion"/>
  </si>
  <si>
    <t>3Q 14</t>
    <phoneticPr fontId="2" type="noConversion"/>
  </si>
  <si>
    <t>4Q 14</t>
    <phoneticPr fontId="2" type="noConversion"/>
  </si>
  <si>
    <t>1Q 14</t>
    <phoneticPr fontId="2" type="noConversion"/>
  </si>
  <si>
    <t>2Q 14</t>
    <phoneticPr fontId="2" type="noConversion"/>
  </si>
  <si>
    <t>3Q 14</t>
    <phoneticPr fontId="2" type="noConversion"/>
  </si>
  <si>
    <t>4Q 14</t>
    <phoneticPr fontId="2" type="noConversion"/>
  </si>
  <si>
    <t>2Q 15</t>
    <phoneticPr fontId="2" type="noConversion"/>
  </si>
  <si>
    <r>
      <t xml:space="preserve">   - PSTN : 2008</t>
    </r>
    <r>
      <rPr>
        <sz val="14"/>
        <rFont val="굴림"/>
        <family val="3"/>
        <charset val="129"/>
      </rPr>
      <t>년</t>
    </r>
    <r>
      <rPr>
        <sz val="14"/>
        <rFont val="Arial"/>
        <family val="2"/>
      </rPr>
      <t xml:space="preserve"> 1</t>
    </r>
    <r>
      <rPr>
        <sz val="14"/>
        <rFont val="굴림"/>
        <family val="3"/>
        <charset val="129"/>
      </rPr>
      <t>월부터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방송통신위원회에서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가입자와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동일한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산정방법에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따라</t>
    </r>
    <r>
      <rPr>
        <sz val="14"/>
        <rFont val="Arial"/>
        <family val="2"/>
      </rPr>
      <t xml:space="preserve">, </t>
    </r>
    <r>
      <rPr>
        <sz val="14"/>
        <rFont val="굴림"/>
        <family val="3"/>
        <charset val="129"/>
      </rPr>
      <t>시내전화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가입자수에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집단전화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가입자수를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포함하여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</t>
    </r>
    <r>
      <rPr>
        <sz val="14"/>
        <rFont val="Arial"/>
        <family val="2"/>
      </rPr>
      <t xml:space="preserve">, </t>
    </r>
    <r>
      <rPr>
        <sz val="14"/>
        <rFont val="굴림"/>
        <family val="3"/>
        <charset val="129"/>
      </rPr>
      <t>단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별도</t>
    </r>
    <r>
      <rPr>
        <sz val="14"/>
        <rFont val="Arial"/>
        <family val="2"/>
      </rPr>
      <t xml:space="preserve"> DID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포함</t>
    </r>
    <phoneticPr fontId="2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</si>
  <si>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2" type="noConversion"/>
  </si>
  <si>
    <t>3Q 15</t>
    <phoneticPr fontId="2" type="noConversion"/>
  </si>
  <si>
    <t>Note 1) Subscribers : Based on MSIP’s new guidelines for subscriber disclosure (Retroactively applied from 1Q14, MVNO included)</t>
  </si>
  <si>
    <t>Note 2) ARPU : Calculation based on billed subscribers (Retroactively applied from 1Q14).</t>
    <phoneticPr fontId="2" type="noConversion"/>
  </si>
  <si>
    <t>4Q 15</t>
    <phoneticPr fontId="2" type="noConversion"/>
  </si>
  <si>
    <t>KT Monthly Factsheet (February 2016)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</si>
</sst>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1" formatCode="_-* #,##0_-;\-* #,##0_-;_-* &quot;-&quot;_-;_-@_-"/>
    <numFmt numFmtId="176" formatCode="mmm&quot;-&quot;yy"/>
    <numFmt numFmtId="177" formatCode="0.0%"/>
    <numFmt numFmtId="178" formatCode="#,##0_ "/>
    <numFmt numFmtId="179" formatCode="#,##0_);[Red]\(#,##0\)"/>
    <numFmt numFmtId="180" formatCode="_ * #,##0_ ;_ * \-#,##0_ ;_ * &quot;-&quot;_ ;_ @_ "/>
    <numFmt numFmtId="181" formatCode="yyyy/mm"/>
    <numFmt numFmtId="182" formatCode="#,##0,"/>
    <numFmt numFmtId="183" formatCode="_ * #,##0.00_ ;_ * \-#,##0.00_ ;_ * &quot;-&quot;??_ ;_ @_ "/>
    <numFmt numFmtId="184" formatCode="&quot;₩&quot;#,##0;&quot;₩&quot;\-#,##0"/>
    <numFmt numFmtId="185" formatCode="#,##0.000000"/>
    <numFmt numFmtId="186" formatCode="#,##0.00000"/>
    <numFmt numFmtId="187" formatCode="_-[$€-2]* #,##0.00_-;\-[$€-2]* #,##0.00_-;_-[$€-2]* &quot;-&quot;??_-"/>
    <numFmt numFmtId="188" formatCode="0.00_ "/>
    <numFmt numFmtId="189" formatCode="#,##0.000_);[Red]\(#,##0.000\)"/>
    <numFmt numFmtId="190" formatCode="#,##0.00_ "/>
    <numFmt numFmtId="191" formatCode="#,##0.000_ "/>
    <numFmt numFmtId="192" formatCode="#,##0_ ;[Red]\-#,##0\ "/>
  </numFmts>
  <fonts count="6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6"/>
      <name val="Arial"/>
      <family val="2"/>
    </font>
    <font>
      <b/>
      <sz val="16"/>
      <color indexed="9"/>
      <name val="Arial"/>
      <family val="2"/>
    </font>
    <font>
      <sz val="10"/>
      <name val="돋움체"/>
      <family val="3"/>
      <charset val="129"/>
    </font>
    <font>
      <b/>
      <sz val="18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sz val="12"/>
      <name val="Arial"/>
      <family val="2"/>
    </font>
    <font>
      <sz val="10"/>
      <name val="Helv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돋움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4"/>
      <name val="뼻뮝"/>
      <family val="1"/>
      <charset val="129"/>
    </font>
    <font>
      <sz val="11"/>
      <name val="가는각진제목체"/>
      <family val="1"/>
      <charset val="129"/>
    </font>
    <font>
      <sz val="12"/>
      <name val="뼻뮝"/>
      <family val="1"/>
      <charset val="129"/>
    </font>
    <font>
      <sz val="11"/>
      <color indexed="8"/>
      <name val="맑은 고딕"/>
      <family val="3"/>
      <charset val="129"/>
    </font>
    <font>
      <sz val="12"/>
      <name val="¹UAAA¼"/>
      <family val="3"/>
      <charset val="129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6"/>
      <color indexed="12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b/>
      <sz val="28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sz val="16"/>
      <color indexed="9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4"/>
      <name val="돋움"/>
      <family val="3"/>
      <charset val="129"/>
    </font>
    <font>
      <sz val="1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18">
    <xf numFmtId="0" fontId="0" fillId="0" borderId="0"/>
    <xf numFmtId="0" fontId="3" fillId="0" borderId="0"/>
    <xf numFmtId="0" fontId="11" fillId="0" borderId="0"/>
    <xf numFmtId="0" fontId="12" fillId="0" borderId="0"/>
    <xf numFmtId="0" fontId="3" fillId="0" borderId="0"/>
    <xf numFmtId="0" fontId="13" fillId="0" borderId="0"/>
    <xf numFmtId="38" fontId="14" fillId="0" borderId="1">
      <alignment horizontal="right" vertical="center"/>
      <protection locked="0"/>
    </xf>
    <xf numFmtId="0" fontId="1" fillId="0" borderId="0"/>
    <xf numFmtId="0" fontId="1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180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0" fillId="0" borderId="0" applyFill="0" applyBorder="0" applyAlignment="0" applyProtection="0"/>
    <xf numFmtId="187" fontId="1" fillId="0" borderId="0" applyFont="0" applyFill="0" applyBorder="0" applyAlignment="0" applyProtection="0"/>
    <xf numFmtId="2" fontId="10" fillId="0" borderId="0" applyFill="0" applyBorder="0" applyAlignment="0" applyProtection="0"/>
    <xf numFmtId="0" fontId="23" fillId="0" borderId="2" applyNumberFormat="0" applyAlignment="0" applyProtection="0">
      <alignment horizontal="left" vertical="center"/>
    </xf>
    <xf numFmtId="0" fontId="23" fillId="0" borderId="3">
      <alignment horizontal="left" vertical="center"/>
    </xf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2" fillId="0" borderId="0"/>
    <xf numFmtId="0" fontId="10" fillId="0" borderId="4" applyNumberFormat="0" applyFill="0" applyAlignment="0" applyProtection="0"/>
    <xf numFmtId="2" fontId="1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0" fontId="2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180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0" fontId="15" fillId="0" borderId="0" applyFont="0" applyFill="0" applyBorder="0" applyAlignment="0" applyProtection="0"/>
    <xf numFmtId="0" fontId="4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6" fillId="0" borderId="0"/>
    <xf numFmtId="0" fontId="15" fillId="0" borderId="5" applyNumberFormat="0" applyFont="0" applyFill="0" applyAlignment="0" applyProtection="0"/>
    <xf numFmtId="0" fontId="1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52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60" fillId="35" borderId="9" applyNumberFormat="0" applyAlignment="0" applyProtection="0">
      <alignment vertical="center"/>
    </xf>
    <xf numFmtId="0" fontId="61" fillId="30" borderId="17" applyNumberFormat="0" applyAlignment="0" applyProtection="0">
      <alignment vertical="center"/>
    </xf>
    <xf numFmtId="0" fontId="62" fillId="30" borderId="9" applyNumberFormat="0" applyAlignment="0" applyProtection="0">
      <alignment vertical="center"/>
    </xf>
    <xf numFmtId="0" fontId="63" fillId="0" borderId="12" applyNumberFormat="0" applyFill="0" applyAlignment="0" applyProtection="0">
      <alignment vertical="center"/>
    </xf>
    <xf numFmtId="0" fontId="64" fillId="34" borderId="11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2" fillId="32" borderId="10" applyNumberFormat="0" applyFon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</cellStyleXfs>
  <cellXfs count="208">
    <xf numFmtId="0" fontId="0" fillId="0" borderId="0" xfId="0"/>
    <xf numFmtId="181" fontId="47" fillId="37" borderId="0" xfId="7" applyNumberFormat="1" applyFont="1" applyFill="1" applyBorder="1" applyAlignment="1">
      <alignment horizontal="left" vertical="center"/>
    </xf>
    <xf numFmtId="0" fontId="48" fillId="37" borderId="0" xfId="7" applyFont="1" applyFill="1" applyBorder="1" applyAlignment="1">
      <alignment horizontal="center" vertical="center"/>
    </xf>
    <xf numFmtId="176" fontId="5" fillId="2" borderId="0" xfId="72" quotePrefix="1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41" fontId="25" fillId="0" borderId="0" xfId="39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5" fillId="3" borderId="0" xfId="39" applyNumberFormat="1" applyFont="1" applyFill="1" applyAlignment="1">
      <alignment horizontal="center" vertical="center"/>
    </xf>
    <xf numFmtId="17" fontId="5" fillId="4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1" fontId="28" fillId="38" borderId="0" xfId="39" applyFont="1" applyFill="1" applyBorder="1" applyAlignment="1">
      <alignment horizontal="right" vertical="center"/>
    </xf>
    <xf numFmtId="41" fontId="25" fillId="38" borderId="0" xfId="0" applyNumberFormat="1" applyFont="1" applyFill="1" applyAlignment="1">
      <alignment horizontal="right" vertical="center"/>
    </xf>
    <xf numFmtId="41" fontId="26" fillId="38" borderId="0" xfId="0" applyNumberFormat="1" applyFont="1" applyFill="1" applyBorder="1" applyAlignment="1">
      <alignment horizontal="right" vertical="center"/>
    </xf>
    <xf numFmtId="0" fontId="31" fillId="0" borderId="0" xfId="0" applyFont="1" applyFill="1" applyAlignment="1">
      <alignment horizontal="right" vertical="center"/>
    </xf>
    <xf numFmtId="0" fontId="9" fillId="0" borderId="0" xfId="0" applyFont="1" applyFill="1" applyBorder="1" applyAlignment="1">
      <alignment horizontal="right" vertical="center"/>
    </xf>
    <xf numFmtId="41" fontId="9" fillId="0" borderId="0" xfId="39" applyFont="1" applyFill="1" applyBorder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4" fillId="0" borderId="6" xfId="0" applyFont="1" applyFill="1" applyBorder="1" applyAlignment="1">
      <alignment horizontal="right" vertical="center"/>
    </xf>
    <xf numFmtId="179" fontId="4" fillId="0" borderId="6" xfId="0" applyNumberFormat="1" applyFont="1" applyFill="1" applyBorder="1" applyAlignment="1">
      <alignment horizontal="right" vertical="center"/>
    </xf>
    <xf numFmtId="41" fontId="4" fillId="0" borderId="6" xfId="39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4" fillId="0" borderId="0" xfId="0" applyFont="1"/>
    <xf numFmtId="41" fontId="26" fillId="39" borderId="0" xfId="0" applyNumberFormat="1" applyFont="1" applyFill="1" applyBorder="1" applyAlignment="1">
      <alignment horizontal="right" vertical="center"/>
    </xf>
    <xf numFmtId="41" fontId="8" fillId="39" borderId="0" xfId="0" applyNumberFormat="1" applyFont="1" applyFill="1" applyBorder="1" applyAlignment="1">
      <alignment horizontal="left" vertical="center"/>
    </xf>
    <xf numFmtId="179" fontId="8" fillId="39" borderId="0" xfId="0" applyNumberFormat="1" applyFont="1" applyFill="1" applyBorder="1" applyAlignment="1">
      <alignment horizontal="right" vertical="center"/>
    </xf>
    <xf numFmtId="0" fontId="8" fillId="39" borderId="0" xfId="0" applyFont="1" applyFill="1" applyBorder="1" applyAlignment="1">
      <alignment vertical="center"/>
    </xf>
    <xf numFmtId="176" fontId="7" fillId="2" borderId="0" xfId="72" quotePrefix="1" applyNumberFormat="1" applyFont="1" applyFill="1" applyBorder="1" applyAlignment="1">
      <alignment horizontal="center" vertical="center"/>
    </xf>
    <xf numFmtId="41" fontId="24" fillId="39" borderId="0" xfId="0" applyNumberFormat="1" applyFont="1" applyFill="1" applyBorder="1" applyAlignment="1">
      <alignment horizontal="left" vertical="center"/>
    </xf>
    <xf numFmtId="188" fontId="48" fillId="37" borderId="0" xfId="7" applyNumberFormat="1" applyFont="1" applyFill="1" applyBorder="1" applyAlignment="1">
      <alignment horizontal="center" vertical="center"/>
    </xf>
    <xf numFmtId="176" fontId="5" fillId="40" borderId="0" xfId="72" quotePrefix="1" applyNumberFormat="1" applyFont="1" applyFill="1" applyBorder="1" applyAlignment="1">
      <alignment horizontal="center" vertical="center"/>
    </xf>
    <xf numFmtId="176" fontId="49" fillId="41" borderId="0" xfId="72" applyNumberFormat="1" applyFont="1" applyFill="1" applyBorder="1" applyAlignment="1">
      <alignment horizontal="center" vertical="center"/>
    </xf>
    <xf numFmtId="41" fontId="28" fillId="38" borderId="0" xfId="39" applyNumberFormat="1" applyFont="1" applyFill="1" applyBorder="1" applyAlignment="1">
      <alignment horizontal="right" vertical="center"/>
    </xf>
    <xf numFmtId="176" fontId="5" fillId="40" borderId="0" xfId="72" applyNumberFormat="1" applyFont="1" applyFill="1" applyBorder="1" applyAlignment="1">
      <alignment horizontal="center" vertical="center"/>
    </xf>
    <xf numFmtId="17" fontId="7" fillId="4" borderId="7" xfId="0" applyNumberFormat="1" applyFont="1" applyFill="1" applyBorder="1" applyAlignment="1">
      <alignment horizontal="left" vertical="center"/>
    </xf>
    <xf numFmtId="178" fontId="29" fillId="38" borderId="6" xfId="39" applyNumberFormat="1" applyFont="1" applyFill="1" applyBorder="1" applyAlignment="1">
      <alignment horizontal="right" vertical="center"/>
    </xf>
    <xf numFmtId="41" fontId="4" fillId="38" borderId="0" xfId="0" applyNumberFormat="1" applyFont="1" applyFill="1" applyAlignment="1">
      <alignment horizontal="right" vertical="center"/>
    </xf>
    <xf numFmtId="41" fontId="24" fillId="38" borderId="0" xfId="0" applyNumberFormat="1" applyFont="1" applyFill="1" applyBorder="1" applyAlignment="1">
      <alignment horizontal="left" vertical="center"/>
    </xf>
    <xf numFmtId="9" fontId="27" fillId="38" borderId="0" xfId="35" applyFont="1" applyFill="1" applyBorder="1" applyAlignment="1">
      <alignment horizontal="right" vertical="center"/>
    </xf>
    <xf numFmtId="41" fontId="8" fillId="38" borderId="0" xfId="0" applyNumberFormat="1" applyFont="1" applyFill="1" applyBorder="1" applyAlignment="1">
      <alignment horizontal="right" vertical="center"/>
    </xf>
    <xf numFmtId="181" fontId="35" fillId="38" borderId="0" xfId="7" applyNumberFormat="1" applyFont="1" applyFill="1" applyBorder="1" applyAlignment="1">
      <alignment horizontal="left" vertical="center"/>
    </xf>
    <xf numFmtId="0" fontId="36" fillId="38" borderId="0" xfId="7" applyFont="1" applyFill="1" applyBorder="1" applyAlignment="1">
      <alignment horizontal="center" vertical="center"/>
    </xf>
    <xf numFmtId="17" fontId="36" fillId="38" borderId="0" xfId="7" applyNumberFormat="1" applyFont="1" applyFill="1" applyBorder="1" applyAlignment="1">
      <alignment horizontal="center" vertical="center"/>
    </xf>
    <xf numFmtId="0" fontId="24" fillId="38" borderId="0" xfId="7" applyFont="1" applyFill="1" applyBorder="1" applyAlignment="1">
      <alignment horizontal="center" vertical="center"/>
    </xf>
    <xf numFmtId="188" fontId="24" fillId="38" borderId="0" xfId="7" applyNumberFormat="1" applyFont="1" applyFill="1" applyBorder="1" applyAlignment="1">
      <alignment horizontal="center" vertical="center"/>
    </xf>
    <xf numFmtId="0" fontId="36" fillId="0" borderId="0" xfId="7" applyFont="1" applyBorder="1" applyAlignment="1">
      <alignment horizontal="center" vertical="center"/>
    </xf>
    <xf numFmtId="176" fontId="5" fillId="2" borderId="0" xfId="72" quotePrefix="1" applyNumberFormat="1" applyFont="1" applyFill="1" applyBorder="1" applyAlignment="1">
      <alignment horizontal="left" vertical="center"/>
    </xf>
    <xf numFmtId="0" fontId="5" fillId="42" borderId="0" xfId="7" applyNumberFormat="1" applyFont="1" applyFill="1" applyBorder="1" applyAlignment="1">
      <alignment horizontal="center" vertical="center"/>
    </xf>
    <xf numFmtId="179" fontId="37" fillId="0" borderId="0" xfId="7" applyNumberFormat="1" applyFont="1" applyFill="1" applyBorder="1" applyAlignment="1">
      <alignment horizontal="center" vertical="center"/>
    </xf>
    <xf numFmtId="178" fontId="7" fillId="40" borderId="0" xfId="72" applyNumberFormat="1" applyFont="1" applyFill="1" applyBorder="1" applyAlignment="1">
      <alignment horizontal="left" vertical="center"/>
    </xf>
    <xf numFmtId="178" fontId="38" fillId="0" borderId="0" xfId="7" applyNumberFormat="1" applyFont="1" applyFill="1" applyBorder="1" applyAlignment="1">
      <alignment horizontal="center" vertical="center"/>
    </xf>
    <xf numFmtId="0" fontId="8" fillId="39" borderId="0" xfId="72" applyFont="1" applyFill="1" applyBorder="1" applyAlignment="1">
      <alignment horizontal="left" vertical="center"/>
    </xf>
    <xf numFmtId="176" fontId="8" fillId="39" borderId="0" xfId="72" quotePrefix="1" applyNumberFormat="1" applyFont="1" applyFill="1" applyBorder="1" applyAlignment="1">
      <alignment horizontal="right" vertical="center"/>
    </xf>
    <xf numFmtId="182" fontId="8" fillId="39" borderId="0" xfId="72" applyNumberFormat="1" applyFont="1" applyFill="1" applyBorder="1" applyAlignment="1">
      <alignment horizontal="right" vertical="center"/>
    </xf>
    <xf numFmtId="0" fontId="9" fillId="39" borderId="6" xfId="72" applyFont="1" applyFill="1" applyBorder="1" applyAlignment="1">
      <alignment horizontal="left" vertical="center"/>
    </xf>
    <xf numFmtId="176" fontId="8" fillId="39" borderId="6" xfId="72" quotePrefix="1" applyNumberFormat="1" applyFont="1" applyFill="1" applyBorder="1" applyAlignment="1">
      <alignment horizontal="right" vertical="center"/>
    </xf>
    <xf numFmtId="182" fontId="8" fillId="39" borderId="6" xfId="72" applyNumberFormat="1" applyFont="1" applyFill="1" applyBorder="1" applyAlignment="1">
      <alignment horizontal="right" vertical="center"/>
    </xf>
    <xf numFmtId="182" fontId="9" fillId="39" borderId="6" xfId="72" applyNumberFormat="1" applyFont="1" applyFill="1" applyBorder="1" applyAlignment="1">
      <alignment horizontal="right" vertical="center"/>
    </xf>
    <xf numFmtId="0" fontId="8" fillId="39" borderId="0" xfId="72" applyFont="1" applyFill="1" applyBorder="1" applyAlignment="1">
      <alignment horizontal="left" vertical="center" indent="1"/>
    </xf>
    <xf numFmtId="0" fontId="9" fillId="39" borderId="0" xfId="72" applyFont="1" applyFill="1" applyBorder="1" applyAlignment="1">
      <alignment horizontal="left" vertical="center" indent="1"/>
    </xf>
    <xf numFmtId="182" fontId="9" fillId="39" borderId="0" xfId="72" applyNumberFormat="1" applyFont="1" applyFill="1" applyBorder="1" applyAlignment="1">
      <alignment horizontal="right" vertical="center"/>
    </xf>
    <xf numFmtId="182" fontId="9" fillId="38" borderId="0" xfId="72" applyNumberFormat="1" applyFont="1" applyFill="1" applyBorder="1" applyAlignment="1">
      <alignment horizontal="left" vertical="center"/>
    </xf>
    <xf numFmtId="182" fontId="39" fillId="38" borderId="0" xfId="72" applyNumberFormat="1" applyFont="1" applyFill="1" applyBorder="1" applyAlignment="1">
      <alignment horizontal="right" vertical="center"/>
    </xf>
    <xf numFmtId="182" fontId="9" fillId="38" borderId="0" xfId="72" applyNumberFormat="1" applyFont="1" applyFill="1" applyBorder="1" applyAlignment="1">
      <alignment horizontal="right" vertical="center"/>
    </xf>
    <xf numFmtId="178" fontId="40" fillId="0" borderId="0" xfId="7" applyNumberFormat="1" applyFont="1" applyFill="1" applyBorder="1" applyAlignment="1">
      <alignment horizontal="center" vertical="center"/>
    </xf>
    <xf numFmtId="182" fontId="8" fillId="39" borderId="0" xfId="72" applyNumberFormat="1" applyFont="1" applyFill="1" applyBorder="1" applyAlignment="1">
      <alignment horizontal="left" vertical="center" indent="1"/>
    </xf>
    <xf numFmtId="182" fontId="9" fillId="39" borderId="6" xfId="72" applyNumberFormat="1" applyFont="1" applyFill="1" applyBorder="1" applyAlignment="1">
      <alignment horizontal="left" vertical="center" indent="1"/>
    </xf>
    <xf numFmtId="182" fontId="4" fillId="38" borderId="6" xfId="39" applyNumberFormat="1" applyFont="1" applyFill="1" applyBorder="1" applyAlignment="1">
      <alignment horizontal="left" vertical="center"/>
    </xf>
    <xf numFmtId="182" fontId="4" fillId="38" borderId="6" xfId="39" applyNumberFormat="1" applyFont="1" applyFill="1" applyBorder="1" applyAlignment="1">
      <alignment horizontal="right" vertical="center"/>
    </xf>
    <xf numFmtId="178" fontId="8" fillId="38" borderId="0" xfId="72" applyNumberFormat="1" applyFont="1" applyFill="1" applyBorder="1" applyAlignment="1">
      <alignment horizontal="center" vertical="center"/>
    </xf>
    <xf numFmtId="178" fontId="5" fillId="38" borderId="0" xfId="72" applyNumberFormat="1" applyFont="1" applyFill="1" applyBorder="1" applyAlignment="1">
      <alignment horizontal="center" vertical="center"/>
    </xf>
    <xf numFmtId="178" fontId="38" fillId="38" borderId="0" xfId="7" applyNumberFormat="1" applyFont="1" applyFill="1" applyBorder="1" applyAlignment="1">
      <alignment horizontal="center" vertical="center"/>
    </xf>
    <xf numFmtId="178" fontId="50" fillId="38" borderId="0" xfId="7" applyNumberFormat="1" applyFont="1" applyFill="1" applyBorder="1" applyAlignment="1">
      <alignment horizontal="center" vertical="center"/>
    </xf>
    <xf numFmtId="179" fontId="5" fillId="0" borderId="0" xfId="7" applyNumberFormat="1" applyFont="1" applyFill="1" applyBorder="1" applyAlignment="1">
      <alignment horizontal="left" vertical="center"/>
    </xf>
    <xf numFmtId="179" fontId="38" fillId="0" borderId="0" xfId="7" applyNumberFormat="1" applyFont="1" applyFill="1" applyBorder="1" applyAlignment="1">
      <alignment horizontal="center" vertical="center"/>
    </xf>
    <xf numFmtId="178" fontId="50" fillId="0" borderId="0" xfId="7" applyNumberFormat="1" applyFont="1" applyFill="1" applyBorder="1" applyAlignment="1">
      <alignment horizontal="center" vertical="center"/>
    </xf>
    <xf numFmtId="0" fontId="4" fillId="2" borderId="0" xfId="7" applyFont="1" applyFill="1" applyBorder="1" applyAlignment="1">
      <alignment horizontal="center" vertical="center"/>
    </xf>
    <xf numFmtId="182" fontId="8" fillId="39" borderId="0" xfId="72" applyNumberFormat="1" applyFont="1" applyFill="1" applyBorder="1" applyAlignment="1">
      <alignment horizontal="left" vertical="center"/>
    </xf>
    <xf numFmtId="182" fontId="4" fillId="3" borderId="0" xfId="7" applyNumberFormat="1" applyFont="1" applyFill="1" applyBorder="1" applyAlignment="1">
      <alignment horizontal="center" vertical="center"/>
    </xf>
    <xf numFmtId="182" fontId="9" fillId="39" borderId="0" xfId="72" applyNumberFormat="1" applyFont="1" applyFill="1" applyBorder="1" applyAlignment="1">
      <alignment horizontal="left" vertical="center"/>
    </xf>
    <xf numFmtId="182" fontId="4" fillId="0" borderId="0" xfId="7" applyNumberFormat="1" applyFont="1" applyBorder="1" applyAlignment="1">
      <alignment horizontal="center" vertical="center"/>
    </xf>
    <xf numFmtId="178" fontId="4" fillId="38" borderId="0" xfId="7" applyNumberFormat="1" applyFont="1" applyFill="1" applyBorder="1" applyAlignment="1">
      <alignment horizontal="left" vertical="center" wrapText="1"/>
    </xf>
    <xf numFmtId="178" fontId="4" fillId="38" borderId="0" xfId="7" applyNumberFormat="1" applyFont="1" applyFill="1" applyBorder="1" applyAlignment="1">
      <alignment horizontal="right" vertical="center" wrapText="1"/>
    </xf>
    <xf numFmtId="178" fontId="4" fillId="38" borderId="0" xfId="7" applyNumberFormat="1" applyFont="1" applyFill="1" applyBorder="1" applyAlignment="1">
      <alignment horizontal="right" vertical="center"/>
    </xf>
    <xf numFmtId="178" fontId="4" fillId="38" borderId="0" xfId="7" applyNumberFormat="1" applyFont="1" applyFill="1" applyBorder="1" applyAlignment="1">
      <alignment horizontal="center" vertical="center"/>
    </xf>
    <xf numFmtId="178" fontId="4" fillId="0" borderId="0" xfId="7" applyNumberFormat="1" applyFont="1" applyBorder="1" applyAlignment="1">
      <alignment horizontal="center" vertical="center"/>
    </xf>
    <xf numFmtId="178" fontId="4" fillId="38" borderId="3" xfId="7" applyNumberFormat="1" applyFont="1" applyFill="1" applyBorder="1" applyAlignment="1">
      <alignment horizontal="left" vertical="center" wrapText="1"/>
    </xf>
    <xf numFmtId="178" fontId="4" fillId="38" borderId="3" xfId="7" applyNumberFormat="1" applyFont="1" applyFill="1" applyBorder="1" applyAlignment="1">
      <alignment horizontal="right" vertical="center" wrapText="1"/>
    </xf>
    <xf numFmtId="178" fontId="4" fillId="38" borderId="3" xfId="7" applyNumberFormat="1" applyFont="1" applyFill="1" applyBorder="1" applyAlignment="1">
      <alignment horizontal="right" vertical="center"/>
    </xf>
    <xf numFmtId="178" fontId="4" fillId="38" borderId="3" xfId="7" applyNumberFormat="1" applyFont="1" applyFill="1" applyBorder="1" applyAlignment="1">
      <alignment horizontal="center" vertical="center"/>
    </xf>
    <xf numFmtId="41" fontId="4" fillId="38" borderId="3" xfId="39" applyFont="1" applyFill="1" applyBorder="1" applyAlignment="1">
      <alignment horizontal="center" vertical="center"/>
    </xf>
    <xf numFmtId="178" fontId="8" fillId="38" borderId="7" xfId="7" applyNumberFormat="1" applyFont="1" applyFill="1" applyBorder="1" applyAlignment="1">
      <alignment horizontal="left" vertical="center" wrapText="1"/>
    </xf>
    <xf numFmtId="178" fontId="8" fillId="38" borderId="7" xfId="7" applyNumberFormat="1" applyFont="1" applyFill="1" applyBorder="1" applyAlignment="1">
      <alignment horizontal="right" vertical="center" wrapText="1"/>
    </xf>
    <xf numFmtId="178" fontId="8" fillId="38" borderId="7" xfId="7" applyNumberFormat="1" applyFont="1" applyFill="1" applyBorder="1" applyAlignment="1">
      <alignment horizontal="right" vertical="center"/>
    </xf>
    <xf numFmtId="178" fontId="8" fillId="38" borderId="7" xfId="7" applyNumberFormat="1" applyFont="1" applyFill="1" applyBorder="1" applyAlignment="1">
      <alignment horizontal="center" vertical="center"/>
    </xf>
    <xf numFmtId="177" fontId="8" fillId="38" borderId="7" xfId="35" applyNumberFormat="1" applyFont="1" applyFill="1" applyBorder="1" applyAlignment="1">
      <alignment horizontal="center" vertical="center"/>
    </xf>
    <xf numFmtId="177" fontId="4" fillId="38" borderId="0" xfId="35" applyNumberFormat="1" applyFont="1" applyFill="1" applyBorder="1" applyAlignment="1">
      <alignment horizontal="center" vertical="center"/>
    </xf>
    <xf numFmtId="178" fontId="4" fillId="38" borderId="6" xfId="7" applyNumberFormat="1" applyFont="1" applyFill="1" applyBorder="1" applyAlignment="1">
      <alignment horizontal="left" vertical="center" wrapText="1"/>
    </xf>
    <xf numFmtId="178" fontId="4" fillId="38" borderId="6" xfId="7" applyNumberFormat="1" applyFont="1" applyFill="1" applyBorder="1" applyAlignment="1">
      <alignment horizontal="right" vertical="center" wrapText="1"/>
    </xf>
    <xf numFmtId="178" fontId="4" fillId="38" borderId="6" xfId="7" applyNumberFormat="1" applyFont="1" applyFill="1" applyBorder="1" applyAlignment="1">
      <alignment horizontal="right" vertical="center"/>
    </xf>
    <xf numFmtId="178" fontId="4" fillId="38" borderId="6" xfId="7" applyNumberFormat="1" applyFont="1" applyFill="1" applyBorder="1" applyAlignment="1">
      <alignment horizontal="center" vertical="center"/>
    </xf>
    <xf numFmtId="177" fontId="4" fillId="38" borderId="6" xfId="35" applyNumberFormat="1" applyFont="1" applyFill="1" applyBorder="1" applyAlignment="1">
      <alignment horizontal="center" vertical="center"/>
    </xf>
    <xf numFmtId="179" fontId="38" fillId="38" borderId="0" xfId="7" applyNumberFormat="1" applyFont="1" applyFill="1" applyBorder="1" applyAlignment="1">
      <alignment horizontal="center" vertical="center"/>
    </xf>
    <xf numFmtId="189" fontId="4" fillId="38" borderId="0" xfId="7" applyNumberFormat="1" applyFont="1" applyFill="1" applyBorder="1" applyAlignment="1">
      <alignment horizontal="center" vertical="center"/>
    </xf>
    <xf numFmtId="177" fontId="4" fillId="38" borderId="0" xfId="35" applyNumberFormat="1" applyFont="1" applyFill="1" applyBorder="1" applyAlignment="1">
      <alignment horizontal="right" vertical="center"/>
    </xf>
    <xf numFmtId="41" fontId="50" fillId="38" borderId="0" xfId="39" applyFont="1" applyFill="1" applyBorder="1" applyAlignment="1">
      <alignment horizontal="center" vertical="center"/>
    </xf>
    <xf numFmtId="179" fontId="4" fillId="0" borderId="0" xfId="7" applyNumberFormat="1" applyFont="1" applyFill="1" applyBorder="1" applyAlignment="1">
      <alignment horizontal="center" vertical="center"/>
    </xf>
    <xf numFmtId="182" fontId="9" fillId="39" borderId="6" xfId="72" applyNumberFormat="1" applyFont="1" applyFill="1" applyBorder="1" applyAlignment="1">
      <alignment horizontal="left" vertical="center"/>
    </xf>
    <xf numFmtId="182" fontId="4" fillId="38" borderId="0" xfId="72" applyNumberFormat="1" applyFont="1" applyFill="1" applyBorder="1" applyAlignment="1">
      <alignment horizontal="left" vertical="center"/>
    </xf>
    <xf numFmtId="182" fontId="8" fillId="38" borderId="0" xfId="72" applyNumberFormat="1" applyFont="1" applyFill="1" applyBorder="1" applyAlignment="1">
      <alignment horizontal="right" vertical="center"/>
    </xf>
    <xf numFmtId="182" fontId="8" fillId="38" borderId="7" xfId="72" applyNumberFormat="1" applyFont="1" applyFill="1" applyBorder="1" applyAlignment="1">
      <alignment horizontal="left" vertical="center"/>
    </xf>
    <xf numFmtId="182" fontId="8" fillId="38" borderId="7" xfId="72" applyNumberFormat="1" applyFont="1" applyFill="1" applyBorder="1" applyAlignment="1">
      <alignment horizontal="right" vertical="center"/>
    </xf>
    <xf numFmtId="177" fontId="8" fillId="38" borderId="7" xfId="35" applyNumberFormat="1" applyFont="1" applyFill="1" applyBorder="1" applyAlignment="1">
      <alignment horizontal="right" vertical="center"/>
    </xf>
    <xf numFmtId="182" fontId="4" fillId="38" borderId="6" xfId="72" applyNumberFormat="1" applyFont="1" applyFill="1" applyBorder="1" applyAlignment="1">
      <alignment horizontal="left" vertical="center"/>
    </xf>
    <xf numFmtId="182" fontId="8" fillId="38" borderId="6" xfId="72" applyNumberFormat="1" applyFont="1" applyFill="1" applyBorder="1" applyAlignment="1">
      <alignment horizontal="right" vertical="center"/>
    </xf>
    <xf numFmtId="177" fontId="4" fillId="38" borderId="6" xfId="35" applyNumberFormat="1" applyFont="1" applyFill="1" applyBorder="1" applyAlignment="1">
      <alignment horizontal="right" vertical="center"/>
    </xf>
    <xf numFmtId="182" fontId="4" fillId="38" borderId="6" xfId="72" applyNumberFormat="1" applyFont="1" applyFill="1" applyBorder="1" applyAlignment="1">
      <alignment horizontal="right" vertical="center"/>
    </xf>
    <xf numFmtId="182" fontId="8" fillId="39" borderId="7" xfId="72" applyNumberFormat="1" applyFont="1" applyFill="1" applyBorder="1" applyAlignment="1">
      <alignment horizontal="left" vertical="center"/>
    </xf>
    <xf numFmtId="182" fontId="8" fillId="39" borderId="7" xfId="72" applyNumberFormat="1" applyFont="1" applyFill="1" applyBorder="1" applyAlignment="1">
      <alignment vertical="center"/>
    </xf>
    <xf numFmtId="182" fontId="8" fillId="39" borderId="0" xfId="72" applyNumberFormat="1" applyFont="1" applyFill="1" applyBorder="1" applyAlignment="1">
      <alignment vertical="center"/>
    </xf>
    <xf numFmtId="182" fontId="8" fillId="38" borderId="6" xfId="72" applyNumberFormat="1" applyFont="1" applyFill="1" applyBorder="1" applyAlignment="1">
      <alignment vertical="center"/>
    </xf>
    <xf numFmtId="182" fontId="9" fillId="38" borderId="6" xfId="72" applyNumberFormat="1" applyFont="1" applyFill="1" applyBorder="1" applyAlignment="1">
      <alignment horizontal="right" vertical="center"/>
    </xf>
    <xf numFmtId="0" fontId="8" fillId="38" borderId="0" xfId="72" applyFont="1" applyFill="1" applyBorder="1" applyAlignment="1">
      <alignment horizontal="left" vertical="center"/>
    </xf>
    <xf numFmtId="179" fontId="4" fillId="38" borderId="0" xfId="7" applyNumberFormat="1" applyFont="1" applyFill="1" applyBorder="1" applyAlignment="1">
      <alignment horizontal="center" vertical="center"/>
    </xf>
    <xf numFmtId="178" fontId="8" fillId="38" borderId="3" xfId="72" applyNumberFormat="1" applyFont="1" applyFill="1" applyBorder="1" applyAlignment="1">
      <alignment horizontal="left" vertical="center"/>
    </xf>
    <xf numFmtId="176" fontId="8" fillId="38" borderId="3" xfId="72" quotePrefix="1" applyNumberFormat="1" applyFont="1" applyFill="1" applyBorder="1" applyAlignment="1">
      <alignment horizontal="center" vertical="center"/>
    </xf>
    <xf numFmtId="178" fontId="4" fillId="38" borderId="0" xfId="72" applyNumberFormat="1" applyFont="1" applyFill="1" applyBorder="1" applyAlignment="1">
      <alignment horizontal="left" vertical="center" indent="1"/>
    </xf>
    <xf numFmtId="178" fontId="4" fillId="38" borderId="0" xfId="35" applyNumberFormat="1" applyFont="1" applyFill="1" applyBorder="1" applyAlignment="1">
      <alignment horizontal="right" vertical="center"/>
    </xf>
    <xf numFmtId="182" fontId="4" fillId="38" borderId="7" xfId="7" applyNumberFormat="1" applyFont="1" applyFill="1" applyBorder="1" applyAlignment="1">
      <alignment horizontal="right" vertical="center"/>
    </xf>
    <xf numFmtId="178" fontId="4" fillId="0" borderId="0" xfId="7" applyNumberFormat="1" applyFont="1" applyFill="1" applyBorder="1" applyAlignment="1">
      <alignment horizontal="center" vertical="center"/>
    </xf>
    <xf numFmtId="178" fontId="4" fillId="38" borderId="6" xfId="72" applyNumberFormat="1" applyFont="1" applyFill="1" applyBorder="1" applyAlignment="1">
      <alignment horizontal="left" vertical="center" indent="1"/>
    </xf>
    <xf numFmtId="178" fontId="4" fillId="38" borderId="6" xfId="35" applyNumberFormat="1" applyFont="1" applyFill="1" applyBorder="1" applyAlignment="1">
      <alignment horizontal="right" vertical="center"/>
    </xf>
    <xf numFmtId="182" fontId="4" fillId="38" borderId="6" xfId="7" applyNumberFormat="1" applyFont="1" applyFill="1" applyBorder="1" applyAlignment="1">
      <alignment horizontal="right" vertical="center"/>
    </xf>
    <xf numFmtId="182" fontId="4" fillId="38" borderId="0" xfId="7" applyNumberFormat="1" applyFont="1" applyFill="1" applyBorder="1" applyAlignment="1">
      <alignment horizontal="right" vertical="center"/>
    </xf>
    <xf numFmtId="41" fontId="4" fillId="0" borderId="0" xfId="39" applyFont="1" applyFill="1" applyBorder="1" applyAlignment="1">
      <alignment horizontal="center" vertical="center"/>
    </xf>
    <xf numFmtId="178" fontId="4" fillId="0" borderId="0" xfId="72" applyNumberFormat="1" applyFont="1" applyFill="1" applyBorder="1" applyAlignment="1">
      <alignment horizontal="left" vertical="center" indent="1"/>
    </xf>
    <xf numFmtId="178" fontId="4" fillId="0" borderId="0" xfId="35" applyNumberFormat="1" applyFont="1" applyFill="1" applyBorder="1" applyAlignment="1">
      <alignment horizontal="right" vertical="center"/>
    </xf>
    <xf numFmtId="182" fontId="4" fillId="0" borderId="0" xfId="7" applyNumberFormat="1" applyFont="1" applyFill="1" applyBorder="1" applyAlignment="1">
      <alignment horizontal="right" vertical="center"/>
    </xf>
    <xf numFmtId="0" fontId="41" fillId="0" borderId="0" xfId="72" applyFont="1" applyFill="1" applyBorder="1" applyAlignment="1">
      <alignment horizontal="left" vertical="center"/>
    </xf>
    <xf numFmtId="178" fontId="41" fillId="0" borderId="0" xfId="35" applyNumberFormat="1" applyFont="1" applyFill="1" applyBorder="1" applyAlignment="1">
      <alignment horizontal="center" vertical="center"/>
    </xf>
    <xf numFmtId="182" fontId="41" fillId="0" borderId="0" xfId="7" applyNumberFormat="1" applyFont="1" applyFill="1" applyBorder="1" applyAlignment="1">
      <alignment horizontal="center" vertical="center"/>
    </xf>
    <xf numFmtId="182" fontId="43" fillId="0" borderId="0" xfId="7" applyNumberFormat="1" applyFont="1" applyFill="1" applyBorder="1" applyAlignment="1">
      <alignment horizontal="center" vertical="center"/>
    </xf>
    <xf numFmtId="178" fontId="36" fillId="0" borderId="0" xfId="7" applyNumberFormat="1" applyFont="1" applyFill="1" applyBorder="1" applyAlignment="1">
      <alignment horizontal="center" vertical="center"/>
    </xf>
    <xf numFmtId="191" fontId="36" fillId="0" borderId="0" xfId="7" applyNumberFormat="1" applyFont="1" applyFill="1" applyBorder="1" applyAlignment="1">
      <alignment horizontal="center" vertical="center"/>
    </xf>
    <xf numFmtId="178" fontId="41" fillId="0" borderId="0" xfId="72" applyNumberFormat="1" applyFont="1" applyFill="1" applyBorder="1" applyAlignment="1">
      <alignment horizontal="left" vertical="center"/>
    </xf>
    <xf numFmtId="178" fontId="4" fillId="0" borderId="0" xfId="35" applyNumberFormat="1" applyFont="1" applyFill="1" applyBorder="1" applyAlignment="1">
      <alignment horizontal="center" vertical="center"/>
    </xf>
    <xf numFmtId="182" fontId="4" fillId="0" borderId="0" xfId="7" applyNumberFormat="1" applyFont="1" applyFill="1" applyBorder="1" applyAlignment="1">
      <alignment horizontal="center" vertical="center"/>
    </xf>
    <xf numFmtId="0" fontId="41" fillId="0" borderId="0" xfId="7" applyFont="1" applyFill="1" applyBorder="1" applyAlignment="1">
      <alignment vertical="center"/>
    </xf>
    <xf numFmtId="0" fontId="41" fillId="38" borderId="0" xfId="72" applyFont="1" applyFill="1" applyBorder="1" applyAlignment="1">
      <alignment horizontal="left" vertical="center"/>
    </xf>
    <xf numFmtId="178" fontId="41" fillId="38" borderId="0" xfId="72" applyNumberFormat="1" applyFont="1" applyFill="1" applyBorder="1" applyAlignment="1">
      <alignment horizontal="left" vertical="center"/>
    </xf>
    <xf numFmtId="0" fontId="10" fillId="0" borderId="0" xfId="7" applyFont="1" applyBorder="1" applyAlignment="1">
      <alignment horizontal="left" vertical="center"/>
    </xf>
    <xf numFmtId="192" fontId="28" fillId="38" borderId="0" xfId="39" applyNumberFormat="1" applyFont="1" applyFill="1" applyBorder="1" applyAlignment="1">
      <alignment horizontal="right" vertical="center"/>
    </xf>
    <xf numFmtId="0" fontId="7" fillId="4" borderId="7" xfId="0" applyFont="1" applyFill="1" applyBorder="1" applyAlignment="1">
      <alignment horizontal="left" vertical="center"/>
    </xf>
    <xf numFmtId="41" fontId="24" fillId="39" borderId="8" xfId="0" applyNumberFormat="1" applyFont="1" applyFill="1" applyBorder="1" applyAlignment="1">
      <alignment horizontal="left" vertical="center"/>
    </xf>
    <xf numFmtId="41" fontId="26" fillId="39" borderId="8" xfId="0" applyNumberFormat="1" applyFont="1" applyFill="1" applyBorder="1" applyAlignment="1">
      <alignment horizontal="right" vertical="center"/>
    </xf>
    <xf numFmtId="41" fontId="24" fillId="39" borderId="6" xfId="0" applyNumberFormat="1" applyFont="1" applyFill="1" applyBorder="1" applyAlignment="1">
      <alignment horizontal="left" vertical="center"/>
    </xf>
    <xf numFmtId="41" fontId="26" fillId="39" borderId="6" xfId="0" applyNumberFormat="1" applyFont="1" applyFill="1" applyBorder="1" applyAlignment="1">
      <alignment horizontal="right" vertical="center"/>
    </xf>
    <xf numFmtId="41" fontId="24" fillId="39" borderId="7" xfId="0" applyNumberFormat="1" applyFont="1" applyFill="1" applyBorder="1" applyAlignment="1">
      <alignment horizontal="left" vertical="center"/>
    </xf>
    <xf numFmtId="41" fontId="26" fillId="39" borderId="7" xfId="0" applyNumberFormat="1" applyFont="1" applyFill="1" applyBorder="1" applyAlignment="1">
      <alignment horizontal="right" vertical="center"/>
    </xf>
    <xf numFmtId="0" fontId="4" fillId="38" borderId="0" xfId="0" applyFont="1" applyFill="1" applyAlignment="1">
      <alignment vertical="center"/>
    </xf>
    <xf numFmtId="41" fontId="4" fillId="38" borderId="0" xfId="39" applyFont="1" applyFill="1" applyAlignment="1">
      <alignment vertical="center"/>
    </xf>
    <xf numFmtId="41" fontId="25" fillId="38" borderId="0" xfId="39" applyFont="1" applyFill="1" applyAlignment="1">
      <alignment vertical="center"/>
    </xf>
    <xf numFmtId="0" fontId="34" fillId="38" borderId="0" xfId="0" applyFont="1" applyFill="1" applyBorder="1" applyAlignment="1">
      <alignment horizontal="left" vertical="center"/>
    </xf>
    <xf numFmtId="9" fontId="29" fillId="38" borderId="6" xfId="35" applyFont="1" applyFill="1" applyBorder="1" applyAlignment="1">
      <alignment horizontal="right" vertical="center"/>
    </xf>
    <xf numFmtId="9" fontId="9" fillId="38" borderId="0" xfId="35" applyFont="1" applyFill="1" applyBorder="1" applyAlignment="1">
      <alignment horizontal="left" vertical="center"/>
    </xf>
    <xf numFmtId="177" fontId="26" fillId="38" borderId="0" xfId="35" applyNumberFormat="1" applyFont="1" applyFill="1" applyBorder="1" applyAlignment="1">
      <alignment horizontal="right" vertical="center"/>
    </xf>
    <xf numFmtId="0" fontId="4" fillId="38" borderId="0" xfId="0" applyFont="1" applyFill="1" applyAlignment="1">
      <alignment horizontal="left" vertical="center"/>
    </xf>
    <xf numFmtId="41" fontId="8" fillId="38" borderId="0" xfId="0" applyNumberFormat="1" applyFont="1" applyFill="1" applyBorder="1" applyAlignment="1">
      <alignment horizontal="left" vertical="center"/>
    </xf>
    <xf numFmtId="0" fontId="9" fillId="38" borderId="0" xfId="0" applyFont="1" applyFill="1" applyBorder="1" applyAlignment="1">
      <alignment horizontal="left" vertical="center"/>
    </xf>
    <xf numFmtId="9" fontId="4" fillId="38" borderId="0" xfId="35" applyFont="1" applyFill="1" applyBorder="1" applyAlignment="1">
      <alignment horizontal="left" vertical="center"/>
    </xf>
    <xf numFmtId="41" fontId="4" fillId="38" borderId="0" xfId="39" applyFont="1" applyFill="1" applyBorder="1" applyAlignment="1">
      <alignment vertical="center"/>
    </xf>
    <xf numFmtId="0" fontId="27" fillId="38" borderId="0" xfId="0" applyFont="1" applyFill="1"/>
    <xf numFmtId="179" fontId="9" fillId="38" borderId="0" xfId="0" applyNumberFormat="1" applyFont="1" applyFill="1" applyBorder="1" applyAlignment="1">
      <alignment horizontal="right" vertical="center"/>
    </xf>
    <xf numFmtId="0" fontId="9" fillId="38" borderId="3" xfId="0" applyFont="1" applyFill="1" applyBorder="1" applyAlignment="1">
      <alignment horizontal="left" vertical="center"/>
    </xf>
    <xf numFmtId="41" fontId="9" fillId="38" borderId="3" xfId="39" applyFont="1" applyFill="1" applyBorder="1" applyAlignment="1">
      <alignment horizontal="right" vertical="center"/>
    </xf>
    <xf numFmtId="0" fontId="9" fillId="38" borderId="6" xfId="0" applyFont="1" applyFill="1" applyBorder="1" applyAlignment="1">
      <alignment horizontal="left" vertical="center"/>
    </xf>
    <xf numFmtId="41" fontId="9" fillId="38" borderId="6" xfId="39" applyFont="1" applyFill="1" applyBorder="1" applyAlignment="1">
      <alignment horizontal="right" vertical="center"/>
    </xf>
    <xf numFmtId="41" fontId="9" fillId="38" borderId="0" xfId="39" applyFont="1" applyFill="1" applyBorder="1" applyAlignment="1">
      <alignment horizontal="right" vertical="center"/>
    </xf>
    <xf numFmtId="0" fontId="4" fillId="38" borderId="0" xfId="0" applyFont="1" applyFill="1" applyBorder="1" applyAlignment="1">
      <alignment vertical="center"/>
    </xf>
    <xf numFmtId="0" fontId="4" fillId="38" borderId="0" xfId="0" applyFont="1" applyFill="1"/>
    <xf numFmtId="41" fontId="27" fillId="38" borderId="0" xfId="39" applyNumberFormat="1" applyFont="1" applyFill="1" applyBorder="1" applyAlignment="1">
      <alignment horizontal="right" vertical="center"/>
    </xf>
    <xf numFmtId="0" fontId="5" fillId="0" borderId="0" xfId="7" applyNumberFormat="1" applyFont="1" applyFill="1" applyBorder="1" applyAlignment="1">
      <alignment horizontal="center" vertical="center"/>
    </xf>
    <xf numFmtId="177" fontId="4" fillId="0" borderId="0" xfId="35" applyNumberFormat="1" applyFont="1" applyFill="1" applyBorder="1" applyAlignment="1">
      <alignment horizontal="center" vertical="center"/>
    </xf>
    <xf numFmtId="177" fontId="4" fillId="0" borderId="6" xfId="35" applyNumberFormat="1" applyFont="1" applyFill="1" applyBorder="1" applyAlignment="1">
      <alignment horizontal="center" vertical="center"/>
    </xf>
    <xf numFmtId="177" fontId="8" fillId="0" borderId="7" xfId="35" applyNumberFormat="1" applyFont="1" applyFill="1" applyBorder="1" applyAlignment="1">
      <alignment horizontal="center" vertical="center"/>
    </xf>
    <xf numFmtId="190" fontId="4" fillId="0" borderId="0" xfId="7" applyNumberFormat="1" applyFont="1" applyFill="1" applyBorder="1" applyAlignment="1">
      <alignment horizontal="center" vertical="center"/>
    </xf>
    <xf numFmtId="177" fontId="8" fillId="0" borderId="7" xfId="35" applyNumberFormat="1" applyFont="1" applyFill="1" applyBorder="1" applyAlignment="1">
      <alignment horizontal="right" vertical="center"/>
    </xf>
    <xf numFmtId="177" fontId="4" fillId="0" borderId="0" xfId="35" applyNumberFormat="1" applyFont="1" applyFill="1" applyBorder="1" applyAlignment="1">
      <alignment horizontal="right" vertical="center"/>
    </xf>
    <xf numFmtId="177" fontId="4" fillId="0" borderId="6" xfId="35" applyNumberFormat="1" applyFont="1" applyFill="1" applyBorder="1" applyAlignment="1">
      <alignment horizontal="right" vertical="center"/>
    </xf>
    <xf numFmtId="179" fontId="50" fillId="38" borderId="0" xfId="7" applyNumberFormat="1" applyFont="1" applyFill="1" applyBorder="1" applyAlignment="1">
      <alignment horizontal="center" vertical="center"/>
    </xf>
    <xf numFmtId="182" fontId="4" fillId="0" borderId="6" xfId="39" applyNumberFormat="1" applyFont="1" applyFill="1" applyBorder="1" applyAlignment="1">
      <alignment horizontal="right" vertical="center"/>
    </xf>
    <xf numFmtId="182" fontId="4" fillId="0" borderId="7" xfId="7" applyNumberFormat="1" applyFont="1" applyFill="1" applyBorder="1" applyAlignment="1">
      <alignment horizontal="right" vertical="center"/>
    </xf>
    <xf numFmtId="182" fontId="4" fillId="0" borderId="6" xfId="7" applyNumberFormat="1" applyFont="1" applyFill="1" applyBorder="1" applyAlignment="1">
      <alignment horizontal="right" vertical="center"/>
    </xf>
    <xf numFmtId="0" fontId="5" fillId="38" borderId="0" xfId="7" applyNumberFormat="1" applyFont="1" applyFill="1" applyBorder="1" applyAlignment="1">
      <alignment horizontal="center" vertical="center"/>
    </xf>
    <xf numFmtId="179" fontId="4" fillId="38" borderId="0" xfId="7" applyNumberFormat="1" applyFont="1" applyFill="1" applyBorder="1" applyAlignment="1">
      <alignment horizontal="right" vertical="center"/>
    </xf>
    <xf numFmtId="178" fontId="4" fillId="43" borderId="0" xfId="7" applyNumberFormat="1" applyFont="1" applyFill="1" applyBorder="1" applyAlignment="1">
      <alignment horizontal="center" vertical="center"/>
    </xf>
    <xf numFmtId="41" fontId="4" fillId="0" borderId="3" xfId="39" applyFont="1" applyFill="1" applyBorder="1" applyAlignment="1">
      <alignment horizontal="center" vertical="center"/>
    </xf>
    <xf numFmtId="177" fontId="8" fillId="38" borderId="0" xfId="0" applyNumberFormat="1" applyFont="1" applyFill="1" applyBorder="1" applyAlignment="1">
      <alignment horizontal="right" vertical="center"/>
    </xf>
    <xf numFmtId="177" fontId="26" fillId="38" borderId="0" xfId="0" applyNumberFormat="1" applyFont="1" applyFill="1" applyBorder="1" applyAlignment="1">
      <alignment horizontal="right" vertical="center"/>
    </xf>
    <xf numFmtId="182" fontId="4" fillId="43" borderId="0" xfId="7" applyNumberFormat="1" applyFont="1" applyFill="1" applyBorder="1" applyAlignment="1">
      <alignment horizontal="right" vertical="center" wrapText="1"/>
    </xf>
    <xf numFmtId="179" fontId="28" fillId="38" borderId="0" xfId="39" applyNumberFormat="1" applyFont="1" applyFill="1" applyBorder="1" applyAlignment="1">
      <alignment horizontal="right" vertical="center"/>
    </xf>
    <xf numFmtId="41" fontId="8" fillId="39" borderId="0" xfId="0" applyNumberFormat="1" applyFont="1" applyFill="1" applyBorder="1" applyAlignment="1">
      <alignment horizontal="right" vertical="center"/>
    </xf>
    <xf numFmtId="176" fontId="5" fillId="41" borderId="0" xfId="72" quotePrefix="1" applyNumberFormat="1" applyFont="1" applyFill="1" applyBorder="1" applyAlignment="1">
      <alignment horizontal="center" vertical="center"/>
    </xf>
    <xf numFmtId="192" fontId="8" fillId="39" borderId="0" xfId="0" applyNumberFormat="1" applyFont="1" applyFill="1" applyBorder="1" applyAlignment="1">
      <alignment horizontal="right" vertical="center"/>
    </xf>
    <xf numFmtId="192" fontId="26" fillId="39" borderId="8" xfId="0" applyNumberFormat="1" applyFont="1" applyFill="1" applyBorder="1" applyAlignment="1">
      <alignment horizontal="right" vertical="center"/>
    </xf>
    <xf numFmtId="182" fontId="51" fillId="38" borderId="0" xfId="7" applyNumberFormat="1" applyFont="1" applyFill="1" applyBorder="1" applyAlignment="1">
      <alignment horizontal="left" vertical="center" wrapText="1"/>
    </xf>
    <xf numFmtId="182" fontId="51" fillId="38" borderId="0" xfId="7" applyNumberFormat="1" applyFont="1" applyFill="1" applyBorder="1" applyAlignment="1">
      <alignment horizontal="right" vertical="center" wrapText="1"/>
    </xf>
    <xf numFmtId="41" fontId="51" fillId="38" borderId="0" xfId="7" applyNumberFormat="1" applyFont="1" applyFill="1" applyBorder="1" applyAlignment="1">
      <alignment horizontal="right" vertical="center" wrapText="1"/>
    </xf>
  </cellXfs>
  <cellStyles count="118">
    <cellStyle name="??&amp;O?&amp;H?_x0008_??_x0007__x0001__x0001_" xfId="1"/>
    <cellStyle name="_02. 2월26일부터 3월17일까지 발생 요구사항_ICIS고객_20080404" xfId="2"/>
    <cellStyle name="_Book1" xfId="3"/>
    <cellStyle name="_Book1_1" xfId="4"/>
    <cellStyle name="_Book1_2" xfId="5"/>
    <cellStyle name="123" xfId="6"/>
    <cellStyle name="20% - 강조색1 2" xfId="95"/>
    <cellStyle name="20% - 강조색2 2" xfId="99"/>
    <cellStyle name="20% - 강조색3 2" xfId="103"/>
    <cellStyle name="20% - 강조색4 2" xfId="107"/>
    <cellStyle name="20% - 강조색5 2" xfId="111"/>
    <cellStyle name="20% - 강조색6 2" xfId="115"/>
    <cellStyle name="40% - 강조색1 2" xfId="96"/>
    <cellStyle name="40% - 강조색2 2" xfId="100"/>
    <cellStyle name="40% - 강조색3 2" xfId="104"/>
    <cellStyle name="40% - 강조색4 2" xfId="108"/>
    <cellStyle name="40% - 강조색5 2" xfId="112"/>
    <cellStyle name="40% - 강조색6 2" xfId="116"/>
    <cellStyle name="60% - 강조색1 2" xfId="97"/>
    <cellStyle name="60% - 강조색2 2" xfId="101"/>
    <cellStyle name="60% - 강조색3 2" xfId="105"/>
    <cellStyle name="60% - 강조색4 2" xfId="109"/>
    <cellStyle name="60% - 강조색5 2" xfId="113"/>
    <cellStyle name="60% - 강조색6 2" xfId="117"/>
    <cellStyle name="9" xfId="7"/>
    <cellStyle name="9 10" xfId="8"/>
    <cellStyle name="AeE­ [0]_INQUIRY ¿μ¾÷AßAø " xfId="9"/>
    <cellStyle name="AeE­_INQUIRY ¿μ¾÷AßAø " xfId="10"/>
    <cellStyle name="AÞ¸¶ [0]_INQUIRY ¿μ¾÷AßAø " xfId="11"/>
    <cellStyle name="AÞ¸¶_INQUIRY ¿μ¾÷AßAø " xfId="12"/>
    <cellStyle name="C￥AØ_¿μ¾÷CoE² " xfId="13"/>
    <cellStyle name="Comma [0]_ SG&amp;A Bridge " xfId="14"/>
    <cellStyle name="Comma_ SG&amp;A Bridge " xfId="15"/>
    <cellStyle name="Currency [0]_ SG&amp;A Bridge " xfId="16"/>
    <cellStyle name="Currency_ SG&amp;A Bridge " xfId="17"/>
    <cellStyle name="Date" xfId="18"/>
    <cellStyle name="Euro" xfId="19"/>
    <cellStyle name="Fixed" xfId="20"/>
    <cellStyle name="Header1" xfId="21"/>
    <cellStyle name="Header2" xfId="22"/>
    <cellStyle name="HEADING1" xfId="23"/>
    <cellStyle name="HEADING2" xfId="24"/>
    <cellStyle name="Normal_ SG&amp;A Bridge " xfId="25"/>
    <cellStyle name="Total" xfId="26"/>
    <cellStyle name="강조색1 2" xfId="94"/>
    <cellStyle name="강조색2 2" xfId="98"/>
    <cellStyle name="강조색3 2" xfId="102"/>
    <cellStyle name="강조색4 2" xfId="106"/>
    <cellStyle name="강조색5 2" xfId="110"/>
    <cellStyle name="강조색6 2" xfId="114"/>
    <cellStyle name="경고문 2" xfId="90"/>
    <cellStyle name="계산 2" xfId="87"/>
    <cellStyle name="고정소숫점" xfId="27"/>
    <cellStyle name="고정출력1" xfId="28"/>
    <cellStyle name="고정출력2" xfId="29"/>
    <cellStyle name="나쁨 2" xfId="83"/>
    <cellStyle name="날짜" xfId="30"/>
    <cellStyle name="달러" xfId="31"/>
    <cellStyle name="똿뗦먛귟_PRODUCT DETAIL Q1" xfId="32"/>
    <cellStyle name="메모 2" xfId="91"/>
    <cellStyle name="믅됞 [0.00]_PRODUCT DETAIL Q1" xfId="33"/>
    <cellStyle name="믅됞_PRODUCT DETAIL Q1" xfId="34"/>
    <cellStyle name="백분율" xfId="35" builtinId="5"/>
    <cellStyle name="백분율 2" xfId="36"/>
    <cellStyle name="백분율 3" xfId="37"/>
    <cellStyle name="보통 2" xfId="84"/>
    <cellStyle name="뷭?_BOOKSHIP" xfId="38"/>
    <cellStyle name="설명 텍스트 2" xfId="92"/>
    <cellStyle name="셀 확인 2" xfId="89"/>
    <cellStyle name="쉼표 [0]" xfId="39" builtinId="6"/>
    <cellStyle name="쉼표 [0] 10" xfId="40"/>
    <cellStyle name="쉼표 [0] 2" xfId="41"/>
    <cellStyle name="쉼표 [0] 2 2" xfId="42"/>
    <cellStyle name="쉼표 [0] 2 3" xfId="43"/>
    <cellStyle name="쉼표 [0] 2 4" xfId="44"/>
    <cellStyle name="쉼표 [0] 2 5" xfId="45"/>
    <cellStyle name="쉼표 [0] 2 6" xfId="46"/>
    <cellStyle name="쉼표 [0] 2 7" xfId="47"/>
    <cellStyle name="쉼표 [0] 2 8" xfId="48"/>
    <cellStyle name="쉼표 [0] 2 9" xfId="49"/>
    <cellStyle name="쉼표 [0] 3" xfId="50"/>
    <cellStyle name="쉼표 [0] 36" xfId="51"/>
    <cellStyle name="쉼표 [0] 4" xfId="52"/>
    <cellStyle name="쉼표 [0] 5" xfId="53"/>
    <cellStyle name="연결된 셀 2" xfId="88"/>
    <cellStyle name="요약 2" xfId="93"/>
    <cellStyle name="입력 2" xfId="85"/>
    <cellStyle name="자리수" xfId="54"/>
    <cellStyle name="자리수0" xfId="55"/>
    <cellStyle name="제목 1 2" xfId="78"/>
    <cellStyle name="제목 2 2" xfId="79"/>
    <cellStyle name="제목 3 2" xfId="80"/>
    <cellStyle name="제목 4 2" xfId="81"/>
    <cellStyle name="제목 5" xfId="77"/>
    <cellStyle name="좋음 2" xfId="82"/>
    <cellStyle name="출력 2" xfId="86"/>
    <cellStyle name="콤마 [0]_ 94경비율" xfId="56"/>
    <cellStyle name="콤마_ 94경비율" xfId="57"/>
    <cellStyle name="퍼센트" xfId="58"/>
    <cellStyle name="표준" xfId="0" builtinId="0"/>
    <cellStyle name="표준 2" xfId="59"/>
    <cellStyle name="표준 2 2" xfId="60"/>
    <cellStyle name="표준 2 3" xfId="61"/>
    <cellStyle name="표준 2 4" xfId="62"/>
    <cellStyle name="표준 2 5" xfId="63"/>
    <cellStyle name="표준 2 6" xfId="64"/>
    <cellStyle name="표준 2 7" xfId="65"/>
    <cellStyle name="표준 2 8" xfId="66"/>
    <cellStyle name="표준 3" xfId="67"/>
    <cellStyle name="표준 4" xfId="68"/>
    <cellStyle name="표준 5" xfId="69"/>
    <cellStyle name="표준 6" xfId="76"/>
    <cellStyle name="표준 6 2" xfId="70"/>
    <cellStyle name="표준 7 2" xfId="71"/>
    <cellStyle name="표준_FACT02" xfId="72"/>
    <cellStyle name="합산" xfId="73"/>
    <cellStyle name="화폐기호" xfId="74"/>
    <cellStyle name="화폐기호0" xfId="7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6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714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134</xdr:col>
      <xdr:colOff>221916</xdr:colOff>
      <xdr:row>0</xdr:row>
      <xdr:rowOff>81643</xdr:rowOff>
    </xdr:from>
    <xdr:to>
      <xdr:col>134</xdr:col>
      <xdr:colOff>884464</xdr:colOff>
      <xdr:row>1</xdr:row>
      <xdr:rowOff>108857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5516345" y="81643"/>
          <a:ext cx="662548" cy="5851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26</xdr:col>
      <xdr:colOff>600075</xdr:colOff>
      <xdr:row>1</xdr:row>
      <xdr:rowOff>123825</xdr:rowOff>
    </xdr:to>
    <xdr:pic>
      <xdr:nvPicPr>
        <xdr:cNvPr id="7411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190501</xdr:colOff>
      <xdr:row>0</xdr:row>
      <xdr:rowOff>27214</xdr:rowOff>
    </xdr:from>
    <xdr:to>
      <xdr:col>32</xdr:col>
      <xdr:colOff>1006929</xdr:colOff>
      <xdr:row>1</xdr:row>
      <xdr:rowOff>27214</xdr:rowOff>
    </xdr:to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0491108" y="27214"/>
          <a:ext cx="816428" cy="585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G66"/>
  <sheetViews>
    <sheetView showGridLines="0" tabSelected="1" view="pageBreakPreview" zoomScale="60" zoomScaleNormal="55" workbookViewId="0">
      <pane xSplit="1" topLeftCell="DR1" activePane="topRight" state="frozen"/>
      <selection activeCell="U12" sqref="U12"/>
      <selection pane="topRight"/>
    </sheetView>
  </sheetViews>
  <sheetFormatPr defaultRowHeight="30.75" customHeight="1"/>
  <cols>
    <col min="1" max="1" width="31.88671875" style="150" customWidth="1"/>
    <col min="2" max="4" width="12" style="45" hidden="1" customWidth="1"/>
    <col min="5" max="24" width="13.33203125" style="45" hidden="1" customWidth="1"/>
    <col min="25" max="25" width="12.77734375" style="45" hidden="1" customWidth="1"/>
    <col min="26" max="28" width="13.33203125" style="45" hidden="1" customWidth="1"/>
    <col min="29" max="29" width="12.88671875" style="45" hidden="1" customWidth="1"/>
    <col min="30" max="31" width="13.33203125" style="45" hidden="1" customWidth="1"/>
    <col min="32" max="35" width="12.88671875" style="45" hidden="1" customWidth="1"/>
    <col min="36" max="36" width="12.33203125" style="45" hidden="1" customWidth="1"/>
    <col min="37" max="37" width="12.88671875" style="45" hidden="1" customWidth="1"/>
    <col min="38" max="38" width="14.21875" style="45" hidden="1" customWidth="1"/>
    <col min="39" max="40" width="12.88671875" style="45" hidden="1" customWidth="1"/>
    <col min="41" max="41" width="12.77734375" style="45" hidden="1" customWidth="1"/>
    <col min="42" max="49" width="13.21875" style="45" hidden="1" customWidth="1"/>
    <col min="50" max="50" width="13.44140625" style="45" hidden="1" customWidth="1"/>
    <col min="51" max="55" width="13.21875" style="45" hidden="1" customWidth="1"/>
    <col min="56" max="84" width="13.109375" style="45" hidden="1" customWidth="1"/>
    <col min="85" max="87" width="10.77734375" style="45" hidden="1" customWidth="1"/>
    <col min="88" max="88" width="11" style="45" hidden="1" customWidth="1"/>
    <col min="89" max="89" width="10.77734375" style="45" hidden="1" customWidth="1"/>
    <col min="90" max="90" width="11.21875" style="45" hidden="1" customWidth="1"/>
    <col min="91" max="92" width="10.77734375" style="45" hidden="1" customWidth="1"/>
    <col min="93" max="93" width="11.21875" style="45" hidden="1" customWidth="1"/>
    <col min="94" max="94" width="11" style="45" hidden="1" customWidth="1"/>
    <col min="95" max="105" width="10.77734375" style="45" hidden="1" customWidth="1"/>
    <col min="106" max="121" width="11.21875" style="45" hidden="1" customWidth="1"/>
    <col min="122" max="135" width="11.21875" style="45" customWidth="1"/>
    <col min="136" max="16384" width="8.88671875" style="45"/>
  </cols>
  <sheetData>
    <row r="1" spans="1:137" ht="44.25" customHeight="1">
      <c r="A1" s="40" t="s">
        <v>125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2"/>
      <c r="Z1" s="42"/>
      <c r="AA1" s="41"/>
      <c r="AB1" s="41"/>
      <c r="AC1" s="41"/>
      <c r="AD1" s="41"/>
      <c r="AE1" s="41"/>
      <c r="AF1" s="41"/>
      <c r="AG1" s="41"/>
      <c r="AH1" s="42"/>
      <c r="AI1" s="41"/>
      <c r="AJ1" s="42"/>
      <c r="AK1" s="42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3"/>
      <c r="BE1" s="43"/>
      <c r="BF1" s="43"/>
      <c r="BG1" s="44"/>
      <c r="BH1" s="44"/>
      <c r="BI1" s="44"/>
      <c r="BJ1" s="44"/>
      <c r="BK1" s="44"/>
      <c r="BL1" s="44"/>
      <c r="BM1" s="44"/>
      <c r="BN1" s="44"/>
      <c r="BO1" s="40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</row>
    <row r="2" spans="1:137" ht="29.25" customHeight="1">
      <c r="A2" s="45"/>
    </row>
    <row r="3" spans="1:137" s="48" customFormat="1" ht="24.75" customHeight="1">
      <c r="A3" s="46" t="s">
        <v>37</v>
      </c>
      <c r="B3" s="47">
        <v>2005</v>
      </c>
      <c r="N3" s="47">
        <v>2006</v>
      </c>
      <c r="Z3" s="47">
        <v>2007</v>
      </c>
      <c r="AL3" s="47">
        <v>2008</v>
      </c>
      <c r="AX3" s="47">
        <v>2009</v>
      </c>
      <c r="BJ3" s="47">
        <v>2010</v>
      </c>
      <c r="BK3" s="45"/>
      <c r="BL3" s="45"/>
      <c r="BM3" s="45"/>
      <c r="BO3" s="45"/>
      <c r="BP3" s="45"/>
      <c r="BQ3" s="45"/>
      <c r="BR3" s="45"/>
      <c r="BS3" s="45"/>
      <c r="BT3" s="45"/>
      <c r="BU3" s="45"/>
      <c r="BV3" s="47">
        <v>2011</v>
      </c>
      <c r="BW3" s="45"/>
      <c r="BX3" s="45"/>
      <c r="BY3" s="45"/>
      <c r="BZ3" s="45"/>
      <c r="CA3" s="45"/>
      <c r="CB3" s="45"/>
      <c r="CC3" s="45"/>
      <c r="CD3" s="45"/>
      <c r="CE3" s="45"/>
      <c r="CG3" s="47">
        <v>2011</v>
      </c>
      <c r="CH3" s="47">
        <v>2012</v>
      </c>
      <c r="CI3" s="181"/>
      <c r="CJ3" s="181"/>
      <c r="CK3" s="181"/>
      <c r="CL3" s="181"/>
      <c r="CM3" s="181"/>
      <c r="CN3" s="181"/>
      <c r="CO3" s="181"/>
      <c r="CP3" s="181"/>
      <c r="CQ3" s="181"/>
      <c r="CR3" s="181"/>
      <c r="CS3" s="181"/>
      <c r="CT3" s="47">
        <v>2013</v>
      </c>
      <c r="CU3" s="193"/>
      <c r="CV3" s="193"/>
      <c r="CW3" s="193"/>
      <c r="CX3" s="193"/>
      <c r="CY3" s="193"/>
      <c r="CZ3" s="193"/>
      <c r="DF3" s="47">
        <v>2014</v>
      </c>
      <c r="DR3" s="47">
        <v>2015</v>
      </c>
      <c r="ED3" s="47">
        <v>2016</v>
      </c>
      <c r="EE3"/>
    </row>
    <row r="4" spans="1:137" s="50" customFormat="1" ht="29.25" customHeight="1">
      <c r="A4" s="49" t="s">
        <v>75</v>
      </c>
      <c r="B4" s="30">
        <v>38355</v>
      </c>
      <c r="C4" s="30">
        <v>38385</v>
      </c>
      <c r="D4" s="30">
        <v>38413</v>
      </c>
      <c r="E4" s="30">
        <v>38444</v>
      </c>
      <c r="F4" s="30">
        <v>38474</v>
      </c>
      <c r="G4" s="30">
        <v>38505</v>
      </c>
      <c r="H4" s="30">
        <v>38535</v>
      </c>
      <c r="I4" s="30">
        <v>38566</v>
      </c>
      <c r="J4" s="30">
        <v>38597</v>
      </c>
      <c r="K4" s="30">
        <v>38627</v>
      </c>
      <c r="L4" s="30">
        <v>38658</v>
      </c>
      <c r="M4" s="30">
        <v>38688</v>
      </c>
      <c r="N4" s="30">
        <v>38719</v>
      </c>
      <c r="O4" s="30">
        <v>38750</v>
      </c>
      <c r="P4" s="30">
        <v>38778</v>
      </c>
      <c r="Q4" s="30">
        <v>38809</v>
      </c>
      <c r="R4" s="30">
        <v>38839</v>
      </c>
      <c r="S4" s="30">
        <v>38870</v>
      </c>
      <c r="T4" s="30">
        <v>38900</v>
      </c>
      <c r="U4" s="30">
        <v>38931</v>
      </c>
      <c r="V4" s="30">
        <v>38962</v>
      </c>
      <c r="W4" s="30">
        <v>38992</v>
      </c>
      <c r="X4" s="30">
        <v>39023</v>
      </c>
      <c r="Y4" s="30">
        <v>39053</v>
      </c>
      <c r="Z4" s="30">
        <v>39084</v>
      </c>
      <c r="AA4" s="30">
        <v>39115</v>
      </c>
      <c r="AB4" s="30">
        <v>39143</v>
      </c>
      <c r="AC4" s="30">
        <v>39174</v>
      </c>
      <c r="AD4" s="30">
        <v>39204</v>
      </c>
      <c r="AE4" s="30">
        <v>39235</v>
      </c>
      <c r="AF4" s="30">
        <v>39264</v>
      </c>
      <c r="AG4" s="30">
        <v>39324</v>
      </c>
      <c r="AH4" s="30">
        <v>39332</v>
      </c>
      <c r="AI4" s="30">
        <v>39362</v>
      </c>
      <c r="AJ4" s="30">
        <v>39393</v>
      </c>
      <c r="AK4" s="30">
        <v>39417</v>
      </c>
      <c r="AL4" s="30">
        <v>39448</v>
      </c>
      <c r="AM4" s="30">
        <v>39480</v>
      </c>
      <c r="AN4" s="30">
        <v>39509</v>
      </c>
      <c r="AO4" s="30">
        <v>39539</v>
      </c>
      <c r="AP4" s="30">
        <v>39569</v>
      </c>
      <c r="AQ4" s="30">
        <v>39600</v>
      </c>
      <c r="AR4" s="30">
        <v>39630</v>
      </c>
      <c r="AS4" s="30">
        <v>39661</v>
      </c>
      <c r="AT4" s="30">
        <v>39692</v>
      </c>
      <c r="AU4" s="30">
        <v>39722</v>
      </c>
      <c r="AV4" s="30">
        <v>39753</v>
      </c>
      <c r="AW4" s="30">
        <v>39783</v>
      </c>
      <c r="AX4" s="30">
        <v>39814</v>
      </c>
      <c r="AY4" s="30">
        <v>39845</v>
      </c>
      <c r="AZ4" s="30">
        <v>39873</v>
      </c>
      <c r="BA4" s="30">
        <v>39904</v>
      </c>
      <c r="BB4" s="30">
        <v>39934</v>
      </c>
      <c r="BC4" s="30">
        <v>39965</v>
      </c>
      <c r="BD4" s="30">
        <v>39995</v>
      </c>
      <c r="BE4" s="30">
        <v>40027</v>
      </c>
      <c r="BF4" s="30">
        <v>40057</v>
      </c>
      <c r="BG4" s="30">
        <v>40087</v>
      </c>
      <c r="BH4" s="30">
        <v>40118</v>
      </c>
      <c r="BI4" s="30">
        <v>40148</v>
      </c>
      <c r="BJ4" s="30">
        <v>40179</v>
      </c>
      <c r="BK4" s="30">
        <v>40210</v>
      </c>
      <c r="BL4" s="30">
        <v>40238</v>
      </c>
      <c r="BM4" s="30">
        <v>40269</v>
      </c>
      <c r="BN4" s="30">
        <v>40299</v>
      </c>
      <c r="BO4" s="30">
        <v>40330</v>
      </c>
      <c r="BP4" s="30">
        <v>40360</v>
      </c>
      <c r="BQ4" s="30">
        <v>40391</v>
      </c>
      <c r="BR4" s="30">
        <v>40422</v>
      </c>
      <c r="BS4" s="30">
        <v>40452</v>
      </c>
      <c r="BT4" s="30">
        <v>40483</v>
      </c>
      <c r="BU4" s="30">
        <v>40513</v>
      </c>
      <c r="BV4" s="30">
        <v>40544</v>
      </c>
      <c r="BW4" s="30">
        <v>40575</v>
      </c>
      <c r="BX4" s="30">
        <v>40603</v>
      </c>
      <c r="BY4" s="30">
        <v>40634</v>
      </c>
      <c r="BZ4" s="30">
        <v>40664</v>
      </c>
      <c r="CA4" s="30">
        <v>40695</v>
      </c>
      <c r="CB4" s="30">
        <v>40725</v>
      </c>
      <c r="CC4" s="30">
        <v>40756</v>
      </c>
      <c r="CD4" s="30">
        <v>40787</v>
      </c>
      <c r="CE4" s="30">
        <v>40817</v>
      </c>
      <c r="CF4" s="30">
        <v>40849</v>
      </c>
      <c r="CG4" s="30">
        <v>40880</v>
      </c>
      <c r="CH4" s="3">
        <v>40909</v>
      </c>
      <c r="CI4" s="3">
        <v>40940</v>
      </c>
      <c r="CJ4" s="3">
        <v>40969</v>
      </c>
      <c r="CK4" s="3">
        <v>41000</v>
      </c>
      <c r="CL4" s="3">
        <v>41030</v>
      </c>
      <c r="CM4" s="3">
        <v>41061</v>
      </c>
      <c r="CN4" s="3">
        <v>41091</v>
      </c>
      <c r="CO4" s="3">
        <v>41122</v>
      </c>
      <c r="CP4" s="3">
        <v>41153</v>
      </c>
      <c r="CQ4" s="3">
        <v>41183</v>
      </c>
      <c r="CR4" s="3">
        <v>41214</v>
      </c>
      <c r="CS4" s="3">
        <v>41244</v>
      </c>
      <c r="CT4" s="3">
        <v>41275</v>
      </c>
      <c r="CU4" s="3">
        <v>41306</v>
      </c>
      <c r="CV4" s="3">
        <v>41334</v>
      </c>
      <c r="CW4" s="3">
        <v>41365</v>
      </c>
      <c r="CX4" s="3">
        <v>41395</v>
      </c>
      <c r="CY4" s="3">
        <v>41426</v>
      </c>
      <c r="CZ4" s="3">
        <v>41456</v>
      </c>
      <c r="DA4" s="3">
        <v>41487</v>
      </c>
      <c r="DB4" s="3">
        <v>41518</v>
      </c>
      <c r="DC4" s="3">
        <v>41548</v>
      </c>
      <c r="DD4" s="3">
        <v>41580</v>
      </c>
      <c r="DE4" s="3">
        <v>41609</v>
      </c>
      <c r="DF4" s="3">
        <v>41640</v>
      </c>
      <c r="DG4" s="3">
        <v>41671</v>
      </c>
      <c r="DH4" s="3">
        <v>41699</v>
      </c>
      <c r="DI4" s="3">
        <v>41730</v>
      </c>
      <c r="DJ4" s="3">
        <v>41760</v>
      </c>
      <c r="DK4" s="3">
        <v>41791</v>
      </c>
      <c r="DL4" s="3">
        <v>41821</v>
      </c>
      <c r="DM4" s="3">
        <v>41853</v>
      </c>
      <c r="DN4" s="3">
        <v>41885</v>
      </c>
      <c r="DO4" s="3">
        <v>41913</v>
      </c>
      <c r="DP4" s="3">
        <v>41945</v>
      </c>
      <c r="DQ4" s="3">
        <v>41976</v>
      </c>
      <c r="DR4" s="3">
        <v>42005</v>
      </c>
      <c r="DS4" s="3">
        <v>42037</v>
      </c>
      <c r="DT4" s="3">
        <v>42066</v>
      </c>
      <c r="DU4" s="3">
        <v>42095</v>
      </c>
      <c r="DV4" s="3">
        <v>42126</v>
      </c>
      <c r="DW4" s="3">
        <v>42158</v>
      </c>
      <c r="DX4" s="3">
        <v>42189</v>
      </c>
      <c r="DY4" s="3">
        <v>42221</v>
      </c>
      <c r="DZ4" s="3">
        <v>42253</v>
      </c>
      <c r="EA4" s="3">
        <v>42283</v>
      </c>
      <c r="EB4" s="3">
        <v>42315</v>
      </c>
      <c r="EC4" s="3">
        <v>42339</v>
      </c>
      <c r="ED4" s="31">
        <v>42370</v>
      </c>
      <c r="EE4" s="31">
        <v>42401</v>
      </c>
    </row>
    <row r="5" spans="1:137" s="50" customFormat="1" ht="29.25" customHeight="1">
      <c r="A5" s="51" t="s">
        <v>38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3">
        <v>21288733</v>
      </c>
      <c r="Z5" s="53">
        <v>21283255</v>
      </c>
      <c r="AA5" s="53">
        <v>21262959</v>
      </c>
      <c r="AB5" s="53">
        <v>21263193</v>
      </c>
      <c r="AC5" s="53">
        <v>21258615</v>
      </c>
      <c r="AD5" s="53">
        <v>21261871</v>
      </c>
      <c r="AE5" s="53">
        <v>21237961</v>
      </c>
      <c r="AF5" s="53">
        <v>21208449</v>
      </c>
      <c r="AG5" s="53">
        <v>21190627</v>
      </c>
      <c r="AH5" s="53">
        <v>21184013</v>
      </c>
      <c r="AI5" s="53">
        <v>21139207</v>
      </c>
      <c r="AJ5" s="53">
        <v>21103291</v>
      </c>
      <c r="AK5" s="53">
        <v>20918566</v>
      </c>
      <c r="AL5" s="53">
        <v>20925461</v>
      </c>
      <c r="AM5" s="53">
        <v>20889729</v>
      </c>
      <c r="AN5" s="53">
        <v>20881253</v>
      </c>
      <c r="AO5" s="53">
        <v>20850588</v>
      </c>
      <c r="AP5" s="53">
        <v>20845500</v>
      </c>
      <c r="AQ5" s="53">
        <v>20944142</v>
      </c>
      <c r="AR5" s="53">
        <v>20909938</v>
      </c>
      <c r="AS5" s="53">
        <v>20903843</v>
      </c>
      <c r="AT5" s="53">
        <v>20881767</v>
      </c>
      <c r="AU5" s="53">
        <v>20875611</v>
      </c>
      <c r="AV5" s="53">
        <v>20807879</v>
      </c>
      <c r="AW5" s="53">
        <v>20194006</v>
      </c>
      <c r="AX5" s="53">
        <v>20070939</v>
      </c>
      <c r="AY5" s="53">
        <v>20008614</v>
      </c>
      <c r="AZ5" s="53">
        <v>19972226</v>
      </c>
      <c r="BA5" s="53">
        <v>19896700</v>
      </c>
      <c r="BB5" s="53">
        <v>19858721</v>
      </c>
      <c r="BC5" s="53">
        <v>19852150</v>
      </c>
      <c r="BD5" s="53">
        <v>19834176</v>
      </c>
      <c r="BE5" s="53">
        <v>19790746</v>
      </c>
      <c r="BF5" s="53">
        <v>19818601</v>
      </c>
      <c r="BG5" s="53">
        <v>19792693</v>
      </c>
      <c r="BH5" s="53">
        <v>19870990</v>
      </c>
      <c r="BI5" s="53">
        <v>19753406</v>
      </c>
      <c r="BJ5" s="53">
        <v>19661592</v>
      </c>
      <c r="BK5" s="53">
        <v>19619780</v>
      </c>
      <c r="BL5" s="53">
        <v>19586251</v>
      </c>
      <c r="BM5" s="53">
        <v>19558887</v>
      </c>
      <c r="BN5" s="53">
        <v>19534916</v>
      </c>
      <c r="BO5" s="53">
        <v>19476519</v>
      </c>
      <c r="BP5" s="53">
        <v>19431019</v>
      </c>
      <c r="BQ5" s="53">
        <v>19417891</v>
      </c>
      <c r="BR5" s="53">
        <v>19431876</v>
      </c>
      <c r="BS5" s="53">
        <v>19429759</v>
      </c>
      <c r="BT5" s="53">
        <v>19412960</v>
      </c>
      <c r="BU5" s="53">
        <v>19358646</v>
      </c>
      <c r="BV5" s="53">
        <v>19357973</v>
      </c>
      <c r="BW5" s="53">
        <v>19372698</v>
      </c>
      <c r="BX5" s="53">
        <v>19385645</v>
      </c>
      <c r="BY5" s="53">
        <v>19356460</v>
      </c>
      <c r="BZ5" s="53">
        <v>19300289</v>
      </c>
      <c r="CA5" s="53">
        <v>19272170</v>
      </c>
      <c r="CB5" s="53">
        <v>19244552</v>
      </c>
      <c r="CC5" s="53">
        <v>19231345</v>
      </c>
      <c r="CD5" s="53">
        <v>19227330</v>
      </c>
      <c r="CE5" s="53">
        <v>19215426</v>
      </c>
      <c r="CF5" s="53">
        <v>19202551</v>
      </c>
      <c r="CG5" s="53">
        <v>19159384</v>
      </c>
      <c r="CH5" s="53">
        <v>19118722</v>
      </c>
      <c r="CI5" s="53">
        <v>19094584</v>
      </c>
      <c r="CJ5" s="53">
        <v>19065104</v>
      </c>
      <c r="CK5" s="53">
        <v>19023879</v>
      </c>
      <c r="CL5" s="53">
        <v>18995345</v>
      </c>
      <c r="CM5" s="53">
        <v>18956703</v>
      </c>
      <c r="CN5" s="53">
        <v>18910630</v>
      </c>
      <c r="CO5" s="53">
        <v>18866290</v>
      </c>
      <c r="CP5" s="53">
        <v>18836931</v>
      </c>
      <c r="CQ5" s="53">
        <v>18772441</v>
      </c>
      <c r="CR5" s="53">
        <v>18723650</v>
      </c>
      <c r="CS5" s="53">
        <v>18665934</v>
      </c>
      <c r="CT5" s="53">
        <v>18610872</v>
      </c>
      <c r="CU5" s="53">
        <v>18553263</v>
      </c>
      <c r="CV5" s="53">
        <v>18495789</v>
      </c>
      <c r="CW5" s="53">
        <v>18427383</v>
      </c>
      <c r="CX5" s="53">
        <v>18363975</v>
      </c>
      <c r="CY5" s="53">
        <v>18322736</v>
      </c>
      <c r="CZ5" s="53">
        <v>18256452</v>
      </c>
      <c r="DA5" s="53">
        <v>18209575</v>
      </c>
      <c r="DB5" s="53">
        <v>18173294</v>
      </c>
      <c r="DC5" s="53">
        <v>18120863</v>
      </c>
      <c r="DD5" s="53">
        <v>18087687</v>
      </c>
      <c r="DE5" s="53">
        <v>18017879</v>
      </c>
      <c r="DF5" s="53">
        <v>17937996</v>
      </c>
      <c r="DG5" s="53">
        <v>17869891</v>
      </c>
      <c r="DH5" s="53">
        <v>17789007</v>
      </c>
      <c r="DI5" s="53">
        <v>17720707</v>
      </c>
      <c r="DJ5" s="53">
        <v>17661825</v>
      </c>
      <c r="DK5" s="53">
        <v>17614933</v>
      </c>
      <c r="DL5" s="53">
        <v>17583478</v>
      </c>
      <c r="DM5" s="53">
        <v>17529251</v>
      </c>
      <c r="DN5" s="53">
        <v>17469192</v>
      </c>
      <c r="DO5" s="53">
        <v>17418252</v>
      </c>
      <c r="DP5" s="53">
        <v>17342826</v>
      </c>
      <c r="DQ5" s="53">
        <v>17259127</v>
      </c>
      <c r="DR5" s="53">
        <v>17195630</v>
      </c>
      <c r="DS5" s="53">
        <v>17156764</v>
      </c>
      <c r="DT5" s="53">
        <v>17102875</v>
      </c>
      <c r="DU5" s="53">
        <v>17052485</v>
      </c>
      <c r="DV5" s="53">
        <v>17005065</v>
      </c>
      <c r="DW5" s="53">
        <v>16951251</v>
      </c>
      <c r="DX5" s="53">
        <v>16883308</v>
      </c>
      <c r="DY5" s="53">
        <v>16835513</v>
      </c>
      <c r="DZ5" s="53">
        <v>16805702</v>
      </c>
      <c r="EA5" s="53">
        <v>16777264</v>
      </c>
      <c r="EB5" s="53">
        <v>16739746</v>
      </c>
      <c r="EC5" s="53">
        <v>16681569</v>
      </c>
      <c r="ED5" s="53">
        <v>16620010</v>
      </c>
      <c r="EE5" s="53">
        <v>16583571</v>
      </c>
    </row>
    <row r="6" spans="1:137" s="50" customFormat="1" ht="29.25" customHeight="1">
      <c r="A6" s="54" t="s">
        <v>39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7">
        <v>-123067</v>
      </c>
      <c r="AY6" s="57">
        <v>-62325</v>
      </c>
      <c r="AZ6" s="57">
        <v>-36388</v>
      </c>
      <c r="BA6" s="57">
        <v>-75526</v>
      </c>
      <c r="BB6" s="57">
        <v>-37979</v>
      </c>
      <c r="BC6" s="57">
        <v>-6571</v>
      </c>
      <c r="BD6" s="57">
        <v>-17974</v>
      </c>
      <c r="BE6" s="57">
        <v>-43430</v>
      </c>
      <c r="BF6" s="57">
        <v>27855</v>
      </c>
      <c r="BG6" s="57">
        <v>-25908</v>
      </c>
      <c r="BH6" s="57">
        <v>78297</v>
      </c>
      <c r="BI6" s="57">
        <v>-117584</v>
      </c>
      <c r="BJ6" s="57">
        <v>-91814</v>
      </c>
      <c r="BK6" s="57">
        <v>-41812</v>
      </c>
      <c r="BL6" s="57">
        <v>-33529</v>
      </c>
      <c r="BM6" s="57">
        <v>-27364</v>
      </c>
      <c r="BN6" s="57">
        <v>-23971</v>
      </c>
      <c r="BO6" s="57">
        <v>-58397</v>
      </c>
      <c r="BP6" s="57">
        <v>-45500</v>
      </c>
      <c r="BQ6" s="57">
        <v>-13128</v>
      </c>
      <c r="BR6" s="57">
        <v>13985</v>
      </c>
      <c r="BS6" s="57">
        <v>-2117</v>
      </c>
      <c r="BT6" s="57">
        <v>-16799</v>
      </c>
      <c r="BU6" s="57">
        <v>-54314</v>
      </c>
      <c r="BV6" s="57">
        <v>-673</v>
      </c>
      <c r="BW6" s="57">
        <v>14725</v>
      </c>
      <c r="BX6" s="57">
        <v>12947</v>
      </c>
      <c r="BY6" s="57">
        <v>-29185</v>
      </c>
      <c r="BZ6" s="57">
        <v>-56171</v>
      </c>
      <c r="CA6" s="57">
        <v>-28119</v>
      </c>
      <c r="CB6" s="57">
        <v>-27618</v>
      </c>
      <c r="CC6" s="57">
        <v>-13207</v>
      </c>
      <c r="CD6" s="57">
        <v>-4015</v>
      </c>
      <c r="CE6" s="57">
        <v>-11904</v>
      </c>
      <c r="CF6" s="57">
        <v>-12875</v>
      </c>
      <c r="CG6" s="57">
        <v>-43167</v>
      </c>
      <c r="CH6" s="57">
        <v>-50615</v>
      </c>
      <c r="CI6" s="57">
        <v>-24138</v>
      </c>
      <c r="CJ6" s="57">
        <v>-29480</v>
      </c>
      <c r="CK6" s="57">
        <v>-41225</v>
      </c>
      <c r="CL6" s="57">
        <v>-28534</v>
      </c>
      <c r="CM6" s="57">
        <v>-38642</v>
      </c>
      <c r="CN6" s="57">
        <v>-46073</v>
      </c>
      <c r="CO6" s="57">
        <v>-44340</v>
      </c>
      <c r="CP6" s="57">
        <v>-29359</v>
      </c>
      <c r="CQ6" s="57">
        <v>-64490</v>
      </c>
      <c r="CR6" s="57">
        <v>-48791</v>
      </c>
      <c r="CS6" s="57">
        <v>-57716</v>
      </c>
      <c r="CT6" s="57">
        <v>-55062</v>
      </c>
      <c r="CU6" s="57">
        <v>-57609</v>
      </c>
      <c r="CV6" s="57">
        <v>-57474</v>
      </c>
      <c r="CW6" s="57">
        <v>-68406</v>
      </c>
      <c r="CX6" s="57">
        <v>-63408</v>
      </c>
      <c r="CY6" s="57">
        <v>-41209</v>
      </c>
      <c r="CZ6" s="57">
        <v>-66284</v>
      </c>
      <c r="DA6" s="57">
        <v>-46877</v>
      </c>
      <c r="DB6" s="57">
        <v>-36281</v>
      </c>
      <c r="DC6" s="57">
        <v>-52431</v>
      </c>
      <c r="DD6" s="57">
        <v>-33176</v>
      </c>
      <c r="DE6" s="57">
        <v>-70093</v>
      </c>
      <c r="DF6" s="57">
        <v>-79883</v>
      </c>
      <c r="DG6" s="57">
        <v>-68105</v>
      </c>
      <c r="DH6" s="57">
        <v>-80884</v>
      </c>
      <c r="DI6" s="57">
        <v>-68300</v>
      </c>
      <c r="DJ6" s="57">
        <v>-58882</v>
      </c>
      <c r="DK6" s="57">
        <v>-46892</v>
      </c>
      <c r="DL6" s="57">
        <v>-31455</v>
      </c>
      <c r="DM6" s="57">
        <v>-54227</v>
      </c>
      <c r="DN6" s="57">
        <v>-60059</v>
      </c>
      <c r="DO6" s="57">
        <v>-50940</v>
      </c>
      <c r="DP6" s="57">
        <v>-75426</v>
      </c>
      <c r="DQ6" s="57">
        <v>-83699</v>
      </c>
      <c r="DR6" s="57">
        <v>-63497</v>
      </c>
      <c r="DS6" s="57">
        <v>-38866</v>
      </c>
      <c r="DT6" s="57">
        <v>-53889</v>
      </c>
      <c r="DU6" s="57">
        <v>-50390</v>
      </c>
      <c r="DV6" s="57">
        <v>-47420</v>
      </c>
      <c r="DW6" s="57">
        <v>-53814</v>
      </c>
      <c r="DX6" s="57">
        <v>-67943</v>
      </c>
      <c r="DY6" s="57">
        <v>-47795</v>
      </c>
      <c r="DZ6" s="57">
        <v>-29811</v>
      </c>
      <c r="EA6" s="57">
        <v>-28438</v>
      </c>
      <c r="EB6" s="57">
        <v>-37518</v>
      </c>
      <c r="EC6" s="57">
        <v>-58177</v>
      </c>
      <c r="ED6" s="57">
        <v>-61559</v>
      </c>
      <c r="EE6" s="57">
        <v>-36439</v>
      </c>
    </row>
    <row r="7" spans="1:137" s="50" customFormat="1" ht="29.25" customHeight="1">
      <c r="A7" s="58" t="s">
        <v>40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3">
        <v>21288733</v>
      </c>
      <c r="Z7" s="53">
        <v>21283255</v>
      </c>
      <c r="AA7" s="53">
        <v>21262959</v>
      </c>
      <c r="AB7" s="53">
        <v>21263193</v>
      </c>
      <c r="AC7" s="53">
        <v>21258615</v>
      </c>
      <c r="AD7" s="53">
        <v>21261871</v>
      </c>
      <c r="AE7" s="53">
        <v>21237961</v>
      </c>
      <c r="AF7" s="53">
        <v>21208449</v>
      </c>
      <c r="AG7" s="53">
        <v>21190627</v>
      </c>
      <c r="AH7" s="53">
        <v>21184013</v>
      </c>
      <c r="AI7" s="53">
        <v>21139207</v>
      </c>
      <c r="AJ7" s="53">
        <v>21103291</v>
      </c>
      <c r="AK7" s="53">
        <v>20918566</v>
      </c>
      <c r="AL7" s="53">
        <v>20881712</v>
      </c>
      <c r="AM7" s="53">
        <v>20841958</v>
      </c>
      <c r="AN7" s="53">
        <v>20818173</v>
      </c>
      <c r="AO7" s="53">
        <v>20779052</v>
      </c>
      <c r="AP7" s="53">
        <v>20762133</v>
      </c>
      <c r="AQ7" s="53">
        <v>20741311</v>
      </c>
      <c r="AR7" s="53">
        <v>20694985</v>
      </c>
      <c r="AS7" s="53">
        <v>20672754</v>
      </c>
      <c r="AT7" s="53">
        <v>20620605</v>
      </c>
      <c r="AU7" s="53">
        <v>20572979</v>
      </c>
      <c r="AV7" s="53">
        <v>20491267</v>
      </c>
      <c r="AW7" s="53">
        <v>19866278</v>
      </c>
      <c r="AX7" s="53">
        <v>19749052</v>
      </c>
      <c r="AY7" s="53">
        <v>19624941</v>
      </c>
      <c r="AZ7" s="53">
        <v>19467651</v>
      </c>
      <c r="BA7" s="53">
        <v>19329560</v>
      </c>
      <c r="BB7" s="53">
        <v>19209748</v>
      </c>
      <c r="BC7" s="53">
        <v>19057189</v>
      </c>
      <c r="BD7" s="53">
        <v>18882180</v>
      </c>
      <c r="BE7" s="53">
        <v>18742711</v>
      </c>
      <c r="BF7" s="53">
        <v>18549554</v>
      </c>
      <c r="BG7" s="53">
        <v>18390049</v>
      </c>
      <c r="BH7" s="53">
        <v>18226515</v>
      </c>
      <c r="BI7" s="53">
        <v>18052168</v>
      </c>
      <c r="BJ7" s="53">
        <v>17911368</v>
      </c>
      <c r="BK7" s="53">
        <v>17768453</v>
      </c>
      <c r="BL7" s="53">
        <v>17614386</v>
      </c>
      <c r="BM7" s="53">
        <v>17488240</v>
      </c>
      <c r="BN7" s="53">
        <v>17380944</v>
      </c>
      <c r="BO7" s="53">
        <v>17254741</v>
      </c>
      <c r="BP7" s="53">
        <v>17137500</v>
      </c>
      <c r="BQ7" s="53">
        <v>17040736</v>
      </c>
      <c r="BR7" s="53">
        <v>16941733</v>
      </c>
      <c r="BS7" s="53">
        <v>16848503</v>
      </c>
      <c r="BT7" s="53">
        <v>16740262</v>
      </c>
      <c r="BU7" s="53">
        <v>16634607</v>
      </c>
      <c r="BV7" s="53">
        <v>16561335</v>
      </c>
      <c r="BW7" s="53">
        <v>16510511</v>
      </c>
      <c r="BX7" s="53">
        <v>16453453</v>
      </c>
      <c r="BY7" s="53">
        <v>16376802</v>
      </c>
      <c r="BZ7" s="53">
        <v>16300792</v>
      </c>
      <c r="CA7" s="53">
        <v>16234283</v>
      </c>
      <c r="CB7" s="53">
        <v>16170550</v>
      </c>
      <c r="CC7" s="53">
        <v>16113247</v>
      </c>
      <c r="CD7" s="53">
        <v>16071071</v>
      </c>
      <c r="CE7" s="53">
        <v>16028465</v>
      </c>
      <c r="CF7" s="53">
        <v>15983650</v>
      </c>
      <c r="CG7" s="53">
        <v>15929407</v>
      </c>
      <c r="CH7" s="53">
        <v>15872529</v>
      </c>
      <c r="CI7" s="53">
        <v>15822148</v>
      </c>
      <c r="CJ7" s="53">
        <v>15770730</v>
      </c>
      <c r="CK7" s="53">
        <v>15720205</v>
      </c>
      <c r="CL7" s="53">
        <v>15678157</v>
      </c>
      <c r="CM7" s="53">
        <v>15630429</v>
      </c>
      <c r="CN7" s="53">
        <v>15577182</v>
      </c>
      <c r="CO7" s="53">
        <v>15527274</v>
      </c>
      <c r="CP7" s="53">
        <v>15492794</v>
      </c>
      <c r="CQ7" s="53">
        <v>15423931</v>
      </c>
      <c r="CR7" s="53">
        <v>15373533</v>
      </c>
      <c r="CS7" s="53">
        <v>15318292</v>
      </c>
      <c r="CT7" s="53">
        <v>15247542</v>
      </c>
      <c r="CU7" s="53">
        <v>15179759</v>
      </c>
      <c r="CV7" s="53">
        <v>15113069</v>
      </c>
      <c r="CW7" s="53">
        <v>15039249</v>
      </c>
      <c r="CX7" s="53">
        <v>14974537</v>
      </c>
      <c r="CY7" s="53">
        <v>14915595</v>
      </c>
      <c r="CZ7" s="53">
        <v>14838751</v>
      </c>
      <c r="DA7" s="53">
        <v>14769243</v>
      </c>
      <c r="DB7" s="53">
        <v>14711646</v>
      </c>
      <c r="DC7" s="53">
        <v>14641767</v>
      </c>
      <c r="DD7" s="53">
        <v>14590010</v>
      </c>
      <c r="DE7" s="53">
        <v>14513321</v>
      </c>
      <c r="DF7" s="53">
        <v>14450583</v>
      </c>
      <c r="DG7" s="53">
        <v>14389723</v>
      </c>
      <c r="DH7" s="53">
        <v>14309361</v>
      </c>
      <c r="DI7" s="53">
        <v>14260098</v>
      </c>
      <c r="DJ7" s="53">
        <v>14208456</v>
      </c>
      <c r="DK7" s="53">
        <v>14164934</v>
      </c>
      <c r="DL7" s="53">
        <v>14144443</v>
      </c>
      <c r="DM7" s="53">
        <v>14092424</v>
      </c>
      <c r="DN7" s="53">
        <v>14037236</v>
      </c>
      <c r="DO7" s="53">
        <v>13982891</v>
      </c>
      <c r="DP7" s="53">
        <v>13917914</v>
      </c>
      <c r="DQ7" s="53">
        <v>13848583</v>
      </c>
      <c r="DR7" s="53">
        <v>13793845</v>
      </c>
      <c r="DS7" s="53">
        <v>13758284</v>
      </c>
      <c r="DT7" s="53">
        <v>13705821</v>
      </c>
      <c r="DU7" s="53">
        <v>13655302</v>
      </c>
      <c r="DV7" s="53">
        <v>13612925</v>
      </c>
      <c r="DW7" s="53">
        <v>13548835</v>
      </c>
      <c r="DX7" s="53">
        <v>13486453</v>
      </c>
      <c r="DY7" s="53">
        <v>13440961</v>
      </c>
      <c r="DZ7" s="53">
        <v>13402597</v>
      </c>
      <c r="EA7" s="53">
        <v>13365568</v>
      </c>
      <c r="EB7" s="53">
        <v>13322994</v>
      </c>
      <c r="EC7" s="53">
        <v>13268334</v>
      </c>
      <c r="ED7" s="53">
        <v>13205308</v>
      </c>
      <c r="EE7" s="53">
        <v>13160531</v>
      </c>
    </row>
    <row r="8" spans="1:137" s="50" customFormat="1" ht="29.25" customHeight="1">
      <c r="A8" s="59" t="s">
        <v>39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60">
        <v>-140800</v>
      </c>
      <c r="BK8" s="60">
        <v>-142915</v>
      </c>
      <c r="BL8" s="60">
        <v>-154067</v>
      </c>
      <c r="BM8" s="60">
        <v>-126146</v>
      </c>
      <c r="BN8" s="60">
        <v>-107296</v>
      </c>
      <c r="BO8" s="60">
        <v>-126203</v>
      </c>
      <c r="BP8" s="60">
        <v>-117241</v>
      </c>
      <c r="BQ8" s="60">
        <v>-96764</v>
      </c>
      <c r="BR8" s="60">
        <v>-99003</v>
      </c>
      <c r="BS8" s="60">
        <v>-93230</v>
      </c>
      <c r="BT8" s="60">
        <v>-108241</v>
      </c>
      <c r="BU8" s="60">
        <v>-105655</v>
      </c>
      <c r="BV8" s="60">
        <v>-73272</v>
      </c>
      <c r="BW8" s="60">
        <v>-50824</v>
      </c>
      <c r="BX8" s="60">
        <v>-57058</v>
      </c>
      <c r="BY8" s="60">
        <v>-76651</v>
      </c>
      <c r="BZ8" s="60">
        <v>-76010</v>
      </c>
      <c r="CA8" s="60">
        <v>-66509</v>
      </c>
      <c r="CB8" s="60">
        <v>-63733</v>
      </c>
      <c r="CC8" s="60">
        <v>-57303</v>
      </c>
      <c r="CD8" s="60">
        <v>-42176</v>
      </c>
      <c r="CE8" s="60">
        <v>-42606</v>
      </c>
      <c r="CF8" s="60">
        <v>-44815</v>
      </c>
      <c r="CG8" s="60">
        <v>-54243</v>
      </c>
      <c r="CH8" s="60">
        <v>-56878</v>
      </c>
      <c r="CI8" s="60">
        <v>-50381</v>
      </c>
      <c r="CJ8" s="60">
        <v>-51418</v>
      </c>
      <c r="CK8" s="60">
        <v>-50525</v>
      </c>
      <c r="CL8" s="60">
        <v>-42048</v>
      </c>
      <c r="CM8" s="60">
        <v>-47728</v>
      </c>
      <c r="CN8" s="60">
        <v>-53247</v>
      </c>
      <c r="CO8" s="60">
        <v>-49908</v>
      </c>
      <c r="CP8" s="60">
        <v>-34480</v>
      </c>
      <c r="CQ8" s="60">
        <v>-68863</v>
      </c>
      <c r="CR8" s="60">
        <v>-50398</v>
      </c>
      <c r="CS8" s="60">
        <v>-55241</v>
      </c>
      <c r="CT8" s="60">
        <v>-70750</v>
      </c>
      <c r="CU8" s="60">
        <v>-67783</v>
      </c>
      <c r="CV8" s="60">
        <v>-66690</v>
      </c>
      <c r="CW8" s="60">
        <v>-73820</v>
      </c>
      <c r="CX8" s="60">
        <v>-64712</v>
      </c>
      <c r="CY8" s="60">
        <v>-58942</v>
      </c>
      <c r="CZ8" s="60">
        <v>-76844</v>
      </c>
      <c r="DA8" s="60">
        <v>-69508</v>
      </c>
      <c r="DB8" s="60">
        <v>-57597</v>
      </c>
      <c r="DC8" s="60">
        <v>-69879</v>
      </c>
      <c r="DD8" s="60">
        <v>-51757</v>
      </c>
      <c r="DE8" s="60">
        <v>-76689</v>
      </c>
      <c r="DF8" s="60">
        <v>-62738</v>
      </c>
      <c r="DG8" s="60">
        <v>-60860</v>
      </c>
      <c r="DH8" s="60">
        <v>-80362</v>
      </c>
      <c r="DI8" s="60">
        <v>-49263</v>
      </c>
      <c r="DJ8" s="60">
        <v>-51642</v>
      </c>
      <c r="DK8" s="60">
        <v>-43522</v>
      </c>
      <c r="DL8" s="60">
        <v>-20491</v>
      </c>
      <c r="DM8" s="60">
        <v>-52019</v>
      </c>
      <c r="DN8" s="60">
        <v>-55188</v>
      </c>
      <c r="DO8" s="60">
        <v>-54345</v>
      </c>
      <c r="DP8" s="60">
        <v>-64977</v>
      </c>
      <c r="DQ8" s="60">
        <v>-69331</v>
      </c>
      <c r="DR8" s="60">
        <v>-54738</v>
      </c>
      <c r="DS8" s="60">
        <v>-35561</v>
      </c>
      <c r="DT8" s="60">
        <v>-52463</v>
      </c>
      <c r="DU8" s="60">
        <v>-50519</v>
      </c>
      <c r="DV8" s="60">
        <v>-42377</v>
      </c>
      <c r="DW8" s="60">
        <v>-64090</v>
      </c>
      <c r="DX8" s="60">
        <v>-62382</v>
      </c>
      <c r="DY8" s="60">
        <v>-45492</v>
      </c>
      <c r="DZ8" s="60">
        <v>-38364</v>
      </c>
      <c r="EA8" s="60">
        <v>-37029</v>
      </c>
      <c r="EB8" s="60">
        <v>-42574</v>
      </c>
      <c r="EC8" s="60">
        <v>-54660</v>
      </c>
      <c r="ED8" s="60">
        <v>-63026</v>
      </c>
      <c r="EE8" s="60">
        <v>-44777</v>
      </c>
    </row>
    <row r="9" spans="1:137" s="64" customFormat="1" ht="29.25" customHeight="1">
      <c r="A9" s="61" t="s">
        <v>41</v>
      </c>
      <c r="B9" s="62">
        <v>20739000</v>
      </c>
      <c r="C9" s="62">
        <v>20753000</v>
      </c>
      <c r="D9" s="62">
        <v>20769000</v>
      </c>
      <c r="E9" s="62">
        <v>20741000</v>
      </c>
      <c r="F9" s="62">
        <v>20737000</v>
      </c>
      <c r="G9" s="62">
        <v>20728927</v>
      </c>
      <c r="H9" s="62">
        <v>20707958</v>
      </c>
      <c r="I9" s="62">
        <v>20707970</v>
      </c>
      <c r="J9" s="62">
        <v>20686525</v>
      </c>
      <c r="K9" s="62">
        <v>20652698</v>
      </c>
      <c r="L9" s="62">
        <v>20608636</v>
      </c>
      <c r="M9" s="62">
        <v>20521712</v>
      </c>
      <c r="N9" s="62">
        <v>20527968</v>
      </c>
      <c r="O9" s="62">
        <v>20507458</v>
      </c>
      <c r="P9" s="62">
        <v>20527241</v>
      </c>
      <c r="Q9" s="62">
        <v>20536079</v>
      </c>
      <c r="R9" s="62">
        <v>20519960</v>
      </c>
      <c r="S9" s="62">
        <v>20487737</v>
      </c>
      <c r="T9" s="62">
        <v>20470023</v>
      </c>
      <c r="U9" s="62">
        <v>20441463</v>
      </c>
      <c r="V9" s="62">
        <v>20392085</v>
      </c>
      <c r="W9" s="62">
        <v>20376969</v>
      </c>
      <c r="X9" s="62">
        <v>20355930</v>
      </c>
      <c r="Y9" s="62">
        <v>20330575</v>
      </c>
      <c r="Z9" s="62">
        <v>20316044</v>
      </c>
      <c r="AA9" s="62">
        <v>20284406</v>
      </c>
      <c r="AB9" s="62">
        <v>20281341</v>
      </c>
      <c r="AC9" s="62">
        <v>20265565</v>
      </c>
      <c r="AD9" s="62">
        <v>20258694</v>
      </c>
      <c r="AE9" s="62">
        <v>20218719</v>
      </c>
      <c r="AF9" s="62">
        <v>20180320</v>
      </c>
      <c r="AG9" s="62">
        <v>20153384</v>
      </c>
      <c r="AH9" s="62">
        <v>20116650</v>
      </c>
      <c r="AI9" s="62">
        <v>20064196</v>
      </c>
      <c r="AJ9" s="62">
        <v>20018427</v>
      </c>
      <c r="AK9" s="62">
        <v>19980273</v>
      </c>
      <c r="AL9" s="63">
        <v>19936204</v>
      </c>
      <c r="AM9" s="63">
        <v>19893827</v>
      </c>
      <c r="AN9" s="63">
        <v>19860608</v>
      </c>
      <c r="AO9" s="63">
        <v>19816623</v>
      </c>
      <c r="AP9" s="63">
        <v>19796371</v>
      </c>
      <c r="AQ9" s="63">
        <v>19767589</v>
      </c>
      <c r="AR9" s="63">
        <v>19719274</v>
      </c>
      <c r="AS9" s="63">
        <v>19688899</v>
      </c>
      <c r="AT9" s="63">
        <v>19634995</v>
      </c>
      <c r="AU9" s="63">
        <v>19578866</v>
      </c>
      <c r="AV9" s="63">
        <v>19495740</v>
      </c>
      <c r="AW9" s="63">
        <v>18883194</v>
      </c>
      <c r="AX9" s="63">
        <v>18766490</v>
      </c>
      <c r="AY9" s="63">
        <v>18641938</v>
      </c>
      <c r="AZ9" s="63">
        <v>18483209</v>
      </c>
      <c r="BA9" s="63">
        <v>18345127</v>
      </c>
      <c r="BB9" s="63">
        <v>18223099</v>
      </c>
      <c r="BC9" s="63">
        <v>18070317</v>
      </c>
      <c r="BD9" s="63">
        <v>17897274</v>
      </c>
      <c r="BE9" s="63">
        <v>17756852</v>
      </c>
      <c r="BF9" s="63">
        <v>17560700</v>
      </c>
      <c r="BG9" s="63">
        <v>17402597</v>
      </c>
      <c r="BH9" s="63">
        <v>17240224</v>
      </c>
      <c r="BI9" s="63">
        <v>17069037</v>
      </c>
      <c r="BJ9" s="63">
        <v>16921097</v>
      </c>
      <c r="BK9" s="63">
        <v>16784709</v>
      </c>
      <c r="BL9" s="63">
        <v>16632608</v>
      </c>
      <c r="BM9" s="63">
        <v>16506393</v>
      </c>
      <c r="BN9" s="63">
        <v>16399187</v>
      </c>
      <c r="BO9" s="63">
        <v>16274949</v>
      </c>
      <c r="BP9" s="63">
        <v>16157476</v>
      </c>
      <c r="BQ9" s="63">
        <v>16057131</v>
      </c>
      <c r="BR9" s="63">
        <v>15965637</v>
      </c>
      <c r="BS9" s="63">
        <v>15872404</v>
      </c>
      <c r="BT9" s="63">
        <v>15766327</v>
      </c>
      <c r="BU9" s="63">
        <v>15662195</v>
      </c>
      <c r="BV9" s="63">
        <v>15589153</v>
      </c>
      <c r="BW9" s="63">
        <v>15541492</v>
      </c>
      <c r="BX9" s="63">
        <v>15485375</v>
      </c>
      <c r="BY9" s="63">
        <v>15406541</v>
      </c>
      <c r="BZ9" s="63">
        <v>15333479</v>
      </c>
      <c r="CA9" s="63">
        <v>15266023</v>
      </c>
      <c r="CB9" s="63">
        <v>15203622</v>
      </c>
      <c r="CC9" s="63">
        <v>15148503</v>
      </c>
      <c r="CD9" s="63">
        <v>15098841</v>
      </c>
      <c r="CE9" s="63">
        <v>15061189</v>
      </c>
      <c r="CF9" s="63">
        <v>15019012</v>
      </c>
      <c r="CG9" s="63">
        <v>14967510</v>
      </c>
      <c r="CH9" s="63">
        <v>14912536</v>
      </c>
      <c r="CI9" s="63">
        <v>14863459</v>
      </c>
      <c r="CJ9" s="63">
        <v>14814056</v>
      </c>
      <c r="CK9" s="63">
        <v>14764615</v>
      </c>
      <c r="CL9" s="63">
        <v>14723892</v>
      </c>
      <c r="CM9" s="63">
        <v>14677895</v>
      </c>
      <c r="CN9" s="63">
        <v>14626751</v>
      </c>
      <c r="CO9" s="63">
        <v>14581127</v>
      </c>
      <c r="CP9" s="63">
        <v>14546165</v>
      </c>
      <c r="CQ9" s="63">
        <v>14486389</v>
      </c>
      <c r="CR9" s="63">
        <v>14438090</v>
      </c>
      <c r="CS9" s="63">
        <v>14385165</v>
      </c>
      <c r="CT9" s="63">
        <v>14317596</v>
      </c>
      <c r="CU9" s="63">
        <v>14255420</v>
      </c>
      <c r="CV9" s="63">
        <v>14197085</v>
      </c>
      <c r="CW9" s="63">
        <v>14132400</v>
      </c>
      <c r="CX9" s="63">
        <v>14073562</v>
      </c>
      <c r="CY9" s="63">
        <v>14019784</v>
      </c>
      <c r="CZ9" s="63">
        <v>13950025</v>
      </c>
      <c r="DA9" s="63">
        <v>13883421</v>
      </c>
      <c r="DB9" s="63">
        <v>13829538</v>
      </c>
      <c r="DC9" s="63">
        <v>13762726</v>
      </c>
      <c r="DD9" s="63">
        <v>13713506</v>
      </c>
      <c r="DE9" s="63">
        <v>13640251</v>
      </c>
      <c r="DF9" s="63">
        <v>13579705</v>
      </c>
      <c r="DG9" s="63">
        <v>13521278</v>
      </c>
      <c r="DH9" s="63">
        <v>13453081</v>
      </c>
      <c r="DI9" s="63">
        <v>13398472</v>
      </c>
      <c r="DJ9" s="63">
        <v>13345373</v>
      </c>
      <c r="DK9" s="63">
        <v>13289592</v>
      </c>
      <c r="DL9" s="63">
        <v>13227506</v>
      </c>
      <c r="DM9" s="63">
        <v>13178894</v>
      </c>
      <c r="DN9" s="63">
        <v>13129032</v>
      </c>
      <c r="DO9" s="63">
        <v>13077930</v>
      </c>
      <c r="DP9" s="63">
        <v>13020061</v>
      </c>
      <c r="DQ9" s="63">
        <v>12948231</v>
      </c>
      <c r="DR9" s="63">
        <v>12893834</v>
      </c>
      <c r="DS9" s="63">
        <v>12860692</v>
      </c>
      <c r="DT9" s="63">
        <v>12815581</v>
      </c>
      <c r="DU9" s="63">
        <v>12768420</v>
      </c>
      <c r="DV9" s="63">
        <v>12734337</v>
      </c>
      <c r="DW9" s="63">
        <v>12681412</v>
      </c>
      <c r="DX9" s="63">
        <v>12623100</v>
      </c>
      <c r="DY9" s="63">
        <v>12579579</v>
      </c>
      <c r="DZ9" s="63">
        <v>12540823</v>
      </c>
      <c r="EA9" s="63">
        <v>12503267</v>
      </c>
      <c r="EB9" s="63">
        <v>12462481</v>
      </c>
      <c r="EC9" s="63">
        <v>12409498</v>
      </c>
      <c r="ED9" s="63">
        <v>12344074</v>
      </c>
      <c r="EE9" s="63">
        <v>12299309</v>
      </c>
    </row>
    <row r="10" spans="1:137" s="64" customFormat="1" ht="29.25" customHeight="1">
      <c r="A10" s="61" t="s">
        <v>42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>
        <v>958158</v>
      </c>
      <c r="Z10" s="62">
        <v>967211</v>
      </c>
      <c r="AA10" s="62">
        <v>978553</v>
      </c>
      <c r="AB10" s="62">
        <v>981852</v>
      </c>
      <c r="AC10" s="62">
        <v>993050</v>
      </c>
      <c r="AD10" s="62">
        <v>1003177</v>
      </c>
      <c r="AE10" s="62">
        <v>1019242</v>
      </c>
      <c r="AF10" s="62">
        <v>1028129</v>
      </c>
      <c r="AG10" s="62">
        <v>1037243</v>
      </c>
      <c r="AH10" s="62">
        <v>1067363</v>
      </c>
      <c r="AI10" s="62">
        <v>1075011</v>
      </c>
      <c r="AJ10" s="62">
        <v>1084864</v>
      </c>
      <c r="AK10" s="62">
        <v>938293</v>
      </c>
      <c r="AL10" s="63">
        <v>945508</v>
      </c>
      <c r="AM10" s="63">
        <v>948131</v>
      </c>
      <c r="AN10" s="63">
        <v>957565</v>
      </c>
      <c r="AO10" s="63">
        <v>962429</v>
      </c>
      <c r="AP10" s="63">
        <v>965762</v>
      </c>
      <c r="AQ10" s="63">
        <v>973722</v>
      </c>
      <c r="AR10" s="63">
        <v>975711</v>
      </c>
      <c r="AS10" s="63">
        <v>983855</v>
      </c>
      <c r="AT10" s="63">
        <v>985610</v>
      </c>
      <c r="AU10" s="63">
        <v>994113</v>
      </c>
      <c r="AV10" s="63">
        <v>995527</v>
      </c>
      <c r="AW10" s="63">
        <v>983084</v>
      </c>
      <c r="AX10" s="63">
        <v>982562</v>
      </c>
      <c r="AY10" s="63">
        <v>983003</v>
      </c>
      <c r="AZ10" s="63">
        <v>984442</v>
      </c>
      <c r="BA10" s="63">
        <v>984433</v>
      </c>
      <c r="BB10" s="63">
        <v>986649</v>
      </c>
      <c r="BC10" s="63">
        <v>986872</v>
      </c>
      <c r="BD10" s="63">
        <v>984906</v>
      </c>
      <c r="BE10" s="63">
        <v>985859</v>
      </c>
      <c r="BF10" s="63">
        <v>988854</v>
      </c>
      <c r="BG10" s="63">
        <v>987452</v>
      </c>
      <c r="BH10" s="63">
        <v>986291</v>
      </c>
      <c r="BI10" s="63">
        <v>983131</v>
      </c>
      <c r="BJ10" s="63">
        <v>990271</v>
      </c>
      <c r="BK10" s="63">
        <v>983744</v>
      </c>
      <c r="BL10" s="63">
        <v>981778</v>
      </c>
      <c r="BM10" s="63">
        <v>981847</v>
      </c>
      <c r="BN10" s="63">
        <v>981757</v>
      </c>
      <c r="BO10" s="63">
        <v>979792</v>
      </c>
      <c r="BP10" s="63">
        <v>980024</v>
      </c>
      <c r="BQ10" s="63">
        <v>983605</v>
      </c>
      <c r="BR10" s="63">
        <v>976096</v>
      </c>
      <c r="BS10" s="63">
        <v>976099</v>
      </c>
      <c r="BT10" s="63">
        <v>973935</v>
      </c>
      <c r="BU10" s="63">
        <v>972412</v>
      </c>
      <c r="BV10" s="63">
        <v>972182</v>
      </c>
      <c r="BW10" s="63">
        <v>969019</v>
      </c>
      <c r="BX10" s="63">
        <v>968078</v>
      </c>
      <c r="BY10" s="63">
        <v>970261</v>
      </c>
      <c r="BZ10" s="63">
        <v>967313</v>
      </c>
      <c r="CA10" s="63">
        <v>968260</v>
      </c>
      <c r="CB10" s="63">
        <v>966928</v>
      </c>
      <c r="CC10" s="63">
        <v>964744</v>
      </c>
      <c r="CD10" s="63">
        <v>972230</v>
      </c>
      <c r="CE10" s="63">
        <v>967276</v>
      </c>
      <c r="CF10" s="63">
        <v>964638</v>
      </c>
      <c r="CG10" s="63">
        <v>961897</v>
      </c>
      <c r="CH10" s="63">
        <v>959993</v>
      </c>
      <c r="CI10" s="63">
        <v>958689</v>
      </c>
      <c r="CJ10" s="63">
        <v>956674</v>
      </c>
      <c r="CK10" s="63">
        <v>955590</v>
      </c>
      <c r="CL10" s="63">
        <v>954265</v>
      </c>
      <c r="CM10" s="63">
        <v>952534</v>
      </c>
      <c r="CN10" s="63">
        <v>950431</v>
      </c>
      <c r="CO10" s="63">
        <v>946147</v>
      </c>
      <c r="CP10" s="63">
        <v>946629</v>
      </c>
      <c r="CQ10" s="63">
        <v>937542</v>
      </c>
      <c r="CR10" s="63">
        <v>935443</v>
      </c>
      <c r="CS10" s="63">
        <v>933127</v>
      </c>
      <c r="CT10" s="63">
        <v>929946</v>
      </c>
      <c r="CU10" s="63">
        <v>924339</v>
      </c>
      <c r="CV10" s="63">
        <v>915984</v>
      </c>
      <c r="CW10" s="63">
        <v>906849</v>
      </c>
      <c r="CX10" s="63">
        <v>900975</v>
      </c>
      <c r="CY10" s="63">
        <v>895811</v>
      </c>
      <c r="CZ10" s="63">
        <v>888726</v>
      </c>
      <c r="DA10" s="63">
        <v>885822</v>
      </c>
      <c r="DB10" s="63">
        <v>882108</v>
      </c>
      <c r="DC10" s="63">
        <v>879041</v>
      </c>
      <c r="DD10" s="63">
        <v>876504</v>
      </c>
      <c r="DE10" s="63">
        <v>873070</v>
      </c>
      <c r="DF10" s="63">
        <v>870878</v>
      </c>
      <c r="DG10" s="63">
        <v>868445</v>
      </c>
      <c r="DH10" s="63">
        <v>856280</v>
      </c>
      <c r="DI10" s="63">
        <v>861626</v>
      </c>
      <c r="DJ10" s="63">
        <v>863083</v>
      </c>
      <c r="DK10" s="63">
        <v>875342</v>
      </c>
      <c r="DL10" s="63">
        <v>916937</v>
      </c>
      <c r="DM10" s="63">
        <v>913530</v>
      </c>
      <c r="DN10" s="63">
        <v>908204</v>
      </c>
      <c r="DO10" s="63">
        <v>904961</v>
      </c>
      <c r="DP10" s="63">
        <v>897853</v>
      </c>
      <c r="DQ10" s="63">
        <v>900352</v>
      </c>
      <c r="DR10" s="63">
        <v>900011</v>
      </c>
      <c r="DS10" s="63">
        <v>897592</v>
      </c>
      <c r="DT10" s="63">
        <v>890240</v>
      </c>
      <c r="DU10" s="63">
        <v>886882</v>
      </c>
      <c r="DV10" s="63">
        <v>878588</v>
      </c>
      <c r="DW10" s="63">
        <v>867423</v>
      </c>
      <c r="DX10" s="63">
        <v>863353</v>
      </c>
      <c r="DY10" s="63">
        <v>861382</v>
      </c>
      <c r="DZ10" s="63">
        <v>861774</v>
      </c>
      <c r="EA10" s="63">
        <v>862301</v>
      </c>
      <c r="EB10" s="63">
        <v>860513</v>
      </c>
      <c r="EC10" s="63">
        <v>858836</v>
      </c>
      <c r="ED10" s="63">
        <v>861234</v>
      </c>
      <c r="EE10" s="63">
        <v>861222</v>
      </c>
      <c r="EG10" s="199"/>
    </row>
    <row r="11" spans="1:137" s="50" customFormat="1" ht="29.25" customHeight="1">
      <c r="A11" s="65" t="s">
        <v>43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>
        <v>43749</v>
      </c>
      <c r="AM11" s="53">
        <v>47771</v>
      </c>
      <c r="AN11" s="53">
        <v>63080</v>
      </c>
      <c r="AO11" s="53">
        <v>71536</v>
      </c>
      <c r="AP11" s="53">
        <v>83367</v>
      </c>
      <c r="AQ11" s="53">
        <v>202831</v>
      </c>
      <c r="AR11" s="53">
        <v>214953</v>
      </c>
      <c r="AS11" s="53">
        <v>231089</v>
      </c>
      <c r="AT11" s="53">
        <v>261162</v>
      </c>
      <c r="AU11" s="53">
        <v>302632</v>
      </c>
      <c r="AV11" s="53">
        <v>316612</v>
      </c>
      <c r="AW11" s="53">
        <v>327728</v>
      </c>
      <c r="AX11" s="53">
        <v>321887</v>
      </c>
      <c r="AY11" s="53">
        <v>383673</v>
      </c>
      <c r="AZ11" s="53">
        <v>504575</v>
      </c>
      <c r="BA11" s="53">
        <v>567140</v>
      </c>
      <c r="BB11" s="53">
        <v>648973</v>
      </c>
      <c r="BC11" s="53">
        <v>794961</v>
      </c>
      <c r="BD11" s="53">
        <v>951996</v>
      </c>
      <c r="BE11" s="53">
        <v>1048035</v>
      </c>
      <c r="BF11" s="53">
        <v>1269047</v>
      </c>
      <c r="BG11" s="53">
        <v>1402644</v>
      </c>
      <c r="BH11" s="53">
        <v>1644475</v>
      </c>
      <c r="BI11" s="53">
        <v>1701238</v>
      </c>
      <c r="BJ11" s="53">
        <v>1750224</v>
      </c>
      <c r="BK11" s="53">
        <v>1851327</v>
      </c>
      <c r="BL11" s="53">
        <v>1971865</v>
      </c>
      <c r="BM11" s="53">
        <v>2070647</v>
      </c>
      <c r="BN11" s="53">
        <v>2153972</v>
      </c>
      <c r="BO11" s="53">
        <v>2221778</v>
      </c>
      <c r="BP11" s="53">
        <v>2293519</v>
      </c>
      <c r="BQ11" s="53">
        <v>2377155</v>
      </c>
      <c r="BR11" s="53">
        <v>2490143</v>
      </c>
      <c r="BS11" s="53">
        <v>2581256</v>
      </c>
      <c r="BT11" s="53">
        <v>2672698</v>
      </c>
      <c r="BU11" s="53">
        <v>2724039</v>
      </c>
      <c r="BV11" s="53">
        <v>2796638</v>
      </c>
      <c r="BW11" s="53">
        <v>2862187</v>
      </c>
      <c r="BX11" s="53">
        <v>2932192</v>
      </c>
      <c r="BY11" s="53">
        <v>2979658</v>
      </c>
      <c r="BZ11" s="53">
        <v>2999497</v>
      </c>
      <c r="CA11" s="53">
        <v>3037887</v>
      </c>
      <c r="CB11" s="53">
        <v>3074002</v>
      </c>
      <c r="CC11" s="53">
        <v>3118098</v>
      </c>
      <c r="CD11" s="53">
        <v>3156259</v>
      </c>
      <c r="CE11" s="53">
        <v>3186961</v>
      </c>
      <c r="CF11" s="53">
        <v>3218901</v>
      </c>
      <c r="CG11" s="53">
        <v>3229977</v>
      </c>
      <c r="CH11" s="53">
        <v>3246193</v>
      </c>
      <c r="CI11" s="53">
        <v>3272436</v>
      </c>
      <c r="CJ11" s="53">
        <v>3294374</v>
      </c>
      <c r="CK11" s="53">
        <v>3303674</v>
      </c>
      <c r="CL11" s="53">
        <v>3317188</v>
      </c>
      <c r="CM11" s="53">
        <v>3326274</v>
      </c>
      <c r="CN11" s="53">
        <v>3333448</v>
      </c>
      <c r="CO11" s="53">
        <v>3339016</v>
      </c>
      <c r="CP11" s="53">
        <v>3344137</v>
      </c>
      <c r="CQ11" s="53">
        <v>3348510</v>
      </c>
      <c r="CR11" s="53">
        <v>3350117</v>
      </c>
      <c r="CS11" s="53">
        <v>3347642</v>
      </c>
      <c r="CT11" s="53">
        <v>3363330</v>
      </c>
      <c r="CU11" s="53">
        <v>3373504</v>
      </c>
      <c r="CV11" s="53">
        <v>3382720</v>
      </c>
      <c r="CW11" s="53">
        <v>3388134</v>
      </c>
      <c r="CX11" s="53">
        <v>3389408</v>
      </c>
      <c r="CY11" s="53">
        <v>3407141</v>
      </c>
      <c r="CZ11" s="53">
        <v>3417701</v>
      </c>
      <c r="DA11" s="53">
        <v>3440332</v>
      </c>
      <c r="DB11" s="53">
        <v>3461648</v>
      </c>
      <c r="DC11" s="53">
        <v>3479096</v>
      </c>
      <c r="DD11" s="53">
        <v>3497962</v>
      </c>
      <c r="DE11" s="53">
        <v>3504558</v>
      </c>
      <c r="DF11" s="53">
        <v>3487413</v>
      </c>
      <c r="DG11" s="53">
        <v>3480168</v>
      </c>
      <c r="DH11" s="53">
        <v>3479646</v>
      </c>
      <c r="DI11" s="53">
        <v>3460609</v>
      </c>
      <c r="DJ11" s="53">
        <v>3453369</v>
      </c>
      <c r="DK11" s="53">
        <v>3449999</v>
      </c>
      <c r="DL11" s="53">
        <v>3439035</v>
      </c>
      <c r="DM11" s="53">
        <v>3436827</v>
      </c>
      <c r="DN11" s="53">
        <v>3431956</v>
      </c>
      <c r="DO11" s="53">
        <v>3435361</v>
      </c>
      <c r="DP11" s="53">
        <v>3424912</v>
      </c>
      <c r="DQ11" s="53">
        <v>3410544</v>
      </c>
      <c r="DR11" s="53">
        <v>3401785</v>
      </c>
      <c r="DS11" s="53">
        <v>3398480</v>
      </c>
      <c r="DT11" s="53">
        <v>3397054</v>
      </c>
      <c r="DU11" s="53">
        <v>3397183</v>
      </c>
      <c r="DV11" s="53">
        <v>3392140</v>
      </c>
      <c r="DW11" s="53">
        <v>3402416</v>
      </c>
      <c r="DX11" s="53">
        <v>3396855</v>
      </c>
      <c r="DY11" s="53">
        <v>3394552</v>
      </c>
      <c r="DZ11" s="53">
        <v>3403105</v>
      </c>
      <c r="EA11" s="53">
        <v>3411696</v>
      </c>
      <c r="EB11" s="53">
        <v>3416752</v>
      </c>
      <c r="EC11" s="53">
        <v>3413235</v>
      </c>
      <c r="ED11" s="53">
        <v>3414702</v>
      </c>
      <c r="EE11" s="53">
        <v>3423040</v>
      </c>
    </row>
    <row r="12" spans="1:137" s="50" customFormat="1" ht="29.25" customHeight="1">
      <c r="A12" s="66" t="s">
        <v>39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7">
        <v>48986</v>
      </c>
      <c r="BK12" s="57">
        <v>101103</v>
      </c>
      <c r="BL12" s="57">
        <v>120538</v>
      </c>
      <c r="BM12" s="57">
        <v>98782</v>
      </c>
      <c r="BN12" s="57">
        <v>83325</v>
      </c>
      <c r="BO12" s="57">
        <v>67806</v>
      </c>
      <c r="BP12" s="57">
        <v>71741</v>
      </c>
      <c r="BQ12" s="57">
        <v>83636</v>
      </c>
      <c r="BR12" s="57">
        <v>112988</v>
      </c>
      <c r="BS12" s="57">
        <v>91113</v>
      </c>
      <c r="BT12" s="57">
        <v>91442</v>
      </c>
      <c r="BU12" s="57">
        <v>51341</v>
      </c>
      <c r="BV12" s="57">
        <v>72599</v>
      </c>
      <c r="BW12" s="57">
        <v>65549</v>
      </c>
      <c r="BX12" s="57">
        <v>70005</v>
      </c>
      <c r="BY12" s="57">
        <v>47466</v>
      </c>
      <c r="BZ12" s="57">
        <v>19839</v>
      </c>
      <c r="CA12" s="57">
        <v>38390</v>
      </c>
      <c r="CB12" s="57">
        <v>36115</v>
      </c>
      <c r="CC12" s="57">
        <v>44096</v>
      </c>
      <c r="CD12" s="57">
        <v>38161</v>
      </c>
      <c r="CE12" s="57">
        <v>30702</v>
      </c>
      <c r="CF12" s="57">
        <v>31940</v>
      </c>
      <c r="CG12" s="57">
        <v>11076</v>
      </c>
      <c r="CH12" s="57">
        <v>16216</v>
      </c>
      <c r="CI12" s="57">
        <v>26243</v>
      </c>
      <c r="CJ12" s="57">
        <v>21938</v>
      </c>
      <c r="CK12" s="57">
        <v>9300</v>
      </c>
      <c r="CL12" s="57">
        <v>13514</v>
      </c>
      <c r="CM12" s="57">
        <v>9086</v>
      </c>
      <c r="CN12" s="57">
        <v>7174</v>
      </c>
      <c r="CO12" s="57">
        <v>5568</v>
      </c>
      <c r="CP12" s="57">
        <v>5121</v>
      </c>
      <c r="CQ12" s="57">
        <v>4373</v>
      </c>
      <c r="CR12" s="57">
        <v>1607</v>
      </c>
      <c r="CS12" s="57">
        <v>-2475</v>
      </c>
      <c r="CT12" s="57">
        <v>15688</v>
      </c>
      <c r="CU12" s="57">
        <v>10174</v>
      </c>
      <c r="CV12" s="57">
        <v>9216</v>
      </c>
      <c r="CW12" s="57">
        <v>5414</v>
      </c>
      <c r="CX12" s="57">
        <v>1274</v>
      </c>
      <c r="CY12" s="57">
        <v>17733</v>
      </c>
      <c r="CZ12" s="57">
        <v>10560</v>
      </c>
      <c r="DA12" s="57">
        <v>22631</v>
      </c>
      <c r="DB12" s="57">
        <v>21316</v>
      </c>
      <c r="DC12" s="57">
        <v>17448</v>
      </c>
      <c r="DD12" s="57">
        <v>18866</v>
      </c>
      <c r="DE12" s="57">
        <v>6596</v>
      </c>
      <c r="DF12" s="57">
        <v>-17145</v>
      </c>
      <c r="DG12" s="57">
        <v>-7245</v>
      </c>
      <c r="DH12" s="57">
        <v>-522</v>
      </c>
      <c r="DI12" s="57">
        <v>-19037</v>
      </c>
      <c r="DJ12" s="57">
        <v>-7240</v>
      </c>
      <c r="DK12" s="57">
        <v>-3370</v>
      </c>
      <c r="DL12" s="57">
        <v>-10964</v>
      </c>
      <c r="DM12" s="57">
        <v>-2208</v>
      </c>
      <c r="DN12" s="57">
        <v>-4871</v>
      </c>
      <c r="DO12" s="57">
        <v>3405</v>
      </c>
      <c r="DP12" s="57">
        <v>-10449</v>
      </c>
      <c r="DQ12" s="57">
        <v>-14368</v>
      </c>
      <c r="DR12" s="57">
        <v>-8759</v>
      </c>
      <c r="DS12" s="57">
        <v>-3305</v>
      </c>
      <c r="DT12" s="57">
        <v>-1426</v>
      </c>
      <c r="DU12" s="57">
        <v>129</v>
      </c>
      <c r="DV12" s="57">
        <v>-5043</v>
      </c>
      <c r="DW12" s="57">
        <v>10276</v>
      </c>
      <c r="DX12" s="57">
        <v>-5561</v>
      </c>
      <c r="DY12" s="57">
        <v>-2303</v>
      </c>
      <c r="DZ12" s="57">
        <v>8553</v>
      </c>
      <c r="EA12" s="57">
        <v>8591</v>
      </c>
      <c r="EB12" s="57">
        <v>5056</v>
      </c>
      <c r="EC12" s="57">
        <v>-3517</v>
      </c>
      <c r="ED12" s="57">
        <v>1467</v>
      </c>
      <c r="EE12" s="57">
        <v>8338</v>
      </c>
    </row>
    <row r="13" spans="1:137" s="50" customFormat="1" ht="29.25" customHeight="1">
      <c r="A13" s="67" t="s">
        <v>44</v>
      </c>
      <c r="B13" s="68">
        <v>18866000</v>
      </c>
      <c r="C13" s="68">
        <v>18861000</v>
      </c>
      <c r="D13" s="68">
        <v>18883000</v>
      </c>
      <c r="E13" s="68">
        <v>18856894</v>
      </c>
      <c r="F13" s="68">
        <v>18818278</v>
      </c>
      <c r="G13" s="68">
        <v>18791320</v>
      </c>
      <c r="H13" s="68">
        <v>18737417</v>
      </c>
      <c r="I13" s="68">
        <v>18730473</v>
      </c>
      <c r="J13" s="68">
        <v>18699454</v>
      </c>
      <c r="K13" s="68">
        <v>18667269</v>
      </c>
      <c r="L13" s="68">
        <v>18623536</v>
      </c>
      <c r="M13" s="68">
        <v>18544371</v>
      </c>
      <c r="N13" s="68">
        <v>18546616</v>
      </c>
      <c r="O13" s="68">
        <v>18559071</v>
      </c>
      <c r="P13" s="68">
        <v>18628965</v>
      </c>
      <c r="Q13" s="68">
        <v>18674691</v>
      </c>
      <c r="R13" s="68">
        <v>18692101</v>
      </c>
      <c r="S13" s="68">
        <v>18733715</v>
      </c>
      <c r="T13" s="68">
        <v>18731293</v>
      </c>
      <c r="U13" s="68">
        <v>18699832</v>
      </c>
      <c r="V13" s="68">
        <v>18718267</v>
      </c>
      <c r="W13" s="68">
        <v>18719381</v>
      </c>
      <c r="X13" s="68">
        <v>18713549</v>
      </c>
      <c r="Y13" s="68">
        <v>18687801</v>
      </c>
      <c r="Z13" s="68">
        <v>18687487</v>
      </c>
      <c r="AA13" s="68">
        <v>18682237</v>
      </c>
      <c r="AB13" s="68">
        <v>18713196</v>
      </c>
      <c r="AC13" s="68">
        <v>18725489</v>
      </c>
      <c r="AD13" s="68">
        <v>18749400</v>
      </c>
      <c r="AE13" s="68">
        <v>18740402</v>
      </c>
      <c r="AF13" s="68">
        <v>18729882</v>
      </c>
      <c r="AG13" s="68">
        <v>18719037</v>
      </c>
      <c r="AH13" s="68">
        <v>18696985</v>
      </c>
      <c r="AI13" s="68">
        <v>18658029</v>
      </c>
      <c r="AJ13" s="68">
        <v>18599368</v>
      </c>
      <c r="AK13" s="68">
        <v>18571171</v>
      </c>
      <c r="AL13" s="68">
        <v>18563059</v>
      </c>
      <c r="AM13" s="68">
        <v>18531559</v>
      </c>
      <c r="AN13" s="68">
        <v>18511992</v>
      </c>
      <c r="AO13" s="68">
        <v>18511992</v>
      </c>
      <c r="AP13" s="68">
        <v>18465598</v>
      </c>
      <c r="AQ13" s="68">
        <v>18440285</v>
      </c>
      <c r="AR13" s="68">
        <v>18396699</v>
      </c>
      <c r="AS13" s="68">
        <v>18371450</v>
      </c>
      <c r="AT13" s="68">
        <v>18321449</v>
      </c>
      <c r="AU13" s="68">
        <v>18272114</v>
      </c>
      <c r="AV13" s="68">
        <v>18197364</v>
      </c>
      <c r="AW13" s="68">
        <v>17633958</v>
      </c>
      <c r="AX13" s="68">
        <v>17527901.66</v>
      </c>
      <c r="AY13" s="68">
        <v>17898826</v>
      </c>
      <c r="AZ13" s="68">
        <v>17263317.206</v>
      </c>
      <c r="BA13" s="68">
        <v>17670186</v>
      </c>
      <c r="BB13" s="68">
        <v>17569005</v>
      </c>
      <c r="BC13" s="68">
        <v>17425472</v>
      </c>
      <c r="BD13" s="68">
        <v>17275462</v>
      </c>
      <c r="BE13" s="68">
        <v>17169899</v>
      </c>
      <c r="BF13" s="68">
        <v>16999984</v>
      </c>
      <c r="BG13" s="68">
        <v>16848000</v>
      </c>
      <c r="BH13" s="68">
        <v>16714004</v>
      </c>
      <c r="BI13" s="68">
        <v>16563333</v>
      </c>
      <c r="BJ13" s="68">
        <v>16436622</v>
      </c>
      <c r="BK13" s="68">
        <v>16346497</v>
      </c>
      <c r="BL13" s="68">
        <v>16217182</v>
      </c>
      <c r="BM13" s="68">
        <v>16090022</v>
      </c>
      <c r="BN13" s="68">
        <v>16043633</v>
      </c>
      <c r="BO13" s="68">
        <v>15906215</v>
      </c>
      <c r="BP13" s="68">
        <v>15807485</v>
      </c>
      <c r="BQ13" s="68">
        <v>15723659</v>
      </c>
      <c r="BR13" s="68">
        <v>15651043</v>
      </c>
      <c r="BS13" s="68">
        <v>15582232</v>
      </c>
      <c r="BT13" s="68">
        <v>15482679</v>
      </c>
      <c r="BU13" s="68">
        <v>15390880</v>
      </c>
      <c r="BV13" s="68">
        <v>15323735</v>
      </c>
      <c r="BW13" s="68">
        <v>15288912</v>
      </c>
      <c r="BX13" s="68">
        <v>15242567</v>
      </c>
      <c r="BY13" s="68">
        <v>15176587</v>
      </c>
      <c r="BZ13" s="68">
        <v>15117576</v>
      </c>
      <c r="CA13" s="68">
        <v>15060295</v>
      </c>
      <c r="CB13" s="68">
        <v>15011495</v>
      </c>
      <c r="CC13" s="68">
        <v>14966289</v>
      </c>
      <c r="CD13" s="68">
        <v>14925905</v>
      </c>
      <c r="CE13" s="68">
        <v>14897136</v>
      </c>
      <c r="CF13" s="68">
        <v>14683437</v>
      </c>
      <c r="CG13" s="68">
        <v>14638500</v>
      </c>
      <c r="CH13" s="68">
        <v>14595641</v>
      </c>
      <c r="CI13" s="68">
        <v>14560813</v>
      </c>
      <c r="CJ13" s="68">
        <v>14529670</v>
      </c>
      <c r="CK13" s="68">
        <v>14464511</v>
      </c>
      <c r="CL13" s="68">
        <v>14427832</v>
      </c>
      <c r="CM13" s="68">
        <v>14386004</v>
      </c>
      <c r="CN13" s="68">
        <v>14341731</v>
      </c>
      <c r="CO13" s="68">
        <v>14295324</v>
      </c>
      <c r="CP13" s="68">
        <v>14263968</v>
      </c>
      <c r="CQ13" s="68">
        <v>14209460</v>
      </c>
      <c r="CR13" s="68">
        <v>14166169</v>
      </c>
      <c r="CS13" s="190">
        <v>14114929</v>
      </c>
      <c r="CT13" s="190">
        <v>14053656</v>
      </c>
      <c r="CU13" s="190">
        <v>13993796</v>
      </c>
      <c r="CV13" s="190">
        <v>13937581</v>
      </c>
      <c r="CW13" s="190">
        <v>13874894</v>
      </c>
      <c r="CX13" s="190">
        <v>13818929</v>
      </c>
      <c r="CY13" s="190">
        <v>13761765</v>
      </c>
      <c r="CZ13" s="190">
        <v>13694465</v>
      </c>
      <c r="DA13" s="190">
        <v>13526796</v>
      </c>
      <c r="DB13" s="190">
        <v>13472140</v>
      </c>
      <c r="DC13" s="190">
        <v>13411548</v>
      </c>
      <c r="DD13" s="190">
        <v>13469828</v>
      </c>
      <c r="DE13" s="190">
        <v>13398405</v>
      </c>
      <c r="DF13" s="190">
        <v>13334968</v>
      </c>
      <c r="DG13" s="190">
        <v>13275725</v>
      </c>
      <c r="DH13" s="190">
        <v>13209121</v>
      </c>
      <c r="DI13" s="190">
        <v>13157831</v>
      </c>
      <c r="DJ13" s="190">
        <v>13116788</v>
      </c>
      <c r="DK13" s="190">
        <v>13034244</v>
      </c>
      <c r="DL13" s="190">
        <v>12971841</v>
      </c>
      <c r="DM13" s="190">
        <v>12925302</v>
      </c>
      <c r="DN13" s="190">
        <v>12871648</v>
      </c>
      <c r="DO13" s="190">
        <v>12820200</v>
      </c>
      <c r="DP13" s="190">
        <v>12762669</v>
      </c>
      <c r="DQ13" s="190">
        <v>12691588</v>
      </c>
      <c r="DR13" s="190">
        <v>12639224</v>
      </c>
      <c r="DS13" s="190">
        <v>12605553</v>
      </c>
      <c r="DT13" s="190">
        <v>12560575</v>
      </c>
      <c r="DU13" s="190">
        <v>12514463</v>
      </c>
      <c r="DV13" s="190">
        <v>12480047</v>
      </c>
      <c r="DW13" s="190">
        <v>12427757</v>
      </c>
      <c r="DX13" s="190">
        <v>12371312</v>
      </c>
      <c r="DY13" s="190">
        <v>12326626</v>
      </c>
      <c r="DZ13" s="190">
        <v>12286867</v>
      </c>
      <c r="EA13" s="190">
        <v>12248929</v>
      </c>
      <c r="EB13" s="190">
        <v>12202572</v>
      </c>
      <c r="EC13" s="190">
        <v>12148099</v>
      </c>
      <c r="ED13" s="190">
        <v>12082841</v>
      </c>
      <c r="EE13" s="190">
        <v>12035351</v>
      </c>
    </row>
    <row r="14" spans="1:137" s="50" customFormat="1" ht="24.75" customHeight="1">
      <c r="A14" s="69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2"/>
      <c r="BH14" s="72"/>
      <c r="BI14" s="72"/>
      <c r="BJ14" s="72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B14" s="71"/>
      <c r="DC14" s="71"/>
      <c r="DD14" s="71"/>
      <c r="DE14" s="71"/>
      <c r="DF14" s="71"/>
      <c r="DG14" s="71"/>
      <c r="DH14" s="71"/>
      <c r="DI14" s="71"/>
      <c r="DJ14" s="71"/>
      <c r="DK14" s="71"/>
      <c r="DL14" s="71"/>
      <c r="DM14" s="71"/>
      <c r="DN14" s="71"/>
      <c r="DO14" s="71"/>
      <c r="DP14" s="71"/>
      <c r="DQ14" s="71"/>
      <c r="DR14" s="71"/>
      <c r="DS14" s="71"/>
      <c r="DT14" s="71"/>
      <c r="DU14" s="71"/>
      <c r="DV14" s="71"/>
      <c r="DW14" s="71"/>
      <c r="DX14" s="71"/>
      <c r="DY14" s="71"/>
      <c r="DZ14" s="71"/>
      <c r="EA14" s="71"/>
      <c r="EB14" s="71"/>
      <c r="EC14" s="71"/>
      <c r="ED14" s="71"/>
      <c r="EE14" s="71"/>
    </row>
    <row r="15" spans="1:137" s="74" customFormat="1" ht="24.75" customHeight="1">
      <c r="A15" s="73"/>
      <c r="AL15" s="47">
        <v>2008</v>
      </c>
      <c r="AR15" s="48"/>
      <c r="AX15" s="47">
        <v>2009</v>
      </c>
      <c r="BD15" s="48"/>
      <c r="BJ15" s="47">
        <v>2010</v>
      </c>
      <c r="BK15" s="75"/>
      <c r="BL15" s="75"/>
      <c r="BM15" s="75"/>
      <c r="BN15" s="75"/>
      <c r="BO15" s="75"/>
      <c r="BP15" s="45"/>
      <c r="BQ15" s="75"/>
      <c r="BR15" s="75"/>
      <c r="BS15" s="75"/>
      <c r="BT15" s="75"/>
      <c r="BU15" s="45"/>
      <c r="BV15" s="47">
        <v>2011</v>
      </c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7">
        <v>2011</v>
      </c>
      <c r="CH15" s="47">
        <v>2012</v>
      </c>
      <c r="CI15" s="181"/>
      <c r="CJ15" s="181"/>
      <c r="CK15" s="181"/>
      <c r="CL15" s="181"/>
      <c r="CM15" s="181"/>
      <c r="CN15" s="181"/>
      <c r="CO15" s="181"/>
      <c r="CP15" s="181"/>
      <c r="CQ15" s="181"/>
      <c r="CR15" s="181"/>
      <c r="CS15" s="181"/>
      <c r="CT15" s="47">
        <v>2013</v>
      </c>
      <c r="CU15" s="193"/>
      <c r="CV15" s="193"/>
      <c r="CW15" s="193"/>
      <c r="CX15" s="193"/>
      <c r="CY15" s="193"/>
      <c r="CZ15" s="193"/>
      <c r="DB15" s="193"/>
      <c r="DC15" s="193"/>
      <c r="DD15" s="193"/>
      <c r="DE15" s="193"/>
      <c r="DF15" s="47">
        <v>2014</v>
      </c>
      <c r="DG15" s="193"/>
      <c r="DH15" s="193"/>
      <c r="DI15" s="193"/>
      <c r="DJ15" s="193"/>
      <c r="DK15" s="193"/>
      <c r="DL15" s="193"/>
      <c r="DM15" s="193"/>
      <c r="DN15" s="193"/>
      <c r="DO15" s="193"/>
      <c r="DP15" s="193"/>
      <c r="DQ15" s="193"/>
      <c r="DR15" s="47">
        <v>2015</v>
      </c>
      <c r="DS15" s="193"/>
      <c r="DT15" s="193"/>
      <c r="DU15" s="193"/>
      <c r="DV15" s="193"/>
      <c r="DW15" s="193"/>
      <c r="DX15" s="193"/>
      <c r="DY15" s="193"/>
      <c r="DZ15" s="193"/>
      <c r="EA15" s="193"/>
      <c r="EB15" s="193"/>
      <c r="EC15" s="193"/>
      <c r="ED15" s="47">
        <v>2016</v>
      </c>
      <c r="EE15"/>
    </row>
    <row r="16" spans="1:137" s="76" customFormat="1" ht="29.25" customHeight="1">
      <c r="A16" s="49" t="s">
        <v>76</v>
      </c>
      <c r="B16" s="30">
        <v>38354</v>
      </c>
      <c r="C16" s="30">
        <v>38385</v>
      </c>
      <c r="D16" s="30">
        <v>38413</v>
      </c>
      <c r="E16" s="30">
        <v>38444</v>
      </c>
      <c r="F16" s="30">
        <v>38474</v>
      </c>
      <c r="G16" s="30">
        <v>38505</v>
      </c>
      <c r="H16" s="30">
        <v>38535</v>
      </c>
      <c r="I16" s="30">
        <v>38566</v>
      </c>
      <c r="J16" s="30">
        <v>38597</v>
      </c>
      <c r="K16" s="30">
        <v>38627</v>
      </c>
      <c r="L16" s="30">
        <v>38658</v>
      </c>
      <c r="M16" s="30">
        <v>38688</v>
      </c>
      <c r="N16" s="30">
        <v>38719</v>
      </c>
      <c r="O16" s="30">
        <v>38750</v>
      </c>
      <c r="P16" s="30">
        <v>38778</v>
      </c>
      <c r="Q16" s="30">
        <v>38809</v>
      </c>
      <c r="R16" s="30">
        <v>38839</v>
      </c>
      <c r="S16" s="30">
        <v>38870</v>
      </c>
      <c r="T16" s="30">
        <v>38900</v>
      </c>
      <c r="U16" s="30">
        <v>38931</v>
      </c>
      <c r="V16" s="30">
        <v>38962</v>
      </c>
      <c r="W16" s="30">
        <v>38992</v>
      </c>
      <c r="X16" s="30">
        <v>39023</v>
      </c>
      <c r="Y16" s="30">
        <v>39053</v>
      </c>
      <c r="Z16" s="30">
        <v>39084</v>
      </c>
      <c r="AA16" s="30">
        <v>39115</v>
      </c>
      <c r="AB16" s="30">
        <v>39143</v>
      </c>
      <c r="AC16" s="30">
        <v>39174</v>
      </c>
      <c r="AD16" s="30">
        <v>39204</v>
      </c>
      <c r="AE16" s="30">
        <v>39235</v>
      </c>
      <c r="AF16" s="30">
        <v>39264</v>
      </c>
      <c r="AG16" s="30">
        <v>39296</v>
      </c>
      <c r="AH16" s="30">
        <v>39332</v>
      </c>
      <c r="AI16" s="30">
        <v>39362</v>
      </c>
      <c r="AJ16" s="30">
        <v>39393</v>
      </c>
      <c r="AK16" s="30">
        <v>39417</v>
      </c>
      <c r="AL16" s="30">
        <v>39448</v>
      </c>
      <c r="AM16" s="30">
        <v>39480</v>
      </c>
      <c r="AN16" s="30">
        <v>39509</v>
      </c>
      <c r="AO16" s="30">
        <v>39541</v>
      </c>
      <c r="AP16" s="30">
        <v>39569</v>
      </c>
      <c r="AQ16" s="30">
        <v>39600</v>
      </c>
      <c r="AR16" s="30">
        <v>39630</v>
      </c>
      <c r="AS16" s="30">
        <v>39661</v>
      </c>
      <c r="AT16" s="30">
        <v>39692</v>
      </c>
      <c r="AU16" s="30">
        <v>39722</v>
      </c>
      <c r="AV16" s="30">
        <v>39753</v>
      </c>
      <c r="AW16" s="30">
        <v>39783</v>
      </c>
      <c r="AX16" s="30">
        <v>39814</v>
      </c>
      <c r="AY16" s="30">
        <v>39845</v>
      </c>
      <c r="AZ16" s="30">
        <v>39873</v>
      </c>
      <c r="BA16" s="30">
        <v>39904</v>
      </c>
      <c r="BB16" s="30">
        <v>39934</v>
      </c>
      <c r="BC16" s="30">
        <v>39965</v>
      </c>
      <c r="BD16" s="30">
        <v>39995</v>
      </c>
      <c r="BE16" s="30">
        <v>40027</v>
      </c>
      <c r="BF16" s="30">
        <v>40057</v>
      </c>
      <c r="BG16" s="30">
        <v>40087</v>
      </c>
      <c r="BH16" s="30">
        <v>40118</v>
      </c>
      <c r="BI16" s="30">
        <v>40148</v>
      </c>
      <c r="BJ16" s="30">
        <v>40179</v>
      </c>
      <c r="BK16" s="30">
        <v>40210</v>
      </c>
      <c r="BL16" s="30">
        <v>40238</v>
      </c>
      <c r="BM16" s="30">
        <v>40269</v>
      </c>
      <c r="BN16" s="30">
        <v>40299</v>
      </c>
      <c r="BO16" s="30">
        <v>40330</v>
      </c>
      <c r="BP16" s="30">
        <v>40360</v>
      </c>
      <c r="BQ16" s="30">
        <v>40391</v>
      </c>
      <c r="BR16" s="30">
        <v>40422</v>
      </c>
      <c r="BS16" s="30">
        <v>40452</v>
      </c>
      <c r="BT16" s="30">
        <v>40483</v>
      </c>
      <c r="BU16" s="30">
        <v>40513</v>
      </c>
      <c r="BV16" s="30">
        <v>40544</v>
      </c>
      <c r="BW16" s="30">
        <v>40575</v>
      </c>
      <c r="BX16" s="30">
        <v>40603</v>
      </c>
      <c r="BY16" s="30">
        <v>40634</v>
      </c>
      <c r="BZ16" s="30">
        <v>40664</v>
      </c>
      <c r="CA16" s="30">
        <v>40695</v>
      </c>
      <c r="CB16" s="30">
        <v>40725</v>
      </c>
      <c r="CC16" s="30">
        <v>40756</v>
      </c>
      <c r="CD16" s="30">
        <v>40787</v>
      </c>
      <c r="CE16" s="30">
        <v>40817</v>
      </c>
      <c r="CF16" s="30">
        <v>40849</v>
      </c>
      <c r="CG16" s="30">
        <v>40880</v>
      </c>
      <c r="CH16" s="3">
        <v>40909</v>
      </c>
      <c r="CI16" s="3">
        <v>40940</v>
      </c>
      <c r="CJ16" s="3">
        <v>40969</v>
      </c>
      <c r="CK16" s="3">
        <v>41000</v>
      </c>
      <c r="CL16" s="3">
        <v>41030</v>
      </c>
      <c r="CM16" s="3">
        <v>41061</v>
      </c>
      <c r="CN16" s="3">
        <v>41091</v>
      </c>
      <c r="CO16" s="3">
        <v>41122</v>
      </c>
      <c r="CP16" s="3">
        <v>41153</v>
      </c>
      <c r="CQ16" s="3">
        <v>41183</v>
      </c>
      <c r="CR16" s="3">
        <v>41214</v>
      </c>
      <c r="CS16" s="3">
        <v>41244</v>
      </c>
      <c r="CT16" s="3">
        <v>41275</v>
      </c>
      <c r="CU16" s="3">
        <v>41306</v>
      </c>
      <c r="CV16" s="3">
        <v>41334</v>
      </c>
      <c r="CW16" s="3">
        <v>41365</v>
      </c>
      <c r="CX16" s="3">
        <v>41395</v>
      </c>
      <c r="CY16" s="3">
        <v>41426</v>
      </c>
      <c r="CZ16" s="3">
        <v>41456</v>
      </c>
      <c r="DA16" s="3">
        <v>41487</v>
      </c>
      <c r="DB16" s="3">
        <v>41518</v>
      </c>
      <c r="DC16" s="3">
        <v>41548</v>
      </c>
      <c r="DD16" s="3">
        <v>41580</v>
      </c>
      <c r="DE16" s="3">
        <v>41609</v>
      </c>
      <c r="DF16" s="3">
        <v>41640</v>
      </c>
      <c r="DG16" s="3">
        <v>41671</v>
      </c>
      <c r="DH16" s="3">
        <v>41699</v>
      </c>
      <c r="DI16" s="3">
        <v>41730</v>
      </c>
      <c r="DJ16" s="3">
        <v>41760</v>
      </c>
      <c r="DK16" s="3">
        <v>41791</v>
      </c>
      <c r="DL16" s="3">
        <v>41821</v>
      </c>
      <c r="DM16" s="3">
        <v>41853</v>
      </c>
      <c r="DN16" s="3">
        <v>41885</v>
      </c>
      <c r="DO16" s="3">
        <v>41913</v>
      </c>
      <c r="DP16" s="3">
        <v>41945</v>
      </c>
      <c r="DQ16" s="3">
        <v>41976</v>
      </c>
      <c r="DR16" s="3">
        <v>42005</v>
      </c>
      <c r="DS16" s="3">
        <v>42037</v>
      </c>
      <c r="DT16" s="3">
        <v>42066</v>
      </c>
      <c r="DU16" s="3">
        <v>42095</v>
      </c>
      <c r="DV16" s="3">
        <v>42126</v>
      </c>
      <c r="DW16" s="3">
        <v>42158</v>
      </c>
      <c r="DX16" s="3">
        <v>42189</v>
      </c>
      <c r="DY16" s="3">
        <v>42221</v>
      </c>
      <c r="DZ16" s="3">
        <v>42253</v>
      </c>
      <c r="EA16" s="3">
        <v>42283</v>
      </c>
      <c r="EB16" s="3">
        <v>42315</v>
      </c>
      <c r="EC16" s="3">
        <v>42339</v>
      </c>
      <c r="ED16" s="31">
        <v>42370</v>
      </c>
      <c r="EE16" s="31">
        <v>42401</v>
      </c>
    </row>
    <row r="17" spans="1:135" s="78" customFormat="1" ht="29.25" customHeight="1">
      <c r="A17" s="77" t="s">
        <v>45</v>
      </c>
      <c r="B17" s="53">
        <v>6087593</v>
      </c>
      <c r="C17" s="53">
        <v>6107271</v>
      </c>
      <c r="D17" s="53">
        <v>6133293</v>
      </c>
      <c r="E17" s="53">
        <v>6147921</v>
      </c>
      <c r="F17" s="53">
        <v>6158558</v>
      </c>
      <c r="G17" s="53">
        <v>6172475</v>
      </c>
      <c r="H17" s="53">
        <v>6193275</v>
      </c>
      <c r="I17" s="53">
        <v>6228759</v>
      </c>
      <c r="J17" s="53">
        <v>6244040</v>
      </c>
      <c r="K17" s="53">
        <v>6240185</v>
      </c>
      <c r="L17" s="53">
        <v>6245295</v>
      </c>
      <c r="M17" s="53">
        <v>6241789</v>
      </c>
      <c r="N17" s="53">
        <v>6269282</v>
      </c>
      <c r="O17" s="53">
        <v>6287566</v>
      </c>
      <c r="P17" s="53">
        <v>6240605</v>
      </c>
      <c r="Q17" s="53">
        <v>6260449</v>
      </c>
      <c r="R17" s="53">
        <v>6285473</v>
      </c>
      <c r="S17" s="53">
        <v>6320260</v>
      </c>
      <c r="T17" s="53">
        <v>6319890</v>
      </c>
      <c r="U17" s="53">
        <v>6306557</v>
      </c>
      <c r="V17" s="53">
        <v>6333119</v>
      </c>
      <c r="W17" s="53">
        <v>6348618</v>
      </c>
      <c r="X17" s="53">
        <v>6347725</v>
      </c>
      <c r="Y17" s="53">
        <v>6352542</v>
      </c>
      <c r="Z17" s="53">
        <v>6382446</v>
      </c>
      <c r="AA17" s="53">
        <v>6413395</v>
      </c>
      <c r="AB17" s="53">
        <v>6449729</v>
      </c>
      <c r="AC17" s="53">
        <v>6492321</v>
      </c>
      <c r="AD17" s="53">
        <v>6515008</v>
      </c>
      <c r="AE17" s="53">
        <v>6522631</v>
      </c>
      <c r="AF17" s="53">
        <v>6512848</v>
      </c>
      <c r="AG17" s="53">
        <v>6511779</v>
      </c>
      <c r="AH17" s="53">
        <v>6522080</v>
      </c>
      <c r="AI17" s="53">
        <v>6520022</v>
      </c>
      <c r="AJ17" s="53">
        <v>6513293</v>
      </c>
      <c r="AK17" s="53">
        <v>6515541</v>
      </c>
      <c r="AL17" s="53">
        <v>6518821</v>
      </c>
      <c r="AM17" s="53">
        <v>6555162</v>
      </c>
      <c r="AN17" s="53">
        <v>6627175</v>
      </c>
      <c r="AO17" s="53">
        <v>6648047</v>
      </c>
      <c r="AP17" s="53">
        <v>6684230</v>
      </c>
      <c r="AQ17" s="53">
        <v>6687147</v>
      </c>
      <c r="AR17" s="53">
        <v>6741946</v>
      </c>
      <c r="AS17" s="53">
        <v>6811107</v>
      </c>
      <c r="AT17" s="53">
        <v>6754027</v>
      </c>
      <c r="AU17" s="53">
        <v>6793156</v>
      </c>
      <c r="AV17" s="53">
        <v>6771374</v>
      </c>
      <c r="AW17" s="53">
        <v>6711538</v>
      </c>
      <c r="AX17" s="53">
        <v>6683979</v>
      </c>
      <c r="AY17" s="53">
        <v>6682793</v>
      </c>
      <c r="AZ17" s="53">
        <v>6714405</v>
      </c>
      <c r="BA17" s="53">
        <v>6756487</v>
      </c>
      <c r="BB17" s="53">
        <v>6749362</v>
      </c>
      <c r="BC17" s="53">
        <v>6738094</v>
      </c>
      <c r="BD17" s="53">
        <v>6756701</v>
      </c>
      <c r="BE17" s="53">
        <v>6769580</v>
      </c>
      <c r="BF17" s="53">
        <v>6818080</v>
      </c>
      <c r="BG17" s="53">
        <v>6862156</v>
      </c>
      <c r="BH17" s="53">
        <v>6938573</v>
      </c>
      <c r="BI17" s="53">
        <v>6952833</v>
      </c>
      <c r="BJ17" s="53">
        <v>6966902</v>
      </c>
      <c r="BK17" s="53">
        <v>7014100</v>
      </c>
      <c r="BL17" s="53">
        <v>7090222</v>
      </c>
      <c r="BM17" s="53">
        <v>7130958</v>
      </c>
      <c r="BN17" s="53">
        <v>7165737</v>
      </c>
      <c r="BO17" s="53">
        <v>7188640</v>
      </c>
      <c r="BP17" s="53">
        <v>7222369</v>
      </c>
      <c r="BQ17" s="53">
        <v>7263540</v>
      </c>
      <c r="BR17" s="53">
        <v>7314768</v>
      </c>
      <c r="BS17" s="53">
        <v>7363050</v>
      </c>
      <c r="BT17" s="53">
        <v>7401598</v>
      </c>
      <c r="BU17" s="53">
        <v>7423607</v>
      </c>
      <c r="BV17" s="53">
        <v>7456261</v>
      </c>
      <c r="BW17" s="53">
        <v>7497590</v>
      </c>
      <c r="BX17" s="53">
        <v>7552180</v>
      </c>
      <c r="BY17" s="53">
        <v>7587676</v>
      </c>
      <c r="BZ17" s="53">
        <v>7601797</v>
      </c>
      <c r="CA17" s="53">
        <v>7629148</v>
      </c>
      <c r="CB17" s="53">
        <v>7657434</v>
      </c>
      <c r="CC17" s="53">
        <v>7688277</v>
      </c>
      <c r="CD17" s="53">
        <v>7724432</v>
      </c>
      <c r="CE17" s="53">
        <v>7759208</v>
      </c>
      <c r="CF17" s="53">
        <v>7791784</v>
      </c>
      <c r="CG17" s="53">
        <v>7822844</v>
      </c>
      <c r="CH17" s="53">
        <v>7845920</v>
      </c>
      <c r="CI17" s="53">
        <v>7881042</v>
      </c>
      <c r="CJ17" s="53">
        <v>7921540</v>
      </c>
      <c r="CK17" s="53">
        <v>7935867</v>
      </c>
      <c r="CL17" s="53">
        <v>7944832</v>
      </c>
      <c r="CM17" s="53">
        <v>7966681</v>
      </c>
      <c r="CN17" s="53">
        <v>7980317</v>
      </c>
      <c r="CO17" s="53">
        <v>8001299</v>
      </c>
      <c r="CP17" s="53">
        <v>8009415</v>
      </c>
      <c r="CQ17" s="53">
        <v>8017174</v>
      </c>
      <c r="CR17" s="53">
        <v>8031695</v>
      </c>
      <c r="CS17" s="53">
        <v>8036639</v>
      </c>
      <c r="CT17" s="53">
        <v>8046876</v>
      </c>
      <c r="CU17" s="53">
        <v>8047259</v>
      </c>
      <c r="CV17" s="53">
        <v>8049923</v>
      </c>
      <c r="CW17" s="53">
        <v>8039370</v>
      </c>
      <c r="CX17" s="53">
        <v>8031170</v>
      </c>
      <c r="CY17" s="53">
        <v>8038275</v>
      </c>
      <c r="CZ17" s="53">
        <v>8034466</v>
      </c>
      <c r="DA17" s="53">
        <v>8039998</v>
      </c>
      <c r="DB17" s="53">
        <v>8041344</v>
      </c>
      <c r="DC17" s="53">
        <v>8053214</v>
      </c>
      <c r="DD17" s="53">
        <v>8063827</v>
      </c>
      <c r="DE17" s="53">
        <v>8066628</v>
      </c>
      <c r="DF17" s="53">
        <v>8040740</v>
      </c>
      <c r="DG17" s="53">
        <v>8032176</v>
      </c>
      <c r="DH17" s="53">
        <v>8036899</v>
      </c>
      <c r="DI17" s="53">
        <v>8015543</v>
      </c>
      <c r="DJ17" s="53">
        <v>8026663</v>
      </c>
      <c r="DK17" s="53">
        <v>8038765</v>
      </c>
      <c r="DL17" s="53">
        <v>8047577</v>
      </c>
      <c r="DM17" s="53">
        <v>8076637</v>
      </c>
      <c r="DN17" s="53">
        <v>8106821</v>
      </c>
      <c r="DO17" s="53">
        <v>8136159</v>
      </c>
      <c r="DP17" s="53">
        <v>8159197</v>
      </c>
      <c r="DQ17" s="53">
        <v>8129482</v>
      </c>
      <c r="DR17" s="53">
        <v>8146266</v>
      </c>
      <c r="DS17" s="53">
        <v>8159536</v>
      </c>
      <c r="DT17" s="53">
        <v>8167690</v>
      </c>
      <c r="DU17" s="53">
        <v>8185194</v>
      </c>
      <c r="DV17" s="53">
        <v>8207405</v>
      </c>
      <c r="DW17" s="53">
        <v>8229330</v>
      </c>
      <c r="DX17" s="53">
        <v>8244830</v>
      </c>
      <c r="DY17" s="53">
        <v>8268802</v>
      </c>
      <c r="DZ17" s="53">
        <v>8288753</v>
      </c>
      <c r="EA17" s="53">
        <v>8313831</v>
      </c>
      <c r="EB17" s="53">
        <v>8328170</v>
      </c>
      <c r="EC17" s="53">
        <v>8328419</v>
      </c>
      <c r="ED17" s="53">
        <v>8342139</v>
      </c>
      <c r="EE17" s="53">
        <v>8354215</v>
      </c>
    </row>
    <row r="18" spans="1:135" s="78" customFormat="1" ht="29.25" customHeight="1">
      <c r="A18" s="79" t="s">
        <v>39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60">
        <v>-27559</v>
      </c>
      <c r="AY18" s="60">
        <v>-1186</v>
      </c>
      <c r="AZ18" s="60">
        <v>31612</v>
      </c>
      <c r="BA18" s="60">
        <v>42082</v>
      </c>
      <c r="BB18" s="60">
        <v>-7125</v>
      </c>
      <c r="BC18" s="60">
        <v>-11268</v>
      </c>
      <c r="BD18" s="60">
        <v>18607</v>
      </c>
      <c r="BE18" s="60">
        <v>12879</v>
      </c>
      <c r="BF18" s="60">
        <v>48500</v>
      </c>
      <c r="BG18" s="60">
        <v>44076</v>
      </c>
      <c r="BH18" s="60">
        <v>76417</v>
      </c>
      <c r="BI18" s="60">
        <v>14260</v>
      </c>
      <c r="BJ18" s="60">
        <v>14069</v>
      </c>
      <c r="BK18" s="60">
        <v>47198</v>
      </c>
      <c r="BL18" s="60">
        <v>76122</v>
      </c>
      <c r="BM18" s="60">
        <v>40736</v>
      </c>
      <c r="BN18" s="60">
        <v>34779</v>
      </c>
      <c r="BO18" s="60">
        <v>22903</v>
      </c>
      <c r="BP18" s="60">
        <v>33729</v>
      </c>
      <c r="BQ18" s="60">
        <v>41171</v>
      </c>
      <c r="BR18" s="60">
        <v>51228</v>
      </c>
      <c r="BS18" s="60">
        <v>48282</v>
      </c>
      <c r="BT18" s="60">
        <v>38548</v>
      </c>
      <c r="BU18" s="60">
        <v>22009</v>
      </c>
      <c r="BV18" s="60">
        <v>32654</v>
      </c>
      <c r="BW18" s="60">
        <v>41329</v>
      </c>
      <c r="BX18" s="60">
        <v>54590</v>
      </c>
      <c r="BY18" s="60">
        <v>35496</v>
      </c>
      <c r="BZ18" s="60">
        <v>14121</v>
      </c>
      <c r="CA18" s="60">
        <v>27351</v>
      </c>
      <c r="CB18" s="60">
        <v>28286</v>
      </c>
      <c r="CC18" s="60">
        <v>30843</v>
      </c>
      <c r="CD18" s="60">
        <v>36155</v>
      </c>
      <c r="CE18" s="60">
        <v>34776</v>
      </c>
      <c r="CF18" s="60">
        <v>32576</v>
      </c>
      <c r="CG18" s="60">
        <v>31060</v>
      </c>
      <c r="CH18" s="60">
        <v>23076</v>
      </c>
      <c r="CI18" s="60">
        <v>35122</v>
      </c>
      <c r="CJ18" s="60">
        <v>40498</v>
      </c>
      <c r="CK18" s="60">
        <v>14327</v>
      </c>
      <c r="CL18" s="60">
        <v>8965</v>
      </c>
      <c r="CM18" s="60">
        <v>21849</v>
      </c>
      <c r="CN18" s="60">
        <v>13636</v>
      </c>
      <c r="CO18" s="60">
        <v>20982</v>
      </c>
      <c r="CP18" s="60">
        <v>8116</v>
      </c>
      <c r="CQ18" s="60">
        <v>7759</v>
      </c>
      <c r="CR18" s="60">
        <v>14521</v>
      </c>
      <c r="CS18" s="60">
        <v>4944</v>
      </c>
      <c r="CT18" s="60">
        <v>10237</v>
      </c>
      <c r="CU18" s="60">
        <v>383</v>
      </c>
      <c r="CV18" s="60">
        <v>2664</v>
      </c>
      <c r="CW18" s="60">
        <v>-10553</v>
      </c>
      <c r="CX18" s="60">
        <v>-8200</v>
      </c>
      <c r="CY18" s="60">
        <v>7105</v>
      </c>
      <c r="CZ18" s="60">
        <v>-3807</v>
      </c>
      <c r="DA18" s="60">
        <v>5532</v>
      </c>
      <c r="DB18" s="60">
        <v>1346</v>
      </c>
      <c r="DC18" s="60">
        <v>11870</v>
      </c>
      <c r="DD18" s="60">
        <v>10613</v>
      </c>
      <c r="DE18" s="60">
        <v>2801</v>
      </c>
      <c r="DF18" s="60">
        <v>-25888</v>
      </c>
      <c r="DG18" s="60">
        <v>-8564</v>
      </c>
      <c r="DH18" s="60">
        <v>4723</v>
      </c>
      <c r="DI18" s="60">
        <v>-21356</v>
      </c>
      <c r="DJ18" s="60">
        <v>11120</v>
      </c>
      <c r="DK18" s="60">
        <v>12102</v>
      </c>
      <c r="DL18" s="60">
        <v>8812</v>
      </c>
      <c r="DM18" s="60">
        <v>29060</v>
      </c>
      <c r="DN18" s="60">
        <v>30184</v>
      </c>
      <c r="DO18" s="60">
        <v>29338</v>
      </c>
      <c r="DP18" s="60">
        <v>23038</v>
      </c>
      <c r="DQ18" s="60">
        <v>-29715</v>
      </c>
      <c r="DR18" s="60">
        <v>16784</v>
      </c>
      <c r="DS18" s="60">
        <v>13270</v>
      </c>
      <c r="DT18" s="60">
        <v>8154</v>
      </c>
      <c r="DU18" s="60">
        <v>17504</v>
      </c>
      <c r="DV18" s="60">
        <v>22211</v>
      </c>
      <c r="DW18" s="60">
        <v>21925</v>
      </c>
      <c r="DX18" s="60">
        <v>15500</v>
      </c>
      <c r="DY18" s="60">
        <v>23972</v>
      </c>
      <c r="DZ18" s="60">
        <v>19951</v>
      </c>
      <c r="EA18" s="60">
        <v>25078</v>
      </c>
      <c r="EB18" s="60">
        <v>14339</v>
      </c>
      <c r="EC18" s="60">
        <v>249</v>
      </c>
      <c r="ED18" s="60">
        <v>13720</v>
      </c>
      <c r="EE18" s="60">
        <v>12076</v>
      </c>
    </row>
    <row r="19" spans="1:135" s="80" customFormat="1" ht="29.25" hidden="1" customHeight="1">
      <c r="A19" s="205" t="s">
        <v>46</v>
      </c>
      <c r="B19" s="206">
        <v>4876437</v>
      </c>
      <c r="C19" s="206">
        <v>4868216</v>
      </c>
      <c r="D19" s="206">
        <v>4862075</v>
      </c>
      <c r="E19" s="206">
        <v>4854558</v>
      </c>
      <c r="F19" s="206">
        <v>4831436</v>
      </c>
      <c r="G19" s="206">
        <v>4821986</v>
      </c>
      <c r="H19" s="206">
        <v>4823780</v>
      </c>
      <c r="I19" s="206">
        <v>4837908</v>
      </c>
      <c r="J19" s="206">
        <v>4837269</v>
      </c>
      <c r="K19" s="206">
        <v>4820625</v>
      </c>
      <c r="L19" s="206">
        <v>4810788</v>
      </c>
      <c r="M19" s="206">
        <v>4788942</v>
      </c>
      <c r="N19" s="206">
        <v>4787601</v>
      </c>
      <c r="O19" s="206">
        <v>4778547</v>
      </c>
      <c r="P19" s="206">
        <v>4724684</v>
      </c>
      <c r="Q19" s="206">
        <v>4728481</v>
      </c>
      <c r="R19" s="206">
        <v>4740265</v>
      </c>
      <c r="S19" s="206">
        <v>4772280</v>
      </c>
      <c r="T19" s="206">
        <v>4778874</v>
      </c>
      <c r="U19" s="206">
        <v>4784952</v>
      </c>
      <c r="V19" s="206">
        <v>4834732</v>
      </c>
      <c r="W19" s="206">
        <v>4872555</v>
      </c>
      <c r="X19" s="206">
        <v>4900224</v>
      </c>
      <c r="Y19" s="206">
        <v>4937187</v>
      </c>
      <c r="Z19" s="206">
        <v>5585070</v>
      </c>
      <c r="AA19" s="206">
        <v>5629537</v>
      </c>
      <c r="AB19" s="206">
        <v>5686454</v>
      </c>
      <c r="AC19" s="206">
        <v>5682919</v>
      </c>
      <c r="AD19" s="206">
        <v>5699599</v>
      </c>
      <c r="AE19" s="206">
        <v>5694737</v>
      </c>
      <c r="AF19" s="206">
        <v>5671453</v>
      </c>
      <c r="AG19" s="206">
        <v>5653174</v>
      </c>
      <c r="AH19" s="206">
        <v>5639452</v>
      </c>
      <c r="AI19" s="206">
        <v>5618010</v>
      </c>
      <c r="AJ19" s="206">
        <v>5592588</v>
      </c>
      <c r="AK19" s="206">
        <v>5573114</v>
      </c>
      <c r="AL19" s="206">
        <v>5554600</v>
      </c>
      <c r="AM19" s="206">
        <v>5565964</v>
      </c>
      <c r="AN19" s="206">
        <v>5599970</v>
      </c>
      <c r="AO19" s="206">
        <v>5600582</v>
      </c>
      <c r="AP19" s="206">
        <v>5613366</v>
      </c>
      <c r="AQ19" s="206">
        <v>5596844</v>
      </c>
      <c r="AR19" s="206">
        <v>5629828</v>
      </c>
      <c r="AS19" s="206">
        <v>5662337</v>
      </c>
      <c r="AT19" s="206">
        <v>5611047</v>
      </c>
      <c r="AU19" s="206">
        <v>5624066</v>
      </c>
      <c r="AV19" s="206">
        <v>5600155</v>
      </c>
      <c r="AW19" s="206">
        <v>5552393</v>
      </c>
      <c r="AX19" s="206">
        <v>5518916</v>
      </c>
      <c r="AY19" s="206">
        <v>5512777</v>
      </c>
      <c r="AZ19" s="206">
        <v>5533193</v>
      </c>
      <c r="BA19" s="206">
        <v>5566298</v>
      </c>
      <c r="BB19" s="206">
        <v>5565764</v>
      </c>
      <c r="BC19" s="206">
        <v>5562167</v>
      </c>
      <c r="BD19" s="206">
        <v>5580583</v>
      </c>
      <c r="BE19" s="206">
        <v>5587144</v>
      </c>
      <c r="BF19" s="206">
        <v>5627214</v>
      </c>
      <c r="BG19" s="206">
        <v>5669424</v>
      </c>
      <c r="BH19" s="206">
        <v>5741276</v>
      </c>
      <c r="BI19" s="206">
        <v>5762476</v>
      </c>
      <c r="BJ19" s="206">
        <v>5776365</v>
      </c>
      <c r="BK19" s="206">
        <v>5821668</v>
      </c>
      <c r="BL19" s="206">
        <v>5895038</v>
      </c>
      <c r="BM19" s="206">
        <v>5940203</v>
      </c>
      <c r="BN19" s="206">
        <v>5982488</v>
      </c>
      <c r="BO19" s="206">
        <v>6014640</v>
      </c>
      <c r="BP19" s="206">
        <v>6056154</v>
      </c>
      <c r="BQ19" s="206">
        <v>6103488</v>
      </c>
      <c r="BR19" s="206">
        <v>6158367</v>
      </c>
      <c r="BS19" s="206">
        <v>6211503</v>
      </c>
      <c r="BT19" s="206">
        <v>6255845</v>
      </c>
      <c r="BU19" s="206">
        <v>6286709</v>
      </c>
      <c r="BV19" s="206">
        <v>6325407</v>
      </c>
      <c r="BW19" s="206">
        <v>6372847</v>
      </c>
      <c r="BX19" s="206">
        <v>6436728</v>
      </c>
      <c r="BY19" s="206">
        <v>6486004</v>
      </c>
      <c r="BZ19" s="206">
        <v>6509264</v>
      </c>
      <c r="CA19" s="206">
        <v>6546514</v>
      </c>
      <c r="CB19" s="206">
        <v>6582697</v>
      </c>
      <c r="CC19" s="206">
        <v>6621618</v>
      </c>
      <c r="CD19" s="206">
        <v>6665455</v>
      </c>
      <c r="CE19" s="206">
        <v>6708038</v>
      </c>
      <c r="CF19" s="206">
        <v>6748153</v>
      </c>
      <c r="CG19" s="206">
        <v>6786677</v>
      </c>
      <c r="CH19" s="206">
        <v>6809185</v>
      </c>
      <c r="CI19" s="206">
        <v>6842053</v>
      </c>
      <c r="CJ19" s="206">
        <v>6876224</v>
      </c>
      <c r="CK19" s="206">
        <v>6889842</v>
      </c>
      <c r="CL19" s="206">
        <v>6905673</v>
      </c>
      <c r="CM19" s="206">
        <v>6919201</v>
      </c>
      <c r="CN19" s="206">
        <v>6926623</v>
      </c>
      <c r="CO19" s="206">
        <v>6941065</v>
      </c>
      <c r="CP19" s="206">
        <v>6944042</v>
      </c>
      <c r="CQ19" s="206">
        <v>6944897</v>
      </c>
      <c r="CR19" s="206">
        <v>6947645</v>
      </c>
      <c r="CS19" s="206">
        <v>6940795</v>
      </c>
      <c r="CT19" s="206">
        <v>6941083</v>
      </c>
      <c r="CU19" s="206">
        <v>6934192</v>
      </c>
      <c r="CV19" s="206">
        <v>6928346</v>
      </c>
      <c r="CW19" s="206">
        <v>6914711</v>
      </c>
      <c r="CX19" s="206">
        <v>6903918</v>
      </c>
      <c r="CY19" s="206">
        <v>6906018</v>
      </c>
      <c r="CZ19" s="206">
        <v>6882501</v>
      </c>
      <c r="DA19" s="206">
        <v>6815467</v>
      </c>
      <c r="DB19" s="206">
        <v>6892779</v>
      </c>
      <c r="DC19" s="206">
        <v>6900664</v>
      </c>
      <c r="DD19" s="206">
        <v>6838915</v>
      </c>
      <c r="DE19" s="206">
        <v>6899113</v>
      </c>
      <c r="DF19" s="206">
        <v>6884214</v>
      </c>
      <c r="DG19" s="206">
        <v>6876219</v>
      </c>
      <c r="DH19" s="206">
        <v>6881640</v>
      </c>
      <c r="DI19" s="206">
        <v>6861461</v>
      </c>
      <c r="DJ19" s="206">
        <v>6872357</v>
      </c>
      <c r="DK19" s="206">
        <v>6884441</v>
      </c>
      <c r="DL19" s="206">
        <v>6896204</v>
      </c>
      <c r="DM19" s="206"/>
      <c r="DN19" s="206"/>
      <c r="DO19" s="206"/>
      <c r="DP19" s="206"/>
      <c r="DQ19" s="206"/>
      <c r="DR19" s="206"/>
      <c r="DS19" s="206"/>
      <c r="DT19" s="206"/>
      <c r="DU19" s="206"/>
      <c r="DV19" s="206"/>
      <c r="DW19" s="206"/>
      <c r="DX19" s="206"/>
      <c r="DY19" s="206"/>
      <c r="DZ19" s="206"/>
      <c r="EA19" s="206"/>
      <c r="EB19" s="206"/>
      <c r="EC19" s="206"/>
      <c r="ED19" s="206"/>
      <c r="EE19" s="206"/>
    </row>
    <row r="20" spans="1:135" s="80" customFormat="1" ht="29.25" hidden="1" customHeight="1">
      <c r="A20" s="205" t="s">
        <v>47</v>
      </c>
      <c r="B20" s="206">
        <v>668649</v>
      </c>
      <c r="C20" s="206">
        <v>677503</v>
      </c>
      <c r="D20" s="206">
        <v>688997</v>
      </c>
      <c r="E20" s="206">
        <v>695798</v>
      </c>
      <c r="F20" s="206">
        <v>712800</v>
      </c>
      <c r="G20" s="206">
        <v>717099</v>
      </c>
      <c r="H20" s="206">
        <v>718277</v>
      </c>
      <c r="I20" s="206">
        <v>721371</v>
      </c>
      <c r="J20" s="206">
        <v>724032</v>
      </c>
      <c r="K20" s="206">
        <v>722302</v>
      </c>
      <c r="L20" s="206">
        <v>721421</v>
      </c>
      <c r="M20" s="206">
        <v>717866</v>
      </c>
      <c r="N20" s="206">
        <v>717065</v>
      </c>
      <c r="O20" s="206">
        <v>710695</v>
      </c>
      <c r="P20" s="206">
        <v>689726</v>
      </c>
      <c r="Q20" s="206">
        <v>681112</v>
      </c>
      <c r="R20" s="206">
        <v>675793</v>
      </c>
      <c r="S20" s="206">
        <v>671292</v>
      </c>
      <c r="T20" s="206">
        <v>670890</v>
      </c>
      <c r="U20" s="206">
        <v>663125</v>
      </c>
      <c r="V20" s="206">
        <v>646839</v>
      </c>
      <c r="W20" s="206">
        <v>635543</v>
      </c>
      <c r="X20" s="206">
        <v>622950</v>
      </c>
      <c r="Y20" s="206">
        <v>604485</v>
      </c>
      <c r="Z20" s="206"/>
      <c r="AA20" s="206"/>
      <c r="AB20" s="206"/>
      <c r="AC20" s="206"/>
      <c r="AD20" s="206"/>
      <c r="AE20" s="206"/>
      <c r="AF20" s="206"/>
      <c r="AG20" s="206"/>
      <c r="AH20" s="206"/>
      <c r="AI20" s="206"/>
      <c r="AJ20" s="206"/>
      <c r="AK20" s="206"/>
      <c r="AL20" s="206"/>
      <c r="AM20" s="206"/>
      <c r="AN20" s="206"/>
      <c r="AO20" s="206"/>
      <c r="AP20" s="206"/>
      <c r="AQ20" s="206"/>
      <c r="AR20" s="206"/>
      <c r="AS20" s="206"/>
      <c r="AT20" s="206"/>
      <c r="AU20" s="206"/>
      <c r="AV20" s="206"/>
      <c r="AW20" s="206"/>
      <c r="AX20" s="206"/>
      <c r="AY20" s="206"/>
      <c r="AZ20" s="206"/>
      <c r="BA20" s="206"/>
      <c r="BB20" s="206"/>
      <c r="BC20" s="206"/>
      <c r="BD20" s="206"/>
      <c r="BE20" s="206"/>
      <c r="BF20" s="206"/>
      <c r="BG20" s="206"/>
      <c r="BH20" s="206"/>
      <c r="BI20" s="206"/>
      <c r="BJ20" s="206"/>
      <c r="BK20" s="206"/>
      <c r="BL20" s="206"/>
      <c r="BM20" s="206"/>
      <c r="BN20" s="206"/>
      <c r="BO20" s="206"/>
      <c r="BP20" s="206"/>
      <c r="BQ20" s="206"/>
      <c r="BR20" s="206"/>
      <c r="BS20" s="206"/>
      <c r="BT20" s="206"/>
      <c r="BU20" s="206"/>
      <c r="BV20" s="206"/>
      <c r="BW20" s="206"/>
      <c r="BX20" s="206"/>
      <c r="BY20" s="206"/>
      <c r="BZ20" s="206"/>
      <c r="CA20" s="206"/>
      <c r="CB20" s="206"/>
      <c r="CC20" s="206"/>
      <c r="CD20" s="206"/>
      <c r="CE20" s="206"/>
      <c r="CF20" s="206"/>
      <c r="CG20" s="206"/>
      <c r="CH20" s="206"/>
      <c r="CI20" s="206"/>
      <c r="CJ20" s="206"/>
      <c r="CK20" s="206"/>
      <c r="CL20" s="206"/>
      <c r="CM20" s="206"/>
      <c r="CN20" s="206"/>
      <c r="CO20" s="206"/>
      <c r="CP20" s="206"/>
      <c r="CQ20" s="206"/>
      <c r="CR20" s="206"/>
      <c r="CS20" s="206"/>
      <c r="CT20" s="206"/>
      <c r="CU20" s="206"/>
      <c r="CV20" s="206"/>
      <c r="CW20" s="206"/>
      <c r="CX20" s="206">
        <v>6903918</v>
      </c>
      <c r="CY20" s="206">
        <v>1132255</v>
      </c>
      <c r="CZ20" s="206">
        <v>1151965</v>
      </c>
      <c r="DA20" s="206">
        <v>1224531</v>
      </c>
      <c r="DB20" s="206">
        <v>1148565</v>
      </c>
      <c r="DC20" s="206"/>
      <c r="DD20" s="206"/>
      <c r="DE20" s="206"/>
      <c r="DF20" s="206"/>
      <c r="DG20" s="206"/>
      <c r="DH20" s="206">
        <v>1155259</v>
      </c>
      <c r="DI20" s="206">
        <v>1154082</v>
      </c>
      <c r="DJ20" s="206">
        <v>1154083</v>
      </c>
      <c r="DK20" s="206">
        <v>1154324</v>
      </c>
      <c r="DL20" s="207">
        <v>1151373</v>
      </c>
      <c r="DM20" s="207">
        <v>1144629</v>
      </c>
      <c r="DN20" s="207"/>
      <c r="DO20" s="207"/>
      <c r="DP20" s="207"/>
      <c r="DQ20" s="207"/>
      <c r="DR20" s="206"/>
      <c r="DS20" s="206"/>
      <c r="DT20" s="206"/>
      <c r="DU20" s="206"/>
      <c r="DV20" s="206"/>
      <c r="DW20" s="206"/>
      <c r="DX20" s="206"/>
      <c r="DY20" s="206"/>
      <c r="DZ20" s="206"/>
      <c r="EA20" s="206"/>
      <c r="EB20" s="206"/>
      <c r="EC20" s="206"/>
      <c r="ED20" s="207"/>
      <c r="EE20" s="207"/>
    </row>
    <row r="21" spans="1:135" s="80" customFormat="1" ht="29.25" hidden="1" customHeight="1">
      <c r="A21" s="205" t="s">
        <v>48</v>
      </c>
      <c r="B21" s="206">
        <v>3144</v>
      </c>
      <c r="C21" s="206">
        <v>4111</v>
      </c>
      <c r="D21" s="206">
        <v>4970</v>
      </c>
      <c r="E21" s="206">
        <v>5267</v>
      </c>
      <c r="F21" s="206">
        <v>5616</v>
      </c>
      <c r="G21" s="206">
        <v>5973</v>
      </c>
      <c r="H21" s="206">
        <v>6379</v>
      </c>
      <c r="I21" s="206">
        <v>6804</v>
      </c>
      <c r="J21" s="206">
        <v>7206</v>
      </c>
      <c r="K21" s="206">
        <v>7518</v>
      </c>
      <c r="L21" s="206">
        <v>7844</v>
      </c>
      <c r="M21" s="206">
        <v>8196</v>
      </c>
      <c r="N21" s="206">
        <v>8553</v>
      </c>
      <c r="O21" s="206">
        <v>8866</v>
      </c>
      <c r="P21" s="206">
        <v>8992</v>
      </c>
      <c r="Q21" s="206">
        <v>9035</v>
      </c>
      <c r="R21" s="206">
        <v>9069</v>
      </c>
      <c r="S21" s="206">
        <v>9035</v>
      </c>
      <c r="T21" s="206">
        <v>9011</v>
      </c>
      <c r="U21" s="206">
        <v>8900</v>
      </c>
      <c r="V21" s="206">
        <v>8730</v>
      </c>
      <c r="W21" s="206">
        <v>8529</v>
      </c>
      <c r="X21" s="206">
        <v>8352</v>
      </c>
      <c r="Y21" s="206">
        <v>8204</v>
      </c>
      <c r="Z21" s="206">
        <v>797376</v>
      </c>
      <c r="AA21" s="206">
        <v>783858</v>
      </c>
      <c r="AB21" s="206">
        <v>763275</v>
      </c>
      <c r="AC21" s="206">
        <v>809402</v>
      </c>
      <c r="AD21" s="206">
        <v>815409</v>
      </c>
      <c r="AE21" s="206">
        <v>827894</v>
      </c>
      <c r="AF21" s="206">
        <v>841395</v>
      </c>
      <c r="AG21" s="206">
        <v>858605</v>
      </c>
      <c r="AH21" s="206">
        <v>882628</v>
      </c>
      <c r="AI21" s="206">
        <v>902012</v>
      </c>
      <c r="AJ21" s="206">
        <v>920705</v>
      </c>
      <c r="AK21" s="206">
        <v>942427</v>
      </c>
      <c r="AL21" s="206">
        <v>964221</v>
      </c>
      <c r="AM21" s="206">
        <v>989198</v>
      </c>
      <c r="AN21" s="206">
        <v>1027205</v>
      </c>
      <c r="AO21" s="206">
        <v>1047465</v>
      </c>
      <c r="AP21" s="206">
        <v>1070864</v>
      </c>
      <c r="AQ21" s="206">
        <v>1090303</v>
      </c>
      <c r="AR21" s="206">
        <v>1112118</v>
      </c>
      <c r="AS21" s="206">
        <v>1148770</v>
      </c>
      <c r="AT21" s="206">
        <v>1142980</v>
      </c>
      <c r="AU21" s="206">
        <v>1169090</v>
      </c>
      <c r="AV21" s="206">
        <v>1171219</v>
      </c>
      <c r="AW21" s="206">
        <v>1159145</v>
      </c>
      <c r="AX21" s="206">
        <v>1165063</v>
      </c>
      <c r="AY21" s="206">
        <v>1170016</v>
      </c>
      <c r="AZ21" s="206">
        <v>1181212</v>
      </c>
      <c r="BA21" s="206">
        <v>1190189</v>
      </c>
      <c r="BB21" s="206">
        <v>1183598</v>
      </c>
      <c r="BC21" s="206">
        <v>1175927</v>
      </c>
      <c r="BD21" s="206">
        <v>1176118</v>
      </c>
      <c r="BE21" s="206">
        <v>1182436</v>
      </c>
      <c r="BF21" s="206">
        <v>1190866</v>
      </c>
      <c r="BG21" s="206">
        <v>1192732</v>
      </c>
      <c r="BH21" s="206">
        <v>1197297</v>
      </c>
      <c r="BI21" s="206">
        <v>1190357</v>
      </c>
      <c r="BJ21" s="206">
        <v>1190537</v>
      </c>
      <c r="BK21" s="206">
        <v>1192432</v>
      </c>
      <c r="BL21" s="206">
        <v>1195184</v>
      </c>
      <c r="BM21" s="206">
        <v>1190755</v>
      </c>
      <c r="BN21" s="206">
        <v>1183249</v>
      </c>
      <c r="BO21" s="206">
        <v>1174000</v>
      </c>
      <c r="BP21" s="206">
        <v>1166215</v>
      </c>
      <c r="BQ21" s="206">
        <v>1160052</v>
      </c>
      <c r="BR21" s="206">
        <v>1156401</v>
      </c>
      <c r="BS21" s="206">
        <v>1151547</v>
      </c>
      <c r="BT21" s="206">
        <v>1145753</v>
      </c>
      <c r="BU21" s="206">
        <v>1136898</v>
      </c>
      <c r="BV21" s="206">
        <v>1130854</v>
      </c>
      <c r="BW21" s="206">
        <v>1124743</v>
      </c>
      <c r="BX21" s="206">
        <v>1115452</v>
      </c>
      <c r="BY21" s="206">
        <v>1101672</v>
      </c>
      <c r="BZ21" s="206">
        <v>1092533</v>
      </c>
      <c r="CA21" s="206">
        <v>1082634</v>
      </c>
      <c r="CB21" s="206">
        <v>1074737</v>
      </c>
      <c r="CC21" s="206">
        <v>1066659</v>
      </c>
      <c r="CD21" s="206">
        <v>1058977</v>
      </c>
      <c r="CE21" s="206">
        <v>1051170</v>
      </c>
      <c r="CF21" s="206">
        <v>1043631</v>
      </c>
      <c r="CG21" s="206">
        <v>1036167</v>
      </c>
      <c r="CH21" s="206">
        <v>1036735</v>
      </c>
      <c r="CI21" s="206">
        <v>1038989</v>
      </c>
      <c r="CJ21" s="206">
        <v>1045316</v>
      </c>
      <c r="CK21" s="206">
        <v>1046025</v>
      </c>
      <c r="CL21" s="206">
        <v>1039159</v>
      </c>
      <c r="CM21" s="206">
        <v>1047480</v>
      </c>
      <c r="CN21" s="206">
        <v>1053694</v>
      </c>
      <c r="CO21" s="206">
        <v>1060234</v>
      </c>
      <c r="CP21" s="206">
        <v>1065373</v>
      </c>
      <c r="CQ21" s="206">
        <v>1072277</v>
      </c>
      <c r="CR21" s="206">
        <v>1084050</v>
      </c>
      <c r="CS21" s="206">
        <v>1095844</v>
      </c>
      <c r="CT21" s="206">
        <v>1105793</v>
      </c>
      <c r="CU21" s="206">
        <v>1113067</v>
      </c>
      <c r="CV21" s="206">
        <v>1121577</v>
      </c>
      <c r="CW21" s="206">
        <v>1124659</v>
      </c>
      <c r="CX21" s="206">
        <v>1127252</v>
      </c>
      <c r="CY21" s="206">
        <v>1132255</v>
      </c>
      <c r="CZ21" s="206">
        <v>1151965</v>
      </c>
      <c r="DA21" s="206">
        <v>1224531</v>
      </c>
      <c r="DB21" s="206">
        <v>1148565</v>
      </c>
      <c r="DC21" s="206">
        <v>1152550</v>
      </c>
      <c r="DD21" s="206">
        <v>1157905</v>
      </c>
      <c r="DE21" s="206">
        <v>1167515</v>
      </c>
      <c r="DF21" s="206">
        <v>1156526</v>
      </c>
      <c r="DG21" s="206">
        <v>1155957</v>
      </c>
      <c r="DH21" s="206">
        <v>1155259</v>
      </c>
      <c r="DI21" s="206">
        <v>1154082</v>
      </c>
      <c r="DJ21" s="206">
        <v>1154306</v>
      </c>
      <c r="DK21" s="206">
        <v>1154324</v>
      </c>
      <c r="DL21" s="206">
        <v>1151373</v>
      </c>
      <c r="DM21" s="206"/>
      <c r="DN21" s="206"/>
      <c r="DO21" s="206"/>
      <c r="DP21" s="206"/>
      <c r="DQ21" s="206"/>
      <c r="DR21" s="206"/>
      <c r="DS21" s="206"/>
      <c r="DT21" s="206"/>
      <c r="DU21" s="206"/>
      <c r="DV21" s="206"/>
      <c r="DW21" s="206"/>
      <c r="DX21" s="206"/>
      <c r="DY21" s="206"/>
      <c r="DZ21" s="206"/>
      <c r="EA21" s="206"/>
      <c r="EB21" s="206"/>
      <c r="EC21" s="206"/>
      <c r="ED21" s="206"/>
      <c r="EE21" s="206"/>
    </row>
    <row r="22" spans="1:135" s="85" customFormat="1" ht="29.25" hidden="1" customHeight="1">
      <c r="A22" s="81" t="s">
        <v>49</v>
      </c>
      <c r="B22" s="82">
        <v>539363</v>
      </c>
      <c r="C22" s="82">
        <v>557441</v>
      </c>
      <c r="D22" s="82">
        <v>577251</v>
      </c>
      <c r="E22" s="82">
        <v>592298</v>
      </c>
      <c r="F22" s="82">
        <v>608706</v>
      </c>
      <c r="G22" s="82">
        <v>627417</v>
      </c>
      <c r="H22" s="82">
        <v>644839</v>
      </c>
      <c r="I22" s="82">
        <v>662676</v>
      </c>
      <c r="J22" s="82">
        <v>675533</v>
      </c>
      <c r="K22" s="82">
        <v>689740</v>
      </c>
      <c r="L22" s="82">
        <v>705242</v>
      </c>
      <c r="M22" s="82">
        <v>726785</v>
      </c>
      <c r="N22" s="82">
        <v>756063</v>
      </c>
      <c r="O22" s="82">
        <v>789458</v>
      </c>
      <c r="P22" s="82">
        <v>817203</v>
      </c>
      <c r="Q22" s="82">
        <v>841821</v>
      </c>
      <c r="R22" s="82">
        <v>860346</v>
      </c>
      <c r="S22" s="82">
        <v>867653</v>
      </c>
      <c r="T22" s="82">
        <v>861115</v>
      </c>
      <c r="U22" s="82">
        <v>849580</v>
      </c>
      <c r="V22" s="82">
        <v>842818</v>
      </c>
      <c r="W22" s="82">
        <v>831991</v>
      </c>
      <c r="X22" s="82">
        <v>816199</v>
      </c>
      <c r="Y22" s="82">
        <v>802666</v>
      </c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195"/>
      <c r="DA22" s="84"/>
      <c r="DB22" s="195"/>
      <c r="DC22" s="195"/>
      <c r="DD22" s="195"/>
      <c r="DE22" s="195"/>
      <c r="DF22" s="195"/>
      <c r="DG22" s="195"/>
      <c r="DH22" s="195"/>
      <c r="DI22" s="195"/>
      <c r="DJ22" s="195"/>
      <c r="DK22" s="195"/>
      <c r="DL22" s="195"/>
      <c r="DM22" s="195"/>
      <c r="DN22" s="195"/>
      <c r="DO22" s="195"/>
      <c r="DP22" s="195"/>
      <c r="DQ22" s="195"/>
      <c r="DR22" s="195"/>
      <c r="DS22" s="195"/>
      <c r="DT22" s="195"/>
      <c r="DU22" s="195"/>
      <c r="DV22" s="195"/>
      <c r="DW22" s="195"/>
      <c r="DX22" s="195"/>
      <c r="DY22" s="195"/>
      <c r="DZ22" s="195"/>
      <c r="EA22" s="195"/>
      <c r="EB22" s="195"/>
      <c r="EC22" s="195"/>
      <c r="ED22" s="195"/>
      <c r="EE22" s="195"/>
    </row>
    <row r="23" spans="1:135" s="85" customFormat="1" ht="29.25" customHeight="1">
      <c r="A23" s="86" t="s">
        <v>74</v>
      </c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90"/>
      <c r="CR23" s="90"/>
      <c r="CS23" s="90"/>
      <c r="CT23" s="90"/>
      <c r="CU23" s="90"/>
      <c r="CV23" s="90"/>
      <c r="CW23" s="90"/>
      <c r="CX23" s="90"/>
      <c r="CY23" s="90"/>
      <c r="CZ23" s="196"/>
      <c r="DA23" s="90"/>
      <c r="DB23" s="196"/>
      <c r="DC23" s="196"/>
      <c r="DD23" s="196"/>
      <c r="DE23" s="196"/>
      <c r="DF23" s="196"/>
      <c r="DG23" s="196"/>
      <c r="DH23" s="196"/>
      <c r="DI23" s="196"/>
      <c r="DJ23" s="196"/>
      <c r="DK23" s="196"/>
      <c r="DL23" s="196"/>
      <c r="DM23" s="196"/>
      <c r="DN23" s="196"/>
      <c r="DO23" s="196"/>
      <c r="DP23" s="196"/>
      <c r="DQ23" s="196"/>
      <c r="DR23" s="196"/>
      <c r="DS23" s="196"/>
      <c r="DT23" s="196"/>
      <c r="DU23" s="196"/>
      <c r="DV23" s="196"/>
      <c r="DW23" s="196"/>
      <c r="DX23" s="196"/>
      <c r="DY23" s="196"/>
      <c r="DZ23" s="196"/>
      <c r="EA23" s="196"/>
      <c r="EB23" s="196"/>
      <c r="EC23" s="196"/>
      <c r="ED23" s="196"/>
      <c r="EE23" s="196"/>
    </row>
    <row r="24" spans="1:135" s="85" customFormat="1" ht="29.25" customHeight="1">
      <c r="A24" s="91" t="s">
        <v>50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4"/>
      <c r="BE24" s="94"/>
      <c r="BF24" s="94"/>
      <c r="BG24" s="94"/>
      <c r="BH24" s="94"/>
      <c r="BI24" s="94"/>
      <c r="BJ24" s="95">
        <v>0.42474098939888399</v>
      </c>
      <c r="BK24" s="95">
        <v>0.42578328073542054</v>
      </c>
      <c r="BL24" s="95">
        <v>0.42679990753961472</v>
      </c>
      <c r="BM24" s="95">
        <v>0.42774203242544839</v>
      </c>
      <c r="BN24" s="95">
        <v>0.43019807127789966</v>
      </c>
      <c r="BO24" s="95">
        <v>0.42815144085922369</v>
      </c>
      <c r="BP24" s="95">
        <v>0.4288325964522714</v>
      </c>
      <c r="BQ24" s="95">
        <v>0.42961551412423832</v>
      </c>
      <c r="BR24" s="95">
        <v>0.4309070855330272</v>
      </c>
      <c r="BS24" s="95">
        <v>0.43050446325964914</v>
      </c>
      <c r="BT24" s="95">
        <v>0.4314783401207517</v>
      </c>
      <c r="BU24" s="95">
        <v>0.43112079919532248</v>
      </c>
      <c r="BV24" s="95">
        <v>0.43203282639238794</v>
      </c>
      <c r="BW24" s="95">
        <v>0.43298035439110438</v>
      </c>
      <c r="BX24" s="95">
        <v>0.43405758068784073</v>
      </c>
      <c r="BY24" s="95">
        <v>0.43347227547071143</v>
      </c>
      <c r="BZ24" s="95">
        <v>0.43318646844788827</v>
      </c>
      <c r="CA24" s="95">
        <v>0.43334822862052469</v>
      </c>
      <c r="CB24" s="95">
        <v>0.43409155122160054</v>
      </c>
      <c r="CC24" s="95">
        <v>0.43468025268667437</v>
      </c>
      <c r="CD24" s="95">
        <v>0.43506134759756104</v>
      </c>
      <c r="CE24" s="95">
        <v>0.43615716211682831</v>
      </c>
      <c r="CF24" s="95">
        <v>0.4370349609055445</v>
      </c>
      <c r="CG24" s="95">
        <v>0.43802090559870527</v>
      </c>
      <c r="CH24" s="95">
        <v>0.43897762713108579</v>
      </c>
      <c r="CI24" s="184">
        <v>0.43979181177970594</v>
      </c>
      <c r="CJ24" s="95">
        <v>0.44098457611138797</v>
      </c>
      <c r="CK24" s="95">
        <v>0.44124604277233709</v>
      </c>
      <c r="CL24" s="95">
        <v>0.44217163233961992</v>
      </c>
      <c r="CM24" s="95">
        <v>0.44232931828587224</v>
      </c>
      <c r="CN24" s="95">
        <v>0.44252254224536114</v>
      </c>
      <c r="CO24" s="95">
        <v>0.44183167366883785</v>
      </c>
      <c r="CP24" s="95">
        <v>0.44157256744245588</v>
      </c>
      <c r="CQ24" s="95">
        <v>0.44138431236272074</v>
      </c>
      <c r="CR24" s="95">
        <v>0.44132602626758843</v>
      </c>
      <c r="CS24" s="184">
        <v>0.44111275402240507</v>
      </c>
      <c r="CT24" s="184">
        <v>0.43944694255826067</v>
      </c>
      <c r="CU24" s="184">
        <v>0.43839219023484088</v>
      </c>
      <c r="CV24" s="184">
        <v>0.43711602315966014</v>
      </c>
      <c r="CW24" s="184">
        <v>0.43574541476159906</v>
      </c>
      <c r="CX24" s="184">
        <v>0.43440515528641382</v>
      </c>
      <c r="CY24" s="184">
        <v>0.43379169159210623</v>
      </c>
      <c r="CZ24" s="184">
        <v>0.43316352122863366</v>
      </c>
      <c r="DA24" s="184">
        <v>0.43213523987435398</v>
      </c>
      <c r="DB24" s="184">
        <v>0.4313285272914521</v>
      </c>
      <c r="DC24" s="184">
        <v>0.43076271162869018</v>
      </c>
      <c r="DD24" s="184">
        <v>0.43045593382409425</v>
      </c>
      <c r="DE24" s="184">
        <v>0.43050684311696846</v>
      </c>
      <c r="DF24" s="184">
        <v>0.42854734593981564</v>
      </c>
      <c r="DG24" s="184">
        <v>0.42754418613861006</v>
      </c>
      <c r="DH24" s="184">
        <v>0.42630290695346068</v>
      </c>
      <c r="DI24" s="184">
        <v>0.42485400906216081</v>
      </c>
      <c r="DJ24" s="184">
        <v>0.42436808294468303</v>
      </c>
      <c r="DK24" s="184">
        <v>0.42396852362292037</v>
      </c>
      <c r="DL24" s="184">
        <v>0.4236080968563869</v>
      </c>
      <c r="DM24" s="184">
        <v>0.42372230729342963</v>
      </c>
      <c r="DN24" s="184">
        <v>0.42407558557018921</v>
      </c>
      <c r="DO24" s="184">
        <v>0.42446386399391822</v>
      </c>
      <c r="DP24" s="184">
        <v>0.42454270013877043</v>
      </c>
      <c r="DQ24" s="184">
        <v>0.42343403024355414</v>
      </c>
      <c r="DR24" s="184">
        <v>0.42304057364630526</v>
      </c>
      <c r="DS24" s="184">
        <v>0.42278720490262078</v>
      </c>
      <c r="DT24" s="184">
        <v>0.42243708070830205</v>
      </c>
      <c r="DU24" s="184">
        <v>0.42266904450452381</v>
      </c>
      <c r="DV24" s="184">
        <v>0.42252520148108702</v>
      </c>
      <c r="DW24" s="184">
        <v>0.42267794803606706</v>
      </c>
      <c r="DX24" s="184">
        <v>0.42261591781204177</v>
      </c>
      <c r="DY24" s="184">
        <v>0.41575216012528071</v>
      </c>
      <c r="DZ24" s="184">
        <v>0.41572100151773533</v>
      </c>
      <c r="EA24" s="184">
        <v>0.41608277182620962</v>
      </c>
      <c r="EB24" s="184">
        <v>0.41596055208146349</v>
      </c>
      <c r="EC24" s="184">
        <v>0.41548140113354665</v>
      </c>
      <c r="ED24" s="184">
        <v>0.41518437646711259</v>
      </c>
      <c r="EE24" s="184"/>
    </row>
    <row r="25" spans="1:135" s="85" customFormat="1" ht="29.25" customHeight="1">
      <c r="A25" s="81" t="s">
        <v>51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4"/>
      <c r="BE25" s="84"/>
      <c r="BF25" s="84"/>
      <c r="BG25" s="84"/>
      <c r="BH25" s="84"/>
      <c r="BI25" s="84"/>
      <c r="BJ25" s="96">
        <v>0.23391712111909332</v>
      </c>
      <c r="BK25" s="96">
        <v>0.23384584024042632</v>
      </c>
      <c r="BL25" s="96">
        <v>0.23348901912533437</v>
      </c>
      <c r="BM25" s="96">
        <v>0.23286237044621658</v>
      </c>
      <c r="BN25" s="96">
        <v>0.22969541867265036</v>
      </c>
      <c r="BO25" s="96">
        <v>0.23283950806991827</v>
      </c>
      <c r="BP25" s="96">
        <v>0.23218210548422269</v>
      </c>
      <c r="BQ25" s="96">
        <v>0.23166324906306954</v>
      </c>
      <c r="BR25" s="96">
        <v>0.23125021980492927</v>
      </c>
      <c r="BS25" s="96">
        <v>0.23141536312246513</v>
      </c>
      <c r="BT25" s="96">
        <v>0.23221143843465938</v>
      </c>
      <c r="BU25" s="96">
        <v>0.23240795803783193</v>
      </c>
      <c r="BV25" s="96">
        <v>0.23304284160107985</v>
      </c>
      <c r="BW25" s="96">
        <v>0.23314241039449912</v>
      </c>
      <c r="BX25" s="96">
        <v>0.23293732270561321</v>
      </c>
      <c r="BY25" s="96">
        <v>0.23206827491290907</v>
      </c>
      <c r="BZ25" s="96">
        <v>0.23288235225735951</v>
      </c>
      <c r="CA25" s="96">
        <v>0.23351268077055534</v>
      </c>
      <c r="CB25" s="96">
        <v>0.23332824644889358</v>
      </c>
      <c r="CC25" s="96">
        <v>0.23353977828374314</v>
      </c>
      <c r="CD25" s="96">
        <v>0.23381927298465752</v>
      </c>
      <c r="CE25" s="96">
        <v>0.23369853607118091</v>
      </c>
      <c r="CF25" s="96">
        <v>0.23408980655562761</v>
      </c>
      <c r="CG25" s="96">
        <v>0.23471468049368846</v>
      </c>
      <c r="CH25" s="96">
        <v>0.23504772461689216</v>
      </c>
      <c r="CI25" s="182">
        <v>0.23552308049280082</v>
      </c>
      <c r="CJ25" s="96">
        <v>0.23612437890045171</v>
      </c>
      <c r="CK25" s="96">
        <v>0.23679040611829916</v>
      </c>
      <c r="CL25" s="96">
        <v>0.23827939337555562</v>
      </c>
      <c r="CM25" s="96">
        <v>0.23888349766300629</v>
      </c>
      <c r="CN25" s="96">
        <v>0.23951590400547951</v>
      </c>
      <c r="CO25" s="96">
        <v>0.2390895923952793</v>
      </c>
      <c r="CP25" s="96">
        <v>0.23971368129771614</v>
      </c>
      <c r="CQ25" s="96">
        <v>0.24019715362020874</v>
      </c>
      <c r="CR25" s="96">
        <v>0.24069100257453621</v>
      </c>
      <c r="CS25" s="182">
        <v>0.24118337255700953</v>
      </c>
      <c r="CT25" s="182">
        <v>0.24083013773245052</v>
      </c>
      <c r="CU25" s="182">
        <v>0.24082003231478935</v>
      </c>
      <c r="CV25" s="182">
        <v>0.2408875505830885</v>
      </c>
      <c r="CW25" s="182">
        <v>0.24090132655309479</v>
      </c>
      <c r="CX25" s="182">
        <v>0.24069944510797722</v>
      </c>
      <c r="CY25" s="182">
        <v>0.24073481949664507</v>
      </c>
      <c r="CZ25" s="182">
        <v>0.24083168826284437</v>
      </c>
      <c r="DA25" s="182">
        <v>0.24103230469712847</v>
      </c>
      <c r="DB25" s="182">
        <v>0.24151502960865087</v>
      </c>
      <c r="DC25" s="182">
        <v>0.24207857356662474</v>
      </c>
      <c r="DD25" s="182">
        <v>0.24292456242046551</v>
      </c>
      <c r="DE25" s="182">
        <v>0.24384798324900517</v>
      </c>
      <c r="DF25" s="182">
        <v>0.24465221866630538</v>
      </c>
      <c r="DG25" s="182">
        <v>0.24530305203011438</v>
      </c>
      <c r="DH25" s="182">
        <v>0.24570637772970294</v>
      </c>
      <c r="DI25" s="182">
        <v>0.24594067966312075</v>
      </c>
      <c r="DJ25" s="182">
        <v>0.2464682311440248</v>
      </c>
      <c r="DK25" s="182">
        <v>0.24693673918855252</v>
      </c>
      <c r="DL25" s="182">
        <v>0.24738276129723955</v>
      </c>
      <c r="DM25" s="182">
        <v>0.24775118570982788</v>
      </c>
      <c r="DN25" s="182">
        <v>0.24802624210673394</v>
      </c>
      <c r="DO25" s="182">
        <v>0.24841867345739929</v>
      </c>
      <c r="DP25" s="182">
        <v>0.24920138052395599</v>
      </c>
      <c r="DQ25" s="182">
        <v>0.25056042174008203</v>
      </c>
      <c r="DR25" s="182">
        <v>0.25175248935876859</v>
      </c>
      <c r="DS25" s="182">
        <v>0.2525178513395655</v>
      </c>
      <c r="DT25" s="182">
        <v>0.25295233593090966</v>
      </c>
      <c r="DU25" s="182">
        <v>0.25326544763231423</v>
      </c>
      <c r="DV25" s="182">
        <v>0.25363357860928476</v>
      </c>
      <c r="DW25" s="182">
        <v>0.25386203983419403</v>
      </c>
      <c r="DX25" s="182">
        <v>0.25416850384934409</v>
      </c>
      <c r="DY25" s="182">
        <v>0.25031941380809891</v>
      </c>
      <c r="DZ25" s="182">
        <v>0.25050697756509233</v>
      </c>
      <c r="EA25" s="182">
        <v>0.25073365231659067</v>
      </c>
      <c r="EB25" s="182">
        <v>0.25092313088035495</v>
      </c>
      <c r="EC25" s="182">
        <v>0.25123472036510236</v>
      </c>
      <c r="ED25" s="182">
        <v>0.25151123947890702</v>
      </c>
      <c r="EE25" s="182"/>
    </row>
    <row r="26" spans="1:135" s="85" customFormat="1" ht="29.25" customHeight="1">
      <c r="A26" s="81" t="s">
        <v>52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4"/>
      <c r="BE26" s="84"/>
      <c r="BF26" s="84"/>
      <c r="BG26" s="84"/>
      <c r="BH26" s="84"/>
      <c r="BI26" s="84"/>
      <c r="BJ26" s="96">
        <v>0.15526461577348177</v>
      </c>
      <c r="BK26" s="96">
        <v>0.15543284193115156</v>
      </c>
      <c r="BL26" s="96">
        <v>0.15574235576541068</v>
      </c>
      <c r="BM26" s="96">
        <v>0.1562431299792186</v>
      </c>
      <c r="BN26" s="96">
        <v>0.1568097703092641</v>
      </c>
      <c r="BO26" s="96">
        <v>0.15726773884396419</v>
      </c>
      <c r="BP26" s="96">
        <v>0.15846389585612244</v>
      </c>
      <c r="BQ26" s="96">
        <v>0.15868721436137578</v>
      </c>
      <c r="BR26" s="96">
        <v>0.15943325585399803</v>
      </c>
      <c r="BS26" s="96">
        <v>0.15912437284789427</v>
      </c>
      <c r="BT26" s="96">
        <v>0.15989274365232733</v>
      </c>
      <c r="BU26" s="96">
        <v>0.16106721984375691</v>
      </c>
      <c r="BV26" s="96">
        <v>0.16051166980868384</v>
      </c>
      <c r="BW26" s="96">
        <v>0.16022333028956176</v>
      </c>
      <c r="BX26" s="96">
        <v>0.16017751106556066</v>
      </c>
      <c r="BY26" s="96">
        <v>0.15968119803416386</v>
      </c>
      <c r="BZ26" s="96">
        <v>0.16029455642960025</v>
      </c>
      <c r="CA26" s="96">
        <v>0.16012295513333877</v>
      </c>
      <c r="CB26" s="96">
        <v>0.15990749731181211</v>
      </c>
      <c r="CC26" s="96">
        <v>0.1595667398137218</v>
      </c>
      <c r="CD26" s="96">
        <v>0.1595619350721334</v>
      </c>
      <c r="CE26" s="96">
        <v>0.15954380049484157</v>
      </c>
      <c r="CF26" s="96">
        <v>0.15863911437839448</v>
      </c>
      <c r="CG26" s="96">
        <v>0.15732167971796782</v>
      </c>
      <c r="CH26" s="96">
        <v>0.15633755094089094</v>
      </c>
      <c r="CI26" s="182">
        <v>0.15531532530971925</v>
      </c>
      <c r="CJ26" s="96">
        <v>0.15393014559014309</v>
      </c>
      <c r="CK26" s="96">
        <v>0.15320768619452216</v>
      </c>
      <c r="CL26" s="96">
        <v>0.15335443112651351</v>
      </c>
      <c r="CM26" s="96">
        <v>0.15298933203544152</v>
      </c>
      <c r="CN26" s="96">
        <v>0.15237469900790165</v>
      </c>
      <c r="CO26" s="96">
        <v>0.15092833367100358</v>
      </c>
      <c r="CP26" s="96">
        <v>0.15083224866331846</v>
      </c>
      <c r="CQ26" s="96">
        <v>0.15077101014198427</v>
      </c>
      <c r="CR26" s="96">
        <v>0.15066064597154372</v>
      </c>
      <c r="CS26" s="182">
        <v>0.15056529132505697</v>
      </c>
      <c r="CT26" s="182">
        <v>0.15048316152842953</v>
      </c>
      <c r="CU26" s="182">
        <v>0.15111127236364233</v>
      </c>
      <c r="CV26" s="182">
        <v>0.15213460999945319</v>
      </c>
      <c r="CW26" s="182">
        <v>0.15301277338189059</v>
      </c>
      <c r="CX26" s="182">
        <v>0.15389868345732449</v>
      </c>
      <c r="CY26" s="182">
        <v>0.15454517245166219</v>
      </c>
      <c r="CZ26" s="182">
        <v>0.15493426259508666</v>
      </c>
      <c r="DA26" s="182">
        <v>0.15534013405440456</v>
      </c>
      <c r="DB26" s="182">
        <v>0.15562859380363886</v>
      </c>
      <c r="DC26" s="182">
        <v>0.15595699098658461</v>
      </c>
      <c r="DD26" s="182">
        <v>0.15625672101378391</v>
      </c>
      <c r="DE26" s="182">
        <v>0.15627243827542972</v>
      </c>
      <c r="DF26" s="182">
        <v>0.15671312264423914</v>
      </c>
      <c r="DG26" s="182">
        <v>0.15691576424989198</v>
      </c>
      <c r="DH26" s="182">
        <v>0.15716522243271536</v>
      </c>
      <c r="DI26" s="182">
        <v>0.15781226297375964</v>
      </c>
      <c r="DJ26" s="182">
        <v>0.1577507473278677</v>
      </c>
      <c r="DK26" s="182">
        <v>0.15785227795996984</v>
      </c>
      <c r="DL26" s="182">
        <v>0.1577577783914195</v>
      </c>
      <c r="DM26" s="182">
        <v>0.15772075943347821</v>
      </c>
      <c r="DN26" s="182">
        <v>0.15747414020791409</v>
      </c>
      <c r="DO26" s="182">
        <v>0.15720345340723674</v>
      </c>
      <c r="DP26" s="182">
        <v>0.15685774182453735</v>
      </c>
      <c r="DQ26" s="182">
        <v>0.15699809166488099</v>
      </c>
      <c r="DR26" s="182">
        <v>0.15715740142336612</v>
      </c>
      <c r="DS26" s="182">
        <v>0.15721210284759229</v>
      </c>
      <c r="DT26" s="182">
        <v>0.15775189568594067</v>
      </c>
      <c r="DU26" s="182">
        <v>0.15814981617817922</v>
      </c>
      <c r="DV26" s="182">
        <v>0.15839619675039737</v>
      </c>
      <c r="DW26" s="182">
        <v>0.15855540028138365</v>
      </c>
      <c r="DX26" s="182">
        <v>0.15880383235708495</v>
      </c>
      <c r="DY26" s="182">
        <v>0.17278815082496024</v>
      </c>
      <c r="DZ26" s="182">
        <v>0.17280701389223602</v>
      </c>
      <c r="EA26" s="182">
        <v>0.1731104671167065</v>
      </c>
      <c r="EB26" s="182">
        <v>0.17338638020715491</v>
      </c>
      <c r="EC26" s="182">
        <v>0.17376924691349219</v>
      </c>
      <c r="ED26" s="182">
        <v>0.17417500650612242</v>
      </c>
      <c r="EE26" s="182"/>
    </row>
    <row r="27" spans="1:135" s="85" customFormat="1" ht="29.25" customHeight="1">
      <c r="A27" s="97" t="s">
        <v>53</v>
      </c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100"/>
      <c r="BE27" s="100"/>
      <c r="BF27" s="100"/>
      <c r="BG27" s="100"/>
      <c r="BH27" s="100"/>
      <c r="BI27" s="100"/>
      <c r="BJ27" s="101">
        <v>0.18607727370854091</v>
      </c>
      <c r="BK27" s="101">
        <v>0.18493803709300155</v>
      </c>
      <c r="BL27" s="101">
        <v>0.18396871756964026</v>
      </c>
      <c r="BM27" s="101">
        <v>0.18315246714911645</v>
      </c>
      <c r="BN27" s="101">
        <v>0.1832967397401859</v>
      </c>
      <c r="BO27" s="101">
        <v>0.18174131222689388</v>
      </c>
      <c r="BP27" s="101">
        <v>0.18052140220738347</v>
      </c>
      <c r="BQ27" s="101">
        <v>0.18003402245131639</v>
      </c>
      <c r="BR27" s="101">
        <v>0.17840943880804552</v>
      </c>
      <c r="BS27" s="101">
        <v>0.17895580076999143</v>
      </c>
      <c r="BT27" s="101">
        <v>0.17641747779226158</v>
      </c>
      <c r="BU27" s="101">
        <v>0.17540402292308871</v>
      </c>
      <c r="BV27" s="101">
        <v>0.17441266219784834</v>
      </c>
      <c r="BW27" s="101">
        <v>0.17365390492483471</v>
      </c>
      <c r="BX27" s="101">
        <v>0.1728275855409854</v>
      </c>
      <c r="BY27" s="101">
        <v>0.17477825158221566</v>
      </c>
      <c r="BZ27" s="101">
        <v>0.17363662286515197</v>
      </c>
      <c r="CA27" s="101">
        <v>0.17301613547558123</v>
      </c>
      <c r="CB27" s="101">
        <v>0.17267270501769375</v>
      </c>
      <c r="CC27" s="101">
        <v>0.17221322921586066</v>
      </c>
      <c r="CD27" s="101">
        <v>0.17155744434564807</v>
      </c>
      <c r="CE27" s="101">
        <v>0.17060050131714921</v>
      </c>
      <c r="CF27" s="101">
        <v>0.17023611816043341</v>
      </c>
      <c r="CG27" s="101">
        <v>0.16994273418963846</v>
      </c>
      <c r="CH27" s="101">
        <v>0.16963709731113111</v>
      </c>
      <c r="CI27" s="183">
        <v>0.16936978241777398</v>
      </c>
      <c r="CJ27" s="101">
        <v>0.1689608993980172</v>
      </c>
      <c r="CK27" s="101">
        <v>0.1687558649148416</v>
      </c>
      <c r="CL27" s="101">
        <v>0.16619454315831092</v>
      </c>
      <c r="CM27" s="101">
        <v>0.16579785201567998</v>
      </c>
      <c r="CN27" s="101">
        <v>0.1655868547412577</v>
      </c>
      <c r="CO27" s="101">
        <v>0.16815040026487926</v>
      </c>
      <c r="CP27" s="101">
        <v>0.16788150259650952</v>
      </c>
      <c r="CQ27" s="101">
        <v>0.16764752387508627</v>
      </c>
      <c r="CR27" s="101">
        <v>0.16732232518633161</v>
      </c>
      <c r="CS27" s="183">
        <v>0.16713858209552845</v>
      </c>
      <c r="CT27" s="183">
        <v>0.16923975818085932</v>
      </c>
      <c r="CU27" s="183">
        <v>0.16967650508672744</v>
      </c>
      <c r="CV27" s="183">
        <v>0.16986181625779817</v>
      </c>
      <c r="CW27" s="183">
        <v>0.17034048530341558</v>
      </c>
      <c r="CX27" s="183">
        <v>0.17099671614828443</v>
      </c>
      <c r="CY27" s="183">
        <v>0.17092831645958653</v>
      </c>
      <c r="CZ27" s="183">
        <v>0.1710705279134353</v>
      </c>
      <c r="DA27" s="183">
        <v>0.17149232137411299</v>
      </c>
      <c r="DB27" s="183">
        <v>0.17152784929625817</v>
      </c>
      <c r="DC27" s="183">
        <v>0.17120172381810048</v>
      </c>
      <c r="DD27" s="183">
        <v>0.17036278274165637</v>
      </c>
      <c r="DE27" s="183">
        <v>0.16937273535859668</v>
      </c>
      <c r="DF27" s="183">
        <v>0.17008731274963984</v>
      </c>
      <c r="DG27" s="183">
        <v>0.17023699758138358</v>
      </c>
      <c r="DH27" s="183">
        <v>0.17082549288412102</v>
      </c>
      <c r="DI27" s="183">
        <v>0.17139304830095881</v>
      </c>
      <c r="DJ27" s="183">
        <v>0.17141293858342449</v>
      </c>
      <c r="DK27" s="183">
        <v>0.17124245922855724</v>
      </c>
      <c r="DL27" s="183">
        <v>0.17125136345495406</v>
      </c>
      <c r="DM27" s="183">
        <v>0.17080574756326428</v>
      </c>
      <c r="DN27" s="183">
        <v>0.17042403211516274</v>
      </c>
      <c r="DO27" s="183">
        <v>0.16991400914144572</v>
      </c>
      <c r="DP27" s="183">
        <v>0.16939817751273623</v>
      </c>
      <c r="DQ27" s="183">
        <v>0.16900745635148284</v>
      </c>
      <c r="DR27" s="183">
        <v>0.16804953557155999</v>
      </c>
      <c r="DS27" s="183">
        <v>0.16748284091022142</v>
      </c>
      <c r="DT27" s="183">
        <v>0.16685868767484766</v>
      </c>
      <c r="DU27" s="183">
        <v>0.16591569168498274</v>
      </c>
      <c r="DV27" s="183">
        <v>0.16544502315923085</v>
      </c>
      <c r="DW27" s="183">
        <v>0.16490461184835525</v>
      </c>
      <c r="DX27" s="183">
        <v>0.16441174598152919</v>
      </c>
      <c r="DY27" s="183">
        <v>0.16114027524166016</v>
      </c>
      <c r="DZ27" s="183">
        <v>0.16096500702493632</v>
      </c>
      <c r="EA27" s="183">
        <v>0.16007310874049324</v>
      </c>
      <c r="EB27" s="183">
        <v>0.15972993683102668</v>
      </c>
      <c r="EC27" s="183">
        <v>0.15951463158785881</v>
      </c>
      <c r="ED27" s="183">
        <v>0.159129377547858</v>
      </c>
      <c r="EE27" s="183"/>
    </row>
    <row r="28" spans="1:135" s="74" customFormat="1" ht="24.75" customHeight="1">
      <c r="A28" s="138" t="s">
        <v>90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2"/>
      <c r="BK28" s="102"/>
      <c r="BL28" s="102"/>
      <c r="BM28" s="105"/>
      <c r="BN28" s="105"/>
      <c r="BO28" s="105"/>
      <c r="BP28" s="105"/>
      <c r="BQ28" s="105"/>
      <c r="BR28" s="102"/>
      <c r="BS28" s="102"/>
      <c r="BT28" s="102"/>
      <c r="BU28" s="102"/>
      <c r="BV28" s="102"/>
      <c r="BW28" s="102"/>
      <c r="BX28" s="102"/>
      <c r="BY28" s="102"/>
      <c r="BZ28" s="102"/>
      <c r="CA28" s="102"/>
      <c r="CB28" s="102"/>
      <c r="CC28" s="102"/>
      <c r="CD28" s="102"/>
      <c r="CE28" s="102"/>
      <c r="CF28" s="102"/>
      <c r="CG28" s="102"/>
      <c r="CH28" s="102"/>
      <c r="CI28" s="102"/>
      <c r="CJ28" s="102"/>
      <c r="CK28" s="102"/>
      <c r="CL28" s="102"/>
      <c r="CM28" s="102">
        <v>0.16579785201567998</v>
      </c>
      <c r="CN28" s="102"/>
      <c r="CO28" s="102"/>
      <c r="CP28" s="102"/>
      <c r="CQ28" s="102"/>
      <c r="CR28" s="102"/>
      <c r="CS28" s="102">
        <v>0.16713858209552845</v>
      </c>
      <c r="CT28" s="102"/>
      <c r="CU28" s="102"/>
      <c r="CV28" s="102"/>
      <c r="CW28" s="102"/>
      <c r="CX28" s="102"/>
      <c r="CY28" s="102"/>
      <c r="CZ28" s="102">
        <v>0.1710705279134353</v>
      </c>
      <c r="DA28" s="74">
        <v>0.17149232137411299</v>
      </c>
      <c r="DB28" s="102"/>
      <c r="DC28" s="102"/>
      <c r="DD28" s="102"/>
      <c r="DE28" s="102"/>
      <c r="DF28" s="102"/>
      <c r="DG28" s="102"/>
      <c r="DH28" s="102"/>
      <c r="DI28" s="102"/>
      <c r="DJ28" s="102"/>
      <c r="DK28" s="102"/>
      <c r="DL28" s="102"/>
      <c r="DM28" s="102"/>
      <c r="DN28" s="102"/>
      <c r="DO28" s="102"/>
      <c r="DP28" s="102"/>
      <c r="DQ28" s="102"/>
      <c r="DR28" s="102"/>
      <c r="DS28" s="102"/>
      <c r="DT28" s="102"/>
      <c r="DU28" s="102"/>
      <c r="DV28" s="102"/>
      <c r="DW28" s="102"/>
      <c r="DX28" s="102"/>
      <c r="DY28" s="102"/>
      <c r="DZ28" s="102"/>
      <c r="EA28" s="102"/>
      <c r="EB28" s="102"/>
      <c r="EC28" s="102"/>
      <c r="ED28" s="102"/>
      <c r="EE28" s="102"/>
    </row>
    <row r="29" spans="1:135" s="74" customFormat="1" ht="24.75" customHeight="1">
      <c r="A29" s="138" t="s">
        <v>120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2"/>
      <c r="BK29" s="102"/>
      <c r="BL29" s="102"/>
      <c r="BM29" s="105"/>
      <c r="BN29" s="105"/>
      <c r="BO29" s="105"/>
      <c r="BP29" s="105"/>
      <c r="BQ29" s="105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102"/>
      <c r="CQ29" s="189"/>
      <c r="CR29" s="189"/>
      <c r="CS29" s="102"/>
      <c r="CT29" s="102"/>
      <c r="CU29" s="102"/>
      <c r="CV29" s="102"/>
      <c r="CW29" s="102"/>
      <c r="CX29" s="102"/>
      <c r="CY29" s="102"/>
      <c r="CZ29" s="102"/>
      <c r="DB29" s="102"/>
      <c r="DC29" s="102"/>
      <c r="DD29" s="102"/>
      <c r="DE29" s="102"/>
      <c r="DF29" s="102"/>
      <c r="DG29" s="102"/>
      <c r="DH29" s="102"/>
      <c r="DI29" s="102"/>
      <c r="DJ29" s="102"/>
      <c r="DK29" s="102"/>
      <c r="DL29" s="102"/>
      <c r="DM29" s="102"/>
      <c r="DN29" s="102"/>
      <c r="DO29" s="102"/>
      <c r="DP29" s="102"/>
      <c r="DQ29" s="102">
        <v>0.16900745635148284</v>
      </c>
      <c r="DR29" s="102"/>
      <c r="DS29" s="102"/>
      <c r="DT29" s="102"/>
      <c r="DU29" s="102"/>
      <c r="DV29" s="102"/>
      <c r="DW29" s="102"/>
      <c r="DX29" s="102"/>
      <c r="DY29" s="102"/>
      <c r="DZ29" s="102"/>
      <c r="EA29" s="102"/>
      <c r="EB29" s="102"/>
      <c r="EC29" s="102"/>
      <c r="ED29" s="102"/>
      <c r="EE29" s="102"/>
    </row>
    <row r="30" spans="1:135" s="74" customFormat="1" ht="24.75" customHeight="1">
      <c r="A30" s="138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2"/>
      <c r="BK30" s="102"/>
      <c r="BL30" s="102"/>
      <c r="BM30" s="105"/>
      <c r="BN30" s="105"/>
      <c r="BO30" s="105"/>
      <c r="BP30" s="105"/>
      <c r="BQ30" s="105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2"/>
      <c r="DP30" s="102"/>
      <c r="DQ30" s="102"/>
      <c r="DR30" s="102"/>
      <c r="DS30" s="102"/>
      <c r="DT30" s="102"/>
      <c r="DU30" s="102"/>
      <c r="DV30" s="102"/>
      <c r="DW30" s="102"/>
      <c r="DX30" s="102"/>
      <c r="DY30" s="102"/>
      <c r="DZ30" s="102"/>
      <c r="EA30" s="102"/>
      <c r="EB30" s="102"/>
      <c r="EC30" s="102"/>
      <c r="ED30" s="102"/>
      <c r="EE30" s="102"/>
    </row>
    <row r="31" spans="1:135" s="74" customFormat="1" ht="24.75" customHeight="1">
      <c r="A31" s="73"/>
      <c r="AL31" s="47">
        <v>2008</v>
      </c>
      <c r="AR31" s="48"/>
      <c r="AX31" s="47">
        <v>2009</v>
      </c>
      <c r="BD31" s="48"/>
      <c r="BG31" s="106"/>
      <c r="BJ31" s="47">
        <v>2010</v>
      </c>
      <c r="BP31" s="45"/>
      <c r="BU31" s="45"/>
      <c r="BV31" s="47">
        <v>2011</v>
      </c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7">
        <v>2011</v>
      </c>
      <c r="CH31" s="47">
        <v>2012</v>
      </c>
      <c r="CI31" s="181"/>
      <c r="CJ31" s="181"/>
      <c r="CK31" s="181"/>
      <c r="CL31" s="181"/>
      <c r="CM31" s="181"/>
      <c r="CN31" s="181"/>
      <c r="CO31" s="181"/>
      <c r="CP31" s="181"/>
      <c r="CQ31" s="181"/>
      <c r="CR31" s="181"/>
      <c r="CS31" s="181"/>
      <c r="CT31" s="47">
        <v>2013</v>
      </c>
      <c r="CU31" s="193"/>
      <c r="CV31" s="193"/>
      <c r="CW31" s="193"/>
      <c r="CX31" s="193"/>
      <c r="CY31" s="193"/>
      <c r="CZ31" s="193"/>
      <c r="DB31" s="193"/>
      <c r="DC31" s="193"/>
      <c r="DD31" s="193"/>
      <c r="DE31" s="193"/>
      <c r="DF31" s="47">
        <v>2014</v>
      </c>
      <c r="DG31" s="193"/>
      <c r="DH31" s="193"/>
      <c r="DI31" s="193"/>
      <c r="DJ31" s="193"/>
      <c r="DK31" s="193"/>
      <c r="DL31" s="193"/>
      <c r="DM31" s="193"/>
      <c r="DN31" s="193"/>
      <c r="DO31" s="193"/>
      <c r="DP31" s="193"/>
      <c r="DQ31" s="193"/>
      <c r="DR31" s="47">
        <v>2015</v>
      </c>
      <c r="DS31" s="193"/>
      <c r="DT31" s="193"/>
      <c r="DU31" s="193"/>
      <c r="DV31" s="193"/>
      <c r="DW31" s="193"/>
      <c r="DX31" s="193"/>
      <c r="DY31" s="193"/>
      <c r="DZ31" s="193"/>
      <c r="EA31" s="193"/>
      <c r="EB31" s="193"/>
      <c r="EC31" s="193"/>
      <c r="ED31" s="47">
        <v>2016</v>
      </c>
      <c r="EE31"/>
    </row>
    <row r="32" spans="1:135" s="76" customFormat="1" ht="29.25" customHeight="1">
      <c r="A32" s="49" t="s">
        <v>55</v>
      </c>
      <c r="B32" s="30">
        <v>38355</v>
      </c>
      <c r="C32" s="30">
        <v>38385</v>
      </c>
      <c r="D32" s="30">
        <v>38413</v>
      </c>
      <c r="E32" s="30">
        <v>38444</v>
      </c>
      <c r="F32" s="30">
        <v>38474</v>
      </c>
      <c r="G32" s="30">
        <v>38505</v>
      </c>
      <c r="H32" s="30">
        <v>38535</v>
      </c>
      <c r="I32" s="30">
        <v>38566</v>
      </c>
      <c r="J32" s="30">
        <v>38597</v>
      </c>
      <c r="K32" s="30">
        <v>38627</v>
      </c>
      <c r="L32" s="30">
        <v>38658</v>
      </c>
      <c r="M32" s="30">
        <v>38688</v>
      </c>
      <c r="N32" s="30">
        <v>38719</v>
      </c>
      <c r="O32" s="30">
        <v>38750</v>
      </c>
      <c r="P32" s="30">
        <v>38778</v>
      </c>
      <c r="Q32" s="30">
        <v>38809</v>
      </c>
      <c r="R32" s="30">
        <v>38839</v>
      </c>
      <c r="S32" s="30">
        <v>38870</v>
      </c>
      <c r="T32" s="30">
        <v>38900</v>
      </c>
      <c r="U32" s="30">
        <v>38931</v>
      </c>
      <c r="V32" s="30">
        <v>38962</v>
      </c>
      <c r="W32" s="30">
        <v>38992</v>
      </c>
      <c r="X32" s="30">
        <v>39023</v>
      </c>
      <c r="Y32" s="30">
        <v>39053</v>
      </c>
      <c r="Z32" s="30">
        <v>39084</v>
      </c>
      <c r="AA32" s="30">
        <v>39115</v>
      </c>
      <c r="AB32" s="30">
        <v>39143</v>
      </c>
      <c r="AC32" s="30">
        <v>39174</v>
      </c>
      <c r="AD32" s="30">
        <v>39204</v>
      </c>
      <c r="AE32" s="30">
        <v>39235</v>
      </c>
      <c r="AF32" s="30">
        <v>39264</v>
      </c>
      <c r="AG32" s="30">
        <v>39324</v>
      </c>
      <c r="AH32" s="30">
        <v>39332</v>
      </c>
      <c r="AI32" s="30">
        <v>39362</v>
      </c>
      <c r="AJ32" s="30">
        <v>39393</v>
      </c>
      <c r="AK32" s="30">
        <v>39417</v>
      </c>
      <c r="AL32" s="30">
        <v>39448</v>
      </c>
      <c r="AM32" s="30">
        <v>39480</v>
      </c>
      <c r="AN32" s="30">
        <v>39509</v>
      </c>
      <c r="AO32" s="30">
        <v>39541</v>
      </c>
      <c r="AP32" s="30">
        <v>39569</v>
      </c>
      <c r="AQ32" s="30">
        <v>39600</v>
      </c>
      <c r="AR32" s="30">
        <v>39630</v>
      </c>
      <c r="AS32" s="30">
        <v>39661</v>
      </c>
      <c r="AT32" s="30">
        <v>39692</v>
      </c>
      <c r="AU32" s="30">
        <v>39722</v>
      </c>
      <c r="AV32" s="30">
        <v>39753</v>
      </c>
      <c r="AW32" s="30">
        <v>39783</v>
      </c>
      <c r="AX32" s="30">
        <v>39814</v>
      </c>
      <c r="AY32" s="30">
        <v>39845</v>
      </c>
      <c r="AZ32" s="30">
        <v>39873</v>
      </c>
      <c r="BA32" s="30">
        <v>39904</v>
      </c>
      <c r="BB32" s="30">
        <v>39934</v>
      </c>
      <c r="BC32" s="30">
        <v>39965</v>
      </c>
      <c r="BD32" s="30">
        <v>39995</v>
      </c>
      <c r="BE32" s="30">
        <v>40027</v>
      </c>
      <c r="BF32" s="30">
        <v>40057</v>
      </c>
      <c r="BG32" s="30">
        <v>40087</v>
      </c>
      <c r="BH32" s="30">
        <v>40118</v>
      </c>
      <c r="BI32" s="30">
        <v>40148</v>
      </c>
      <c r="BJ32" s="30">
        <v>40179</v>
      </c>
      <c r="BK32" s="30">
        <v>40210</v>
      </c>
      <c r="BL32" s="30">
        <v>40238</v>
      </c>
      <c r="BM32" s="30">
        <v>40269</v>
      </c>
      <c r="BN32" s="30">
        <v>40299</v>
      </c>
      <c r="BO32" s="30">
        <v>40330</v>
      </c>
      <c r="BP32" s="30">
        <v>40360</v>
      </c>
      <c r="BQ32" s="30">
        <v>40391</v>
      </c>
      <c r="BR32" s="30">
        <v>40422</v>
      </c>
      <c r="BS32" s="30">
        <v>40452</v>
      </c>
      <c r="BT32" s="30">
        <v>40483</v>
      </c>
      <c r="BU32" s="30">
        <v>40513</v>
      </c>
      <c r="BV32" s="30">
        <v>40544</v>
      </c>
      <c r="BW32" s="30">
        <v>40575</v>
      </c>
      <c r="BX32" s="30">
        <v>40603</v>
      </c>
      <c r="BY32" s="30">
        <v>40634</v>
      </c>
      <c r="BZ32" s="30">
        <v>40664</v>
      </c>
      <c r="CA32" s="30">
        <v>40695</v>
      </c>
      <c r="CB32" s="30">
        <v>40725</v>
      </c>
      <c r="CC32" s="30">
        <v>40756</v>
      </c>
      <c r="CD32" s="30">
        <v>40787</v>
      </c>
      <c r="CE32" s="30">
        <v>40817</v>
      </c>
      <c r="CF32" s="30">
        <v>40849</v>
      </c>
      <c r="CG32" s="30">
        <v>40880</v>
      </c>
      <c r="CH32" s="3">
        <v>40909</v>
      </c>
      <c r="CI32" s="3">
        <v>40940</v>
      </c>
      <c r="CJ32" s="3">
        <v>40969</v>
      </c>
      <c r="CK32" s="3">
        <v>41000</v>
      </c>
      <c r="CL32" s="3">
        <v>41030</v>
      </c>
      <c r="CM32" s="3">
        <v>41061</v>
      </c>
      <c r="CN32" s="3">
        <v>41091</v>
      </c>
      <c r="CO32" s="3">
        <v>41122</v>
      </c>
      <c r="CP32" s="3">
        <v>41153</v>
      </c>
      <c r="CQ32" s="3">
        <v>41183</v>
      </c>
      <c r="CR32" s="3">
        <v>41214</v>
      </c>
      <c r="CS32" s="3">
        <v>41244</v>
      </c>
      <c r="CT32" s="3">
        <v>41287</v>
      </c>
      <c r="CU32" s="3">
        <v>41306</v>
      </c>
      <c r="CV32" s="3">
        <v>41334</v>
      </c>
      <c r="CW32" s="3">
        <v>41365</v>
      </c>
      <c r="CX32" s="3">
        <v>41395</v>
      </c>
      <c r="CY32" s="3">
        <v>41426</v>
      </c>
      <c r="CZ32" s="3">
        <v>41468</v>
      </c>
      <c r="DA32" s="3">
        <v>41487</v>
      </c>
      <c r="DB32" s="3">
        <v>41518</v>
      </c>
      <c r="DC32" s="3">
        <v>41548</v>
      </c>
      <c r="DD32" s="3">
        <v>41580</v>
      </c>
      <c r="DE32" s="3">
        <v>41609</v>
      </c>
      <c r="DF32" s="3">
        <v>41640</v>
      </c>
      <c r="DG32" s="3">
        <v>41671</v>
      </c>
      <c r="DH32" s="3">
        <v>41699</v>
      </c>
      <c r="DI32" s="3">
        <v>41730</v>
      </c>
      <c r="DJ32" s="3">
        <v>41760</v>
      </c>
      <c r="DK32" s="3">
        <v>41791</v>
      </c>
      <c r="DL32" s="3">
        <v>41821</v>
      </c>
      <c r="DM32" s="3">
        <v>41853</v>
      </c>
      <c r="DN32" s="3">
        <v>41885</v>
      </c>
      <c r="DO32" s="3">
        <v>41913</v>
      </c>
      <c r="DP32" s="3">
        <v>41945</v>
      </c>
      <c r="DQ32" s="3">
        <v>41976</v>
      </c>
      <c r="DR32" s="3">
        <v>42005</v>
      </c>
      <c r="DS32" s="3">
        <v>42037</v>
      </c>
      <c r="DT32" s="3">
        <v>42066</v>
      </c>
      <c r="DU32" s="3">
        <v>42095</v>
      </c>
      <c r="DV32" s="3">
        <v>42126</v>
      </c>
      <c r="DW32" s="3">
        <v>42158</v>
      </c>
      <c r="DX32" s="3">
        <v>42189</v>
      </c>
      <c r="DY32" s="3">
        <v>42221</v>
      </c>
      <c r="DZ32" s="3">
        <v>42253</v>
      </c>
      <c r="EA32" s="3">
        <v>42283</v>
      </c>
      <c r="EB32" s="3">
        <v>42315</v>
      </c>
      <c r="EC32" s="3">
        <v>42339</v>
      </c>
      <c r="ED32" s="31">
        <v>42370</v>
      </c>
      <c r="EE32" s="31">
        <v>42401</v>
      </c>
    </row>
    <row r="33" spans="1:135" s="78" customFormat="1" ht="29.25" customHeight="1">
      <c r="A33" s="77" t="s">
        <v>55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>
        <v>8222</v>
      </c>
      <c r="W33" s="53">
        <v>11054</v>
      </c>
      <c r="X33" s="53">
        <v>12158</v>
      </c>
      <c r="Y33" s="53">
        <v>12090</v>
      </c>
      <c r="Z33" s="53">
        <v>25921</v>
      </c>
      <c r="AA33" s="53">
        <v>35790</v>
      </c>
      <c r="AB33" s="53">
        <v>38765</v>
      </c>
      <c r="AC33" s="53">
        <v>39463</v>
      </c>
      <c r="AD33" s="53">
        <v>42511</v>
      </c>
      <c r="AE33" s="53">
        <v>55254</v>
      </c>
      <c r="AF33" s="53">
        <v>65221</v>
      </c>
      <c r="AG33" s="53">
        <v>74999</v>
      </c>
      <c r="AH33" s="53">
        <v>148354</v>
      </c>
      <c r="AI33" s="53">
        <v>233809</v>
      </c>
      <c r="AJ33" s="53">
        <v>296912</v>
      </c>
      <c r="AK33" s="53">
        <v>324609</v>
      </c>
      <c r="AL33" s="53">
        <v>390027</v>
      </c>
      <c r="AM33" s="53">
        <v>495913</v>
      </c>
      <c r="AN33" s="53">
        <v>567230</v>
      </c>
      <c r="AO33" s="53">
        <v>608734</v>
      </c>
      <c r="AP33" s="53">
        <v>636536</v>
      </c>
      <c r="AQ33" s="53">
        <v>705856</v>
      </c>
      <c r="AR33" s="53">
        <v>722857</v>
      </c>
      <c r="AS33" s="53">
        <v>766058</v>
      </c>
      <c r="AT33" s="53">
        <v>808101</v>
      </c>
      <c r="AU33" s="53">
        <v>846651</v>
      </c>
      <c r="AV33" s="53">
        <v>825760</v>
      </c>
      <c r="AW33" s="53">
        <v>773109</v>
      </c>
      <c r="AX33" s="53">
        <v>712131</v>
      </c>
      <c r="AY33" s="53">
        <v>691009</v>
      </c>
      <c r="AZ33" s="53">
        <v>694315</v>
      </c>
      <c r="BA33" s="53">
        <v>709778</v>
      </c>
      <c r="BB33" s="53">
        <v>712245</v>
      </c>
      <c r="BC33" s="53">
        <v>723961</v>
      </c>
      <c r="BD33" s="53">
        <v>753357</v>
      </c>
      <c r="BE33" s="53">
        <v>784741</v>
      </c>
      <c r="BF33" s="53">
        <v>906602</v>
      </c>
      <c r="BG33" s="53">
        <v>985146</v>
      </c>
      <c r="BH33" s="53">
        <v>1082882</v>
      </c>
      <c r="BI33" s="53">
        <v>1172108</v>
      </c>
      <c r="BJ33" s="53">
        <v>1182015</v>
      </c>
      <c r="BK33" s="53">
        <v>1239356</v>
      </c>
      <c r="BL33" s="53">
        <v>1311858</v>
      </c>
      <c r="BM33" s="53">
        <v>1405520</v>
      </c>
      <c r="BN33" s="53">
        <v>1497587</v>
      </c>
      <c r="BO33" s="53">
        <v>1569385</v>
      </c>
      <c r="BP33" s="53">
        <v>1640172</v>
      </c>
      <c r="BQ33" s="53">
        <v>1714427</v>
      </c>
      <c r="BR33" s="53">
        <v>1789670</v>
      </c>
      <c r="BS33" s="53">
        <v>1890946</v>
      </c>
      <c r="BT33" s="53">
        <v>1995386</v>
      </c>
      <c r="BU33" s="53">
        <v>2085153</v>
      </c>
      <c r="BV33" s="53">
        <v>2180901</v>
      </c>
      <c r="BW33" s="53">
        <v>2270831</v>
      </c>
      <c r="BX33" s="53">
        <v>2393392</v>
      </c>
      <c r="BY33" s="53">
        <v>2483766</v>
      </c>
      <c r="BZ33" s="53">
        <v>2546428</v>
      </c>
      <c r="CA33" s="53">
        <v>2621677</v>
      </c>
      <c r="CB33" s="53">
        <v>2691923</v>
      </c>
      <c r="CC33" s="53">
        <v>2762176</v>
      </c>
      <c r="CD33" s="53">
        <v>2841974</v>
      </c>
      <c r="CE33" s="53">
        <v>2920340</v>
      </c>
      <c r="CF33" s="53">
        <v>2994120</v>
      </c>
      <c r="CG33" s="53">
        <v>3076254</v>
      </c>
      <c r="CH33" s="53">
        <v>3145246</v>
      </c>
      <c r="CI33" s="53">
        <v>3231282</v>
      </c>
      <c r="CJ33" s="53">
        <v>3315975</v>
      </c>
      <c r="CK33" s="53">
        <v>3404531</v>
      </c>
      <c r="CL33" s="53">
        <v>3483823</v>
      </c>
      <c r="CM33" s="53">
        <v>3570654</v>
      </c>
      <c r="CN33" s="53">
        <v>3646095</v>
      </c>
      <c r="CO33" s="53">
        <v>3713162</v>
      </c>
      <c r="CP33" s="53">
        <v>3782872</v>
      </c>
      <c r="CQ33" s="53">
        <v>3863832</v>
      </c>
      <c r="CR33" s="53">
        <v>3949739</v>
      </c>
      <c r="CS33" s="53">
        <v>4030287</v>
      </c>
      <c r="CT33" s="53">
        <v>4104744</v>
      </c>
      <c r="CU33" s="53">
        <v>4169730</v>
      </c>
      <c r="CV33" s="53">
        <v>4228173</v>
      </c>
      <c r="CW33" s="53">
        <v>4308803</v>
      </c>
      <c r="CX33" s="53">
        <v>4386254</v>
      </c>
      <c r="CY33" s="53">
        <v>4476833</v>
      </c>
      <c r="CZ33" s="53">
        <v>4560890</v>
      </c>
      <c r="DA33" s="53">
        <v>4643418</v>
      </c>
      <c r="DB33" s="53">
        <v>4713492</v>
      </c>
      <c r="DC33" s="53">
        <v>4797206</v>
      </c>
      <c r="DD33" s="53">
        <v>4888536</v>
      </c>
      <c r="DE33" s="53">
        <v>4968254</v>
      </c>
      <c r="DF33" s="53">
        <v>5024052</v>
      </c>
      <c r="DG33" s="53">
        <v>5083086</v>
      </c>
      <c r="DH33" s="53">
        <v>5158348</v>
      </c>
      <c r="DI33" s="53">
        <v>5211908</v>
      </c>
      <c r="DJ33" s="53">
        <v>5284014</v>
      </c>
      <c r="DK33" s="53">
        <v>5365787</v>
      </c>
      <c r="DL33" s="53">
        <v>5449970</v>
      </c>
      <c r="DM33" s="53">
        <v>5540232</v>
      </c>
      <c r="DN33" s="53">
        <v>5634831</v>
      </c>
      <c r="DO33" s="53">
        <v>5734549</v>
      </c>
      <c r="DP33" s="53">
        <v>5816882</v>
      </c>
      <c r="DQ33" s="53">
        <v>5859250</v>
      </c>
      <c r="DR33" s="53">
        <v>5929853</v>
      </c>
      <c r="DS33" s="53">
        <v>5987543</v>
      </c>
      <c r="DT33" s="53">
        <v>6042434</v>
      </c>
      <c r="DU33" s="53">
        <v>6093873</v>
      </c>
      <c r="DV33" s="53">
        <v>6150372</v>
      </c>
      <c r="DW33" s="53">
        <v>6217136</v>
      </c>
      <c r="DX33" s="53">
        <v>6276398</v>
      </c>
      <c r="DY33" s="53">
        <v>6342791</v>
      </c>
      <c r="DZ33" s="53">
        <v>6400978</v>
      </c>
      <c r="EA33" s="53">
        <v>6464206</v>
      </c>
      <c r="EB33" s="53">
        <v>6517336</v>
      </c>
      <c r="EC33" s="53">
        <v>6551775</v>
      </c>
      <c r="ED33" s="53">
        <v>6592840</v>
      </c>
      <c r="EE33" s="53">
        <v>6630680</v>
      </c>
    </row>
    <row r="34" spans="1:135" s="78" customFormat="1" ht="29.25" customHeight="1">
      <c r="A34" s="107" t="s">
        <v>39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7">
        <v>-60978</v>
      </c>
      <c r="AY34" s="57">
        <v>-21122</v>
      </c>
      <c r="AZ34" s="57">
        <v>3306</v>
      </c>
      <c r="BA34" s="57">
        <v>15463</v>
      </c>
      <c r="BB34" s="57">
        <v>2467</v>
      </c>
      <c r="BC34" s="57">
        <v>11716</v>
      </c>
      <c r="BD34" s="57">
        <v>29396</v>
      </c>
      <c r="BE34" s="57">
        <v>31384</v>
      </c>
      <c r="BF34" s="57">
        <v>121861</v>
      </c>
      <c r="BG34" s="57">
        <v>78544</v>
      </c>
      <c r="BH34" s="57">
        <v>97736</v>
      </c>
      <c r="BI34" s="57">
        <v>89226</v>
      </c>
      <c r="BJ34" s="57">
        <v>9907</v>
      </c>
      <c r="BK34" s="57">
        <v>57341</v>
      </c>
      <c r="BL34" s="57">
        <v>72502</v>
      </c>
      <c r="BM34" s="57">
        <v>93662</v>
      </c>
      <c r="BN34" s="57">
        <v>92067</v>
      </c>
      <c r="BO34" s="57">
        <v>71798</v>
      </c>
      <c r="BP34" s="57">
        <v>70787</v>
      </c>
      <c r="BQ34" s="57">
        <v>74255</v>
      </c>
      <c r="BR34" s="57">
        <v>75243</v>
      </c>
      <c r="BS34" s="57">
        <v>101276</v>
      </c>
      <c r="BT34" s="57">
        <v>104440</v>
      </c>
      <c r="BU34" s="57">
        <v>89767</v>
      </c>
      <c r="BV34" s="57">
        <v>95748</v>
      </c>
      <c r="BW34" s="57">
        <v>89930</v>
      </c>
      <c r="BX34" s="57">
        <v>122561</v>
      </c>
      <c r="BY34" s="57">
        <v>90374</v>
      </c>
      <c r="BZ34" s="57">
        <v>62662</v>
      </c>
      <c r="CA34" s="57">
        <v>75249</v>
      </c>
      <c r="CB34" s="57">
        <v>70246</v>
      </c>
      <c r="CC34" s="57">
        <v>70253</v>
      </c>
      <c r="CD34" s="57">
        <v>79798</v>
      </c>
      <c r="CE34" s="57">
        <v>78366</v>
      </c>
      <c r="CF34" s="57">
        <v>73780</v>
      </c>
      <c r="CG34" s="57">
        <v>82134</v>
      </c>
      <c r="CH34" s="57">
        <v>68992</v>
      </c>
      <c r="CI34" s="57">
        <v>86036</v>
      </c>
      <c r="CJ34" s="57">
        <v>84693</v>
      </c>
      <c r="CK34" s="57">
        <v>88556</v>
      </c>
      <c r="CL34" s="57">
        <v>79292</v>
      </c>
      <c r="CM34" s="57">
        <v>86831</v>
      </c>
      <c r="CN34" s="57">
        <v>75441</v>
      </c>
      <c r="CO34" s="57">
        <v>67067</v>
      </c>
      <c r="CP34" s="57">
        <v>69710</v>
      </c>
      <c r="CQ34" s="57">
        <v>80960</v>
      </c>
      <c r="CR34" s="57">
        <v>85907</v>
      </c>
      <c r="CS34" s="57">
        <v>80548</v>
      </c>
      <c r="CT34" s="57">
        <v>74457</v>
      </c>
      <c r="CU34" s="57">
        <v>64986</v>
      </c>
      <c r="CV34" s="57">
        <v>58443</v>
      </c>
      <c r="CW34" s="57">
        <v>80630</v>
      </c>
      <c r="CX34" s="57">
        <v>77451</v>
      </c>
      <c r="CY34" s="57">
        <v>90579</v>
      </c>
      <c r="CZ34" s="57">
        <v>84057</v>
      </c>
      <c r="DA34" s="57">
        <v>82528</v>
      </c>
      <c r="DB34" s="57">
        <v>70074</v>
      </c>
      <c r="DC34" s="57">
        <v>83714</v>
      </c>
      <c r="DD34" s="57">
        <v>91330</v>
      </c>
      <c r="DE34" s="57">
        <v>79718</v>
      </c>
      <c r="DF34" s="57">
        <v>55798</v>
      </c>
      <c r="DG34" s="57">
        <v>59034</v>
      </c>
      <c r="DH34" s="57">
        <v>75262</v>
      </c>
      <c r="DI34" s="57">
        <v>53560</v>
      </c>
      <c r="DJ34" s="57">
        <v>72106</v>
      </c>
      <c r="DK34" s="57">
        <v>81773</v>
      </c>
      <c r="DL34" s="57">
        <v>84183</v>
      </c>
      <c r="DM34" s="57">
        <v>90262</v>
      </c>
      <c r="DN34" s="57">
        <v>94599</v>
      </c>
      <c r="DO34" s="57">
        <v>99718</v>
      </c>
      <c r="DP34" s="57">
        <v>82333</v>
      </c>
      <c r="DQ34" s="57">
        <v>42368</v>
      </c>
      <c r="DR34" s="57">
        <v>70603</v>
      </c>
      <c r="DS34" s="57">
        <v>57690</v>
      </c>
      <c r="DT34" s="57">
        <v>54891</v>
      </c>
      <c r="DU34" s="57">
        <v>51439</v>
      </c>
      <c r="DV34" s="57">
        <v>56499</v>
      </c>
      <c r="DW34" s="57">
        <v>66764</v>
      </c>
      <c r="DX34" s="57">
        <v>59262</v>
      </c>
      <c r="DY34" s="57">
        <v>66393</v>
      </c>
      <c r="DZ34" s="57">
        <v>58187</v>
      </c>
      <c r="EA34" s="57">
        <v>63228</v>
      </c>
      <c r="EB34" s="57">
        <v>53130</v>
      </c>
      <c r="EC34" s="57">
        <v>34439</v>
      </c>
      <c r="ED34" s="57">
        <v>41065</v>
      </c>
      <c r="EE34" s="57">
        <v>37840</v>
      </c>
    </row>
    <row r="35" spans="1:135" s="78" customFormat="1" ht="29.25" customHeight="1">
      <c r="A35" s="108" t="s">
        <v>56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3"/>
      <c r="DD35" s="63"/>
      <c r="DE35" s="63"/>
      <c r="DF35" s="63"/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</row>
    <row r="36" spans="1:135" s="78" customFormat="1" ht="29.25" customHeight="1">
      <c r="A36" s="110" t="s">
        <v>50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2">
        <v>0.48808037780740726</v>
      </c>
      <c r="BK36" s="112">
        <v>0.49602692104190965</v>
      </c>
      <c r="BL36" s="112">
        <v>0.50915866783154495</v>
      </c>
      <c r="BM36" s="112">
        <v>0.52561450772629248</v>
      </c>
      <c r="BN36" s="112">
        <v>0.53674856430340179</v>
      </c>
      <c r="BO36" s="112">
        <v>0.53939634737126829</v>
      </c>
      <c r="BP36" s="112">
        <v>0.54673785069221759</v>
      </c>
      <c r="BQ36" s="112">
        <v>0.55405041184713311</v>
      </c>
      <c r="BR36" s="112">
        <v>0.55839205851280571</v>
      </c>
      <c r="BS36" s="112">
        <v>0.56442779535550114</v>
      </c>
      <c r="BT36" s="112">
        <v>0.5698274884721497</v>
      </c>
      <c r="BU36" s="112">
        <v>0.57192255557390204</v>
      </c>
      <c r="BV36" s="112">
        <v>0.58164246646802986</v>
      </c>
      <c r="BW36" s="112">
        <v>0.59072905188084857</v>
      </c>
      <c r="BX36" s="112">
        <v>0.60084933578487243</v>
      </c>
      <c r="BY36" s="112">
        <v>0.60747395430162165</v>
      </c>
      <c r="BZ36" s="112">
        <v>0.60928790139904498</v>
      </c>
      <c r="CA36" s="112">
        <v>0.61242831346550519</v>
      </c>
      <c r="CB36" s="112">
        <v>0.61636458137756389</v>
      </c>
      <c r="CC36" s="112">
        <v>0.6191226322645893</v>
      </c>
      <c r="CD36" s="112">
        <v>0.62121361156613275</v>
      </c>
      <c r="CE36" s="112">
        <v>0.62332327950254351</v>
      </c>
      <c r="CF36" s="112">
        <v>0.62503888070335556</v>
      </c>
      <c r="CG36" s="112">
        <v>0.62529783550170726</v>
      </c>
      <c r="CH36" s="112">
        <v>0.62654177979725145</v>
      </c>
      <c r="CI36" s="112">
        <v>0.62816731703817841</v>
      </c>
      <c r="CJ36" s="112">
        <v>0.6285948751312268</v>
      </c>
      <c r="CK36" s="112">
        <v>0.62860430988387039</v>
      </c>
      <c r="CL36" s="112">
        <v>0.62742373640812998</v>
      </c>
      <c r="CM36" s="112">
        <v>0.6269937206754137</v>
      </c>
      <c r="CN36" s="112">
        <v>0.62592132583368887</v>
      </c>
      <c r="CO36" s="112">
        <v>0.62489746776945398</v>
      </c>
      <c r="CP36" s="112">
        <v>0.62322330864848385</v>
      </c>
      <c r="CQ36" s="112">
        <v>0.62175833629287502</v>
      </c>
      <c r="CR36" s="112">
        <v>0.61961141678884535</v>
      </c>
      <c r="CS36" s="186">
        <v>0.61718790318221173</v>
      </c>
      <c r="CT36" s="186">
        <v>0.61387785476613532</v>
      </c>
      <c r="CU36" s="186">
        <v>0.61116857575162842</v>
      </c>
      <c r="CV36" s="186">
        <v>0.60607645625483875</v>
      </c>
      <c r="CW36" s="186">
        <v>0.60213191554060475</v>
      </c>
      <c r="CX36" s="186">
        <v>0.59800186779552411</v>
      </c>
      <c r="CY36" s="186">
        <v>0.59487832776214822</v>
      </c>
      <c r="CZ36" s="186">
        <v>0.59162349371373524</v>
      </c>
      <c r="DA36" s="186">
        <v>0.58793406564187367</v>
      </c>
      <c r="DB36" s="186">
        <v>0.58512710755048014</v>
      </c>
      <c r="DC36" s="186">
        <v>0.58204752298273144</v>
      </c>
      <c r="DD36" s="186">
        <v>0.57898082359993019</v>
      </c>
      <c r="DE36" s="186">
        <v>0.57679329077881458</v>
      </c>
      <c r="DF36" s="186">
        <v>0.57296563097130015</v>
      </c>
      <c r="DG36" s="186">
        <v>0.57009734670887913</v>
      </c>
      <c r="DH36" s="186">
        <v>0.56697211263540381</v>
      </c>
      <c r="DI36" s="186">
        <v>0.56402176694949413</v>
      </c>
      <c r="DJ36" s="186">
        <v>0.56196856940665674</v>
      </c>
      <c r="DK36" s="186">
        <v>0.56033757345193547</v>
      </c>
      <c r="DL36" s="186">
        <v>0.5589035830634258</v>
      </c>
      <c r="DM36" s="186">
        <v>0.55744333785507605</v>
      </c>
      <c r="DN36" s="186">
        <v>0.55655664128784454</v>
      </c>
      <c r="DO36" s="186">
        <v>0.55557122881578846</v>
      </c>
      <c r="DP36" s="186">
        <v>0.55382815174075706</v>
      </c>
      <c r="DQ36" s="186">
        <v>0.550821633064283</v>
      </c>
      <c r="DR36" s="186">
        <v>0.54796752144634486</v>
      </c>
      <c r="DS36" s="186">
        <v>0.54614900899408603</v>
      </c>
      <c r="DT36" s="186">
        <v>0.54379606286450144</v>
      </c>
      <c r="DU36" s="186">
        <v>0.5418576412322601</v>
      </c>
      <c r="DV36" s="186">
        <v>0.54004887541843571</v>
      </c>
      <c r="DW36" s="186">
        <v>0.53882384875613887</v>
      </c>
      <c r="DX36" s="186">
        <v>0.53744529982682276</v>
      </c>
      <c r="DY36" s="186">
        <v>0.53650348573816276</v>
      </c>
      <c r="DZ36" s="186">
        <v>0.53570842430964638</v>
      </c>
      <c r="EA36" s="186">
        <v>0.53479542493122922</v>
      </c>
      <c r="EB36" s="186">
        <v>0.533995</v>
      </c>
      <c r="EC36" s="186">
        <v>0.53207099999999996</v>
      </c>
      <c r="ED36" s="186">
        <v>0.53003556863753354</v>
      </c>
      <c r="EE36" s="186"/>
    </row>
    <row r="37" spans="1:135" s="78" customFormat="1" ht="29.25" customHeight="1">
      <c r="A37" s="108" t="s">
        <v>51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4">
        <v>0.36212213994515563</v>
      </c>
      <c r="BK37" s="104">
        <v>0.35656212403434612</v>
      </c>
      <c r="BL37" s="104">
        <v>0.34286039197817519</v>
      </c>
      <c r="BM37" s="104">
        <v>0.32518265358439313</v>
      </c>
      <c r="BN37" s="104">
        <v>0.31400565354256771</v>
      </c>
      <c r="BO37" s="104">
        <v>0.30687731760657511</v>
      </c>
      <c r="BP37" s="104">
        <v>0.29329109670778325</v>
      </c>
      <c r="BQ37" s="104">
        <v>0.28266273520271773</v>
      </c>
      <c r="BR37" s="104">
        <v>0.27613553894145537</v>
      </c>
      <c r="BS37" s="104">
        <v>0.26981016058742763</v>
      </c>
      <c r="BT37" s="104">
        <v>0.26392187648586973</v>
      </c>
      <c r="BU37" s="104">
        <v>0.25992452821908429</v>
      </c>
      <c r="BV37" s="104">
        <v>0.24934338892391525</v>
      </c>
      <c r="BW37" s="104">
        <v>0.23994619309094731</v>
      </c>
      <c r="BX37" s="104">
        <v>0.2289865208864503</v>
      </c>
      <c r="BY37" s="104">
        <v>0.22119711525409552</v>
      </c>
      <c r="BZ37" s="104">
        <v>0.21577249673454085</v>
      </c>
      <c r="CA37" s="104">
        <v>0.21286164469642288</v>
      </c>
      <c r="CB37" s="104">
        <v>0.20757861620819615</v>
      </c>
      <c r="CC37" s="104">
        <v>0.20420398275353496</v>
      </c>
      <c r="CD37" s="104">
        <v>0.20215944745144893</v>
      </c>
      <c r="CE37" s="104">
        <v>0.19987009918437398</v>
      </c>
      <c r="CF37" s="104">
        <v>0.19857549453123335</v>
      </c>
      <c r="CG37" s="104">
        <v>0.19948687531785719</v>
      </c>
      <c r="CH37" s="104">
        <v>0.1999896414548975</v>
      </c>
      <c r="CI37" s="104">
        <v>0.20057434093386389</v>
      </c>
      <c r="CJ37" s="104">
        <v>0.20220643014184436</v>
      </c>
      <c r="CK37" s="104">
        <v>0.20405848136342286</v>
      </c>
      <c r="CL37" s="104">
        <v>0.20630682939690781</v>
      </c>
      <c r="CM37" s="104">
        <v>0.2083492540668109</v>
      </c>
      <c r="CN37" s="104">
        <v>0.21090338213595666</v>
      </c>
      <c r="CO37" s="104">
        <v>0.21319837617893131</v>
      </c>
      <c r="CP37" s="104">
        <v>0.21527599528818669</v>
      </c>
      <c r="CQ37" s="104">
        <v>0.21707776002142135</v>
      </c>
      <c r="CR37" s="104">
        <v>0.21905542390339572</v>
      </c>
      <c r="CS37" s="187">
        <v>0.22133967404079674</v>
      </c>
      <c r="CT37" s="187">
        <v>0.22271471773093005</v>
      </c>
      <c r="CU37" s="187">
        <v>0.22307001499292128</v>
      </c>
      <c r="CV37" s="187">
        <v>0.22485233224531675</v>
      </c>
      <c r="CW37" s="187">
        <v>0.22639755771172143</v>
      </c>
      <c r="CX37" s="187">
        <v>0.22792122538293216</v>
      </c>
      <c r="CY37" s="187">
        <v>0.22953964772109384</v>
      </c>
      <c r="CZ37" s="187">
        <v>0.23166321814881591</v>
      </c>
      <c r="DA37" s="187">
        <v>0.2341336983269508</v>
      </c>
      <c r="DB37" s="187">
        <v>0.23624564133255027</v>
      </c>
      <c r="DC37" s="187">
        <v>0.23855837982011294</v>
      </c>
      <c r="DD37" s="187">
        <v>0.24086704004940221</v>
      </c>
      <c r="DE37" s="187">
        <v>0.24330783328368305</v>
      </c>
      <c r="DF37" s="187">
        <v>0.24568783390098997</v>
      </c>
      <c r="DG37" s="187">
        <v>0.2474726822228194</v>
      </c>
      <c r="DH37" s="187">
        <v>0.24926866301101674</v>
      </c>
      <c r="DI37" s="187">
        <v>0.25041028113388558</v>
      </c>
      <c r="DJ37" s="187">
        <v>0.25200682017882975</v>
      </c>
      <c r="DK37" s="187">
        <v>0.25333923698750732</v>
      </c>
      <c r="DL37" s="187">
        <v>0.25474975800367156</v>
      </c>
      <c r="DM37" s="187">
        <v>0.25653574943709634</v>
      </c>
      <c r="DN37" s="187">
        <v>0.25821446928683151</v>
      </c>
      <c r="DO37" s="187">
        <v>0.26010683888823927</v>
      </c>
      <c r="DP37" s="187">
        <v>0.2627983599041992</v>
      </c>
      <c r="DQ37" s="187">
        <v>0.26593622379983778</v>
      </c>
      <c r="DR37" s="187">
        <v>0.26883361621048241</v>
      </c>
      <c r="DS37" s="187">
        <v>0.27088431447595063</v>
      </c>
      <c r="DT37" s="187">
        <v>0.27261890094667895</v>
      </c>
      <c r="DU37" s="187">
        <v>0.27423769782350793</v>
      </c>
      <c r="DV37" s="187">
        <v>0.27590157023543038</v>
      </c>
      <c r="DW37" s="187">
        <v>0.27720324906186727</v>
      </c>
      <c r="DX37" s="187">
        <v>0.27839245541781754</v>
      </c>
      <c r="DY37" s="187">
        <v>0.27941122236827193</v>
      </c>
      <c r="DZ37" s="187">
        <v>0.28027790315252227</v>
      </c>
      <c r="EA37" s="187">
        <v>0.28108701317503981</v>
      </c>
      <c r="EB37" s="187">
        <v>0.28151300000000001</v>
      </c>
      <c r="EC37" s="187">
        <v>0.28277200000000002</v>
      </c>
      <c r="ED37" s="187">
        <v>0.28428427704143416</v>
      </c>
      <c r="EE37" s="187"/>
    </row>
    <row r="38" spans="1:135" s="78" customFormat="1" ht="29.25" customHeight="1">
      <c r="A38" s="11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14"/>
      <c r="BH38" s="114"/>
      <c r="BI38" s="114"/>
      <c r="BJ38" s="115">
        <v>0.14979748224743711</v>
      </c>
      <c r="BK38" s="115">
        <v>0.14741095492374426</v>
      </c>
      <c r="BL38" s="115">
        <v>0.14798094019027982</v>
      </c>
      <c r="BM38" s="115">
        <v>0.14920283868931444</v>
      </c>
      <c r="BN38" s="115">
        <v>0.14924578215403053</v>
      </c>
      <c r="BO38" s="115">
        <v>0.15372633502215657</v>
      </c>
      <c r="BP38" s="115">
        <v>0.15997105259999919</v>
      </c>
      <c r="BQ38" s="115">
        <v>0.16328685295014916</v>
      </c>
      <c r="BR38" s="115">
        <v>0.16547240254573886</v>
      </c>
      <c r="BS38" s="115">
        <v>0.16576204405707121</v>
      </c>
      <c r="BT38" s="115">
        <v>0.16625063504198059</v>
      </c>
      <c r="BU38" s="115">
        <v>0.16815291620701364</v>
      </c>
      <c r="BV38" s="115">
        <v>0.16901414460805492</v>
      </c>
      <c r="BW38" s="115">
        <v>0.16932475502820415</v>
      </c>
      <c r="BX38" s="115">
        <v>0.17016414332867727</v>
      </c>
      <c r="BY38" s="115">
        <v>0.17132893044428285</v>
      </c>
      <c r="BZ38" s="115">
        <v>0.17493960186641419</v>
      </c>
      <c r="CA38" s="115">
        <v>0.17471004183807196</v>
      </c>
      <c r="CB38" s="115">
        <v>0.17605680241423999</v>
      </c>
      <c r="CC38" s="115">
        <v>0.17667338498187579</v>
      </c>
      <c r="CD38" s="115">
        <v>0.17662694098241832</v>
      </c>
      <c r="CE38" s="115">
        <v>0.17680662131308253</v>
      </c>
      <c r="CF38" s="115">
        <v>0.17638562476541106</v>
      </c>
      <c r="CG38" s="115">
        <v>0.17521528918043558</v>
      </c>
      <c r="CH38" s="115">
        <v>0.1734685787478511</v>
      </c>
      <c r="CI38" s="115">
        <v>0.1712583420279577</v>
      </c>
      <c r="CJ38" s="115">
        <v>0.16919869472692883</v>
      </c>
      <c r="CK38" s="115">
        <v>0.16733720875270677</v>
      </c>
      <c r="CL38" s="115">
        <v>0.16626943419496221</v>
      </c>
      <c r="CM38" s="115">
        <v>0.1646570252577754</v>
      </c>
      <c r="CN38" s="115">
        <v>0.1631752920303545</v>
      </c>
      <c r="CO38" s="115">
        <v>0.16190415605161465</v>
      </c>
      <c r="CP38" s="115">
        <v>0.1615006960633294</v>
      </c>
      <c r="CQ38" s="115">
        <v>0.16116390368570357</v>
      </c>
      <c r="CR38" s="115">
        <v>0.16133315930775891</v>
      </c>
      <c r="CS38" s="188">
        <v>0.16147242277699159</v>
      </c>
      <c r="CT38" s="188">
        <v>0.1634074275029346</v>
      </c>
      <c r="CU38" s="188">
        <v>0.16576140925545027</v>
      </c>
      <c r="CV38" s="188">
        <v>0.16907121149984455</v>
      </c>
      <c r="CW38" s="188">
        <v>0.17147052674767382</v>
      </c>
      <c r="CX38" s="188">
        <v>0.17407690682154373</v>
      </c>
      <c r="CY38" s="188">
        <v>0.17558202451675795</v>
      </c>
      <c r="CZ38" s="188">
        <v>0.17671328813744883</v>
      </c>
      <c r="DA38" s="188">
        <v>0.17793223603117556</v>
      </c>
      <c r="DB38" s="188">
        <v>0.17862725111696964</v>
      </c>
      <c r="DC38" s="188">
        <v>0.17939409719715568</v>
      </c>
      <c r="DD38" s="188">
        <v>0.18015213635066757</v>
      </c>
      <c r="DE38" s="188">
        <v>0.17989887593750239</v>
      </c>
      <c r="DF38" s="188">
        <v>0.1813465351277099</v>
      </c>
      <c r="DG38" s="188">
        <v>0.1824299710683015</v>
      </c>
      <c r="DH38" s="188">
        <v>0.18375922435357944</v>
      </c>
      <c r="DI38" s="188">
        <v>0.18556795191662026</v>
      </c>
      <c r="DJ38" s="188">
        <v>0.18602461041451346</v>
      </c>
      <c r="DK38" s="188">
        <v>0.18632318956055718</v>
      </c>
      <c r="DL38" s="188">
        <v>0.18634665893290259</v>
      </c>
      <c r="DM38" s="188">
        <v>0.18602091270782761</v>
      </c>
      <c r="DN38" s="188">
        <v>0.18522888942532395</v>
      </c>
      <c r="DO38" s="188">
        <v>0.18432193229597235</v>
      </c>
      <c r="DP38" s="188">
        <v>0.18337348835504372</v>
      </c>
      <c r="DQ38" s="188">
        <v>0.18324214313587925</v>
      </c>
      <c r="DR38" s="188">
        <v>0.18319886234317276</v>
      </c>
      <c r="DS38" s="188">
        <v>0.18296667652996332</v>
      </c>
      <c r="DT38" s="188">
        <v>0.18358503618881958</v>
      </c>
      <c r="DU38" s="188">
        <v>0.18390466094423197</v>
      </c>
      <c r="DV38" s="188">
        <v>0.18404955434613388</v>
      </c>
      <c r="DW38" s="188">
        <v>0.18397290218199386</v>
      </c>
      <c r="DX38" s="188">
        <v>0.18416224475535972</v>
      </c>
      <c r="DY38" s="188">
        <v>0.18408529189356529</v>
      </c>
      <c r="DZ38" s="188">
        <v>0.18401367253783135</v>
      </c>
      <c r="EA38" s="188">
        <v>0.18411756189373099</v>
      </c>
      <c r="EB38" s="188">
        <v>0.18449199999999999</v>
      </c>
      <c r="EC38" s="188">
        <v>0.18515699999999999</v>
      </c>
      <c r="ED38" s="188">
        <v>0.18568015432103233</v>
      </c>
      <c r="EE38" s="188"/>
    </row>
    <row r="39" spans="1:135" s="78" customFormat="1" ht="9.75" customHeight="1">
      <c r="A39" s="61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3"/>
      <c r="DD39" s="63"/>
      <c r="DE39" s="63"/>
      <c r="DF39" s="63"/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</row>
    <row r="40" spans="1:135" s="74" customFormat="1" ht="24.75" customHeight="1">
      <c r="A40" s="73"/>
      <c r="AL40" s="47">
        <v>2008</v>
      </c>
      <c r="AR40" s="48"/>
      <c r="AX40" s="47">
        <v>2009</v>
      </c>
      <c r="BD40" s="48"/>
      <c r="BG40" s="106"/>
      <c r="BJ40" s="47">
        <v>2010</v>
      </c>
      <c r="BP40" s="45"/>
      <c r="BU40" s="45"/>
      <c r="BV40" s="47">
        <v>2011</v>
      </c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7">
        <v>2011</v>
      </c>
      <c r="CH40" s="47">
        <v>2012</v>
      </c>
      <c r="CI40" s="181"/>
      <c r="CJ40" s="181"/>
      <c r="CK40" s="181"/>
      <c r="CL40" s="181"/>
      <c r="CM40" s="181"/>
      <c r="CN40" s="181"/>
      <c r="CO40" s="181"/>
      <c r="CP40" s="181"/>
      <c r="CQ40" s="181"/>
      <c r="CR40" s="181"/>
      <c r="CS40" s="181"/>
      <c r="CT40" s="47">
        <v>2013</v>
      </c>
      <c r="CU40" s="193"/>
      <c r="CV40" s="193"/>
      <c r="CW40" s="193"/>
      <c r="CX40" s="193"/>
      <c r="CY40" s="193"/>
      <c r="CZ40" s="193"/>
      <c r="DB40" s="193"/>
      <c r="DC40" s="193"/>
      <c r="DD40" s="193"/>
      <c r="DE40" s="193"/>
      <c r="DF40" s="47">
        <v>2014</v>
      </c>
      <c r="DG40" s="193"/>
      <c r="DH40" s="193"/>
      <c r="DI40" s="193"/>
      <c r="DJ40" s="193"/>
      <c r="DK40" s="193"/>
      <c r="DL40" s="193"/>
      <c r="DM40" s="193"/>
      <c r="DN40" s="193"/>
      <c r="DO40" s="193"/>
      <c r="DP40" s="193"/>
      <c r="DQ40" s="193"/>
      <c r="DR40" s="47">
        <v>2015</v>
      </c>
      <c r="DS40" s="193"/>
      <c r="DT40" s="193"/>
      <c r="DU40" s="193"/>
      <c r="DV40" s="193"/>
      <c r="DW40" s="193"/>
      <c r="DX40" s="193"/>
      <c r="DY40" s="193"/>
      <c r="DZ40" s="193"/>
      <c r="EA40" s="193"/>
      <c r="EB40" s="193"/>
      <c r="EC40" s="193"/>
      <c r="ED40" s="47">
        <v>2016</v>
      </c>
      <c r="EE40"/>
    </row>
    <row r="41" spans="1:135" s="76" customFormat="1" ht="29.25" customHeight="1">
      <c r="A41" s="49" t="s">
        <v>54</v>
      </c>
      <c r="B41" s="30">
        <v>38355</v>
      </c>
      <c r="C41" s="30">
        <v>38385</v>
      </c>
      <c r="D41" s="30">
        <v>38413</v>
      </c>
      <c r="E41" s="30">
        <v>38444</v>
      </c>
      <c r="F41" s="30">
        <v>38474</v>
      </c>
      <c r="G41" s="30">
        <v>38505</v>
      </c>
      <c r="H41" s="30">
        <v>38535</v>
      </c>
      <c r="I41" s="30">
        <v>38566</v>
      </c>
      <c r="J41" s="30">
        <v>38597</v>
      </c>
      <c r="K41" s="30">
        <v>38627</v>
      </c>
      <c r="L41" s="30">
        <v>38658</v>
      </c>
      <c r="M41" s="30">
        <v>38688</v>
      </c>
      <c r="N41" s="30">
        <v>38719</v>
      </c>
      <c r="O41" s="30">
        <v>38750</v>
      </c>
      <c r="P41" s="30">
        <v>38778</v>
      </c>
      <c r="Q41" s="30">
        <v>38809</v>
      </c>
      <c r="R41" s="30">
        <v>38839</v>
      </c>
      <c r="S41" s="30">
        <v>38870</v>
      </c>
      <c r="T41" s="30">
        <v>38900</v>
      </c>
      <c r="U41" s="30">
        <v>38931</v>
      </c>
      <c r="V41" s="30">
        <v>38962</v>
      </c>
      <c r="W41" s="30">
        <v>38992</v>
      </c>
      <c r="X41" s="30">
        <v>39023</v>
      </c>
      <c r="Y41" s="30">
        <v>39053</v>
      </c>
      <c r="Z41" s="30">
        <v>39084</v>
      </c>
      <c r="AA41" s="30">
        <v>39115</v>
      </c>
      <c r="AB41" s="30">
        <v>39143</v>
      </c>
      <c r="AC41" s="30">
        <v>39174</v>
      </c>
      <c r="AD41" s="30">
        <v>39204</v>
      </c>
      <c r="AE41" s="30">
        <v>39235</v>
      </c>
      <c r="AF41" s="30">
        <v>39264</v>
      </c>
      <c r="AG41" s="30">
        <v>39324</v>
      </c>
      <c r="AH41" s="30">
        <v>39332</v>
      </c>
      <c r="AI41" s="30">
        <v>39362</v>
      </c>
      <c r="AJ41" s="30">
        <v>39393</v>
      </c>
      <c r="AK41" s="30">
        <v>39417</v>
      </c>
      <c r="AL41" s="30">
        <v>39448</v>
      </c>
      <c r="AM41" s="30">
        <v>39480</v>
      </c>
      <c r="AN41" s="30">
        <v>39509</v>
      </c>
      <c r="AO41" s="30">
        <v>39541</v>
      </c>
      <c r="AP41" s="30">
        <v>39569</v>
      </c>
      <c r="AQ41" s="30">
        <v>39600</v>
      </c>
      <c r="AR41" s="30">
        <v>39630</v>
      </c>
      <c r="AS41" s="30">
        <v>39661</v>
      </c>
      <c r="AT41" s="30">
        <v>39692</v>
      </c>
      <c r="AU41" s="30">
        <v>39722</v>
      </c>
      <c r="AV41" s="30">
        <v>39753</v>
      </c>
      <c r="AW41" s="30">
        <v>39783</v>
      </c>
      <c r="AX41" s="30">
        <v>39814</v>
      </c>
      <c r="AY41" s="30">
        <v>39845</v>
      </c>
      <c r="AZ41" s="30">
        <v>39873</v>
      </c>
      <c r="BA41" s="30">
        <v>39904</v>
      </c>
      <c r="BB41" s="30">
        <v>39934</v>
      </c>
      <c r="BC41" s="30">
        <v>39965</v>
      </c>
      <c r="BD41" s="30">
        <v>39995</v>
      </c>
      <c r="BE41" s="30">
        <v>40027</v>
      </c>
      <c r="BF41" s="30">
        <v>40057</v>
      </c>
      <c r="BG41" s="30">
        <v>40087</v>
      </c>
      <c r="BH41" s="30">
        <v>40118</v>
      </c>
      <c r="BI41" s="30">
        <v>40148</v>
      </c>
      <c r="BJ41" s="30">
        <v>40179</v>
      </c>
      <c r="BK41" s="30">
        <v>40210</v>
      </c>
      <c r="BL41" s="30">
        <v>40238</v>
      </c>
      <c r="BM41" s="30">
        <v>40269</v>
      </c>
      <c r="BN41" s="30">
        <v>40299</v>
      </c>
      <c r="BO41" s="30">
        <v>40330</v>
      </c>
      <c r="BP41" s="30">
        <v>40360</v>
      </c>
      <c r="BQ41" s="30">
        <v>40391</v>
      </c>
      <c r="BR41" s="30">
        <v>40422</v>
      </c>
      <c r="BS41" s="30">
        <v>40452</v>
      </c>
      <c r="BT41" s="30">
        <v>40483</v>
      </c>
      <c r="BU41" s="30">
        <v>40513</v>
      </c>
      <c r="BV41" s="30">
        <v>40544</v>
      </c>
      <c r="BW41" s="30">
        <v>40575</v>
      </c>
      <c r="BX41" s="30">
        <v>40603</v>
      </c>
      <c r="BY41" s="30">
        <v>40634</v>
      </c>
      <c r="BZ41" s="30">
        <v>40664</v>
      </c>
      <c r="CA41" s="30">
        <v>40695</v>
      </c>
      <c r="CB41" s="30">
        <v>40725</v>
      </c>
      <c r="CC41" s="30">
        <v>40756</v>
      </c>
      <c r="CD41" s="30">
        <v>40787</v>
      </c>
      <c r="CE41" s="30">
        <v>40817</v>
      </c>
      <c r="CF41" s="30">
        <v>40849</v>
      </c>
      <c r="CG41" s="30">
        <v>40880</v>
      </c>
      <c r="CH41" s="3">
        <v>40909</v>
      </c>
      <c r="CI41" s="3">
        <v>40940</v>
      </c>
      <c r="CJ41" s="3">
        <v>40969</v>
      </c>
      <c r="CK41" s="3">
        <v>41000</v>
      </c>
      <c r="CL41" s="3">
        <v>41030</v>
      </c>
      <c r="CM41" s="3">
        <v>41061</v>
      </c>
      <c r="CN41" s="3">
        <v>41091</v>
      </c>
      <c r="CO41" s="3">
        <v>41122</v>
      </c>
      <c r="CP41" s="3">
        <v>41153</v>
      </c>
      <c r="CQ41" s="3">
        <v>41183</v>
      </c>
      <c r="CR41" s="3">
        <v>41214</v>
      </c>
      <c r="CS41" s="3">
        <v>41244</v>
      </c>
      <c r="CT41" s="3">
        <v>41287</v>
      </c>
      <c r="CU41" s="3">
        <v>41306</v>
      </c>
      <c r="CV41" s="3">
        <v>41334</v>
      </c>
      <c r="CW41" s="3">
        <v>41365</v>
      </c>
      <c r="CX41" s="3">
        <v>41395</v>
      </c>
      <c r="CY41" s="3">
        <v>41426</v>
      </c>
      <c r="CZ41" s="3">
        <v>41468</v>
      </c>
      <c r="DA41" s="3">
        <v>41487</v>
      </c>
      <c r="DB41" s="3">
        <v>41518</v>
      </c>
      <c r="DC41" s="3">
        <v>41548</v>
      </c>
      <c r="DD41" s="3">
        <v>41580</v>
      </c>
      <c r="DE41" s="3">
        <v>41609</v>
      </c>
      <c r="DF41" s="3">
        <v>41640</v>
      </c>
      <c r="DG41" s="3">
        <v>41671</v>
      </c>
      <c r="DH41" s="3">
        <v>41699</v>
      </c>
      <c r="DI41" s="3">
        <v>41730</v>
      </c>
      <c r="DJ41" s="3">
        <v>41760</v>
      </c>
      <c r="DK41" s="3">
        <v>41791</v>
      </c>
      <c r="DL41" s="3">
        <v>41821</v>
      </c>
      <c r="DM41" s="3">
        <v>41853</v>
      </c>
      <c r="DN41" s="3">
        <v>41885</v>
      </c>
      <c r="DO41" s="3">
        <v>41913</v>
      </c>
      <c r="DP41" s="3">
        <v>41945</v>
      </c>
      <c r="DQ41" s="3">
        <v>41976</v>
      </c>
      <c r="DR41" s="3">
        <v>42005</v>
      </c>
      <c r="DS41" s="3">
        <v>42037</v>
      </c>
      <c r="DT41" s="3">
        <v>42066</v>
      </c>
      <c r="DU41" s="3">
        <v>42095</v>
      </c>
      <c r="DV41" s="3">
        <v>42126</v>
      </c>
      <c r="DW41" s="3">
        <v>42158</v>
      </c>
      <c r="DX41" s="3">
        <v>42189</v>
      </c>
      <c r="DY41" s="3">
        <v>42221</v>
      </c>
      <c r="DZ41" s="3">
        <v>42253</v>
      </c>
      <c r="EA41" s="3">
        <v>42283</v>
      </c>
      <c r="EB41" s="3">
        <v>42315</v>
      </c>
      <c r="EC41" s="3">
        <v>42339</v>
      </c>
      <c r="ED41" s="31">
        <v>42370</v>
      </c>
      <c r="EE41" s="31">
        <v>42401</v>
      </c>
    </row>
    <row r="42" spans="1:135" s="78" customFormat="1" ht="29.25" customHeight="1">
      <c r="A42" s="117" t="s">
        <v>57</v>
      </c>
      <c r="B42" s="118">
        <v>426165</v>
      </c>
      <c r="C42" s="118">
        <v>432609</v>
      </c>
      <c r="D42" s="118">
        <v>455958</v>
      </c>
      <c r="E42" s="118">
        <v>474753</v>
      </c>
      <c r="F42" s="118">
        <v>517492</v>
      </c>
      <c r="G42" s="118">
        <v>525718</v>
      </c>
      <c r="H42" s="118">
        <v>535469</v>
      </c>
      <c r="I42" s="118">
        <v>534511</v>
      </c>
      <c r="J42" s="118">
        <v>535630</v>
      </c>
      <c r="K42" s="118">
        <v>538551</v>
      </c>
      <c r="L42" s="118">
        <v>521973</v>
      </c>
      <c r="M42" s="118">
        <v>519778</v>
      </c>
      <c r="N42" s="118">
        <v>517735</v>
      </c>
      <c r="O42" s="118">
        <v>515760</v>
      </c>
      <c r="P42" s="118">
        <v>524671</v>
      </c>
      <c r="Q42" s="118">
        <v>521644</v>
      </c>
      <c r="R42" s="118">
        <v>523273</v>
      </c>
      <c r="S42" s="118">
        <v>516708</v>
      </c>
      <c r="T42" s="118">
        <v>514145</v>
      </c>
      <c r="U42" s="118">
        <v>496245</v>
      </c>
      <c r="V42" s="118">
        <v>492557</v>
      </c>
      <c r="W42" s="118">
        <v>485811</v>
      </c>
      <c r="X42" s="118">
        <v>476290</v>
      </c>
      <c r="Y42" s="118">
        <v>470855</v>
      </c>
      <c r="Z42" s="118">
        <v>465262</v>
      </c>
      <c r="AA42" s="118">
        <v>459221</v>
      </c>
      <c r="AB42" s="118">
        <v>450147</v>
      </c>
      <c r="AC42" s="118">
        <v>447858</v>
      </c>
      <c r="AD42" s="118">
        <v>446719</v>
      </c>
      <c r="AE42" s="118">
        <v>432068</v>
      </c>
      <c r="AF42" s="118">
        <v>422315</v>
      </c>
      <c r="AG42" s="118">
        <v>421020</v>
      </c>
      <c r="AH42" s="118">
        <v>419228</v>
      </c>
      <c r="AI42" s="118">
        <v>411653</v>
      </c>
      <c r="AJ42" s="118">
        <v>406475</v>
      </c>
      <c r="AK42" s="118">
        <v>401831</v>
      </c>
      <c r="AL42" s="118">
        <v>398743</v>
      </c>
      <c r="AM42" s="118">
        <v>395395</v>
      </c>
      <c r="AN42" s="118">
        <v>391921</v>
      </c>
      <c r="AO42" s="118">
        <v>388506</v>
      </c>
      <c r="AP42" s="118">
        <v>389393</v>
      </c>
      <c r="AQ42" s="118">
        <v>387193</v>
      </c>
      <c r="AR42" s="118">
        <v>379663</v>
      </c>
      <c r="AS42" s="118">
        <v>376860</v>
      </c>
      <c r="AT42" s="118">
        <v>370764</v>
      </c>
      <c r="AU42" s="118">
        <v>363214</v>
      </c>
      <c r="AV42" s="118">
        <v>359465</v>
      </c>
      <c r="AW42" s="118">
        <v>351869</v>
      </c>
      <c r="AX42" s="118">
        <v>347694</v>
      </c>
      <c r="AY42" s="118">
        <v>344045</v>
      </c>
      <c r="AZ42" s="118">
        <v>340197</v>
      </c>
      <c r="BA42" s="118">
        <v>337816</v>
      </c>
      <c r="BB42" s="118">
        <v>333413</v>
      </c>
      <c r="BC42" s="118">
        <v>329653</v>
      </c>
      <c r="BD42" s="118">
        <v>337831</v>
      </c>
      <c r="BE42" s="118">
        <v>307181</v>
      </c>
      <c r="BF42" s="118">
        <v>304426</v>
      </c>
      <c r="BG42" s="118">
        <v>301875</v>
      </c>
      <c r="BH42" s="118">
        <v>299359</v>
      </c>
      <c r="BI42" s="118">
        <v>296409</v>
      </c>
      <c r="BJ42" s="118">
        <v>294573</v>
      </c>
      <c r="BK42" s="118">
        <v>292321</v>
      </c>
      <c r="BL42" s="118">
        <v>291260</v>
      </c>
      <c r="BM42" s="118">
        <v>288145</v>
      </c>
      <c r="BN42" s="118">
        <v>285167</v>
      </c>
      <c r="BO42" s="118">
        <v>282080</v>
      </c>
      <c r="BP42" s="118">
        <v>280410</v>
      </c>
      <c r="BQ42" s="118">
        <v>277838</v>
      </c>
      <c r="BR42" s="118">
        <v>275131</v>
      </c>
      <c r="BS42" s="118">
        <v>273142</v>
      </c>
      <c r="BT42" s="118">
        <v>270325</v>
      </c>
      <c r="BU42" s="118">
        <v>265624</v>
      </c>
      <c r="BV42" s="118">
        <v>264279</v>
      </c>
      <c r="BW42" s="118">
        <v>261327</v>
      </c>
      <c r="BX42" s="118">
        <v>258900</v>
      </c>
      <c r="BY42" s="118">
        <v>254527</v>
      </c>
      <c r="BZ42" s="118">
        <v>251681</v>
      </c>
      <c r="CA42" s="118">
        <v>242734</v>
      </c>
      <c r="CB42" s="118">
        <v>239805</v>
      </c>
      <c r="CC42" s="118">
        <v>235077</v>
      </c>
      <c r="CD42" s="118">
        <v>232943</v>
      </c>
      <c r="CE42" s="118">
        <v>229862</v>
      </c>
      <c r="CF42" s="118">
        <v>225366</v>
      </c>
      <c r="CG42" s="118">
        <v>220863</v>
      </c>
      <c r="CH42" s="118">
        <v>215955</v>
      </c>
      <c r="CI42" s="118">
        <v>212413</v>
      </c>
      <c r="CJ42" s="118">
        <v>207352</v>
      </c>
      <c r="CK42" s="118">
        <v>205177</v>
      </c>
      <c r="CL42" s="118">
        <v>200052</v>
      </c>
      <c r="CM42" s="118">
        <v>198856</v>
      </c>
      <c r="CN42" s="118">
        <v>196241</v>
      </c>
      <c r="CO42" s="118">
        <v>192461</v>
      </c>
      <c r="CP42" s="118">
        <v>187961</v>
      </c>
      <c r="CQ42" s="118">
        <v>185425</v>
      </c>
      <c r="CR42" s="118">
        <v>182836</v>
      </c>
      <c r="CS42" s="118">
        <v>178958</v>
      </c>
      <c r="CT42" s="118">
        <v>176601</v>
      </c>
      <c r="CU42" s="118">
        <v>174018</v>
      </c>
      <c r="CV42" s="118">
        <v>172318</v>
      </c>
      <c r="CW42" s="118">
        <v>166545</v>
      </c>
      <c r="CX42" s="118">
        <v>163061</v>
      </c>
      <c r="CY42" s="118">
        <v>160385</v>
      </c>
      <c r="CZ42" s="118">
        <v>157445</v>
      </c>
      <c r="DA42" s="118">
        <v>154234</v>
      </c>
      <c r="DB42" s="118">
        <v>151537.32142857142</v>
      </c>
      <c r="DC42" s="118">
        <v>148403</v>
      </c>
      <c r="DD42" s="118">
        <v>145223</v>
      </c>
      <c r="DE42" s="118">
        <v>142188</v>
      </c>
      <c r="DF42" s="118">
        <v>141498</v>
      </c>
      <c r="DG42" s="118">
        <v>139831</v>
      </c>
      <c r="DH42" s="118">
        <v>138473</v>
      </c>
      <c r="DI42" s="118">
        <v>136665</v>
      </c>
      <c r="DJ42" s="118">
        <v>135769</v>
      </c>
      <c r="DK42" s="118">
        <v>134923</v>
      </c>
      <c r="DL42" s="118">
        <v>134000</v>
      </c>
      <c r="DM42" s="118">
        <v>133042</v>
      </c>
      <c r="DN42" s="118">
        <v>131619</v>
      </c>
      <c r="DO42" s="118">
        <v>130630</v>
      </c>
      <c r="DP42" s="118">
        <v>125626</v>
      </c>
      <c r="DQ42" s="118">
        <v>124219</v>
      </c>
      <c r="DR42" s="118">
        <v>122996</v>
      </c>
      <c r="DS42" s="118">
        <v>122849</v>
      </c>
      <c r="DT42" s="118">
        <v>119779</v>
      </c>
      <c r="DU42" s="118">
        <v>115923</v>
      </c>
      <c r="DV42" s="118">
        <v>114608</v>
      </c>
      <c r="DW42" s="118">
        <v>113030</v>
      </c>
      <c r="DX42" s="118">
        <v>111555</v>
      </c>
      <c r="DY42" s="118">
        <v>110090</v>
      </c>
      <c r="DZ42" s="118">
        <v>109324</v>
      </c>
      <c r="EA42" s="118">
        <v>107821</v>
      </c>
      <c r="EB42" s="118">
        <v>104501</v>
      </c>
      <c r="EC42" s="118">
        <v>104501</v>
      </c>
      <c r="ED42" s="118">
        <v>102039</v>
      </c>
      <c r="EE42" s="118">
        <v>100751</v>
      </c>
    </row>
    <row r="43" spans="1:135" s="78" customFormat="1" ht="29.25" customHeight="1">
      <c r="A43" s="79" t="s">
        <v>39</v>
      </c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60">
        <v>-4175</v>
      </c>
      <c r="AY43" s="60">
        <v>-3649</v>
      </c>
      <c r="AZ43" s="60">
        <v>-3848</v>
      </c>
      <c r="BA43" s="60">
        <v>-2381</v>
      </c>
      <c r="BB43" s="60">
        <v>-4403</v>
      </c>
      <c r="BC43" s="60">
        <v>-3760</v>
      </c>
      <c r="BD43" s="60">
        <v>8178</v>
      </c>
      <c r="BE43" s="60">
        <v>-30650</v>
      </c>
      <c r="BF43" s="60">
        <v>-2755</v>
      </c>
      <c r="BG43" s="60">
        <v>-2551</v>
      </c>
      <c r="BH43" s="60">
        <v>-2516</v>
      </c>
      <c r="BI43" s="60">
        <v>-2950</v>
      </c>
      <c r="BJ43" s="60">
        <v>-1836</v>
      </c>
      <c r="BK43" s="60">
        <v>-2252</v>
      </c>
      <c r="BL43" s="60">
        <v>-1061</v>
      </c>
      <c r="BM43" s="60">
        <v>-3115</v>
      </c>
      <c r="BN43" s="60">
        <v>-2978</v>
      </c>
      <c r="BO43" s="60">
        <v>-3087</v>
      </c>
      <c r="BP43" s="60">
        <v>-1670</v>
      </c>
      <c r="BQ43" s="60">
        <v>-2572</v>
      </c>
      <c r="BR43" s="60">
        <v>-2707</v>
      </c>
      <c r="BS43" s="60">
        <v>-1989</v>
      </c>
      <c r="BT43" s="60">
        <v>-2817</v>
      </c>
      <c r="BU43" s="60">
        <v>-4701</v>
      </c>
      <c r="BV43" s="60">
        <v>-1345</v>
      </c>
      <c r="BW43" s="60">
        <v>-2952</v>
      </c>
      <c r="BX43" s="60">
        <v>-2427</v>
      </c>
      <c r="BY43" s="60">
        <v>-4373</v>
      </c>
      <c r="BZ43" s="60">
        <v>-2846</v>
      </c>
      <c r="CA43" s="60">
        <v>-8947</v>
      </c>
      <c r="CB43" s="60">
        <v>-2929</v>
      </c>
      <c r="CC43" s="60">
        <v>-4728</v>
      </c>
      <c r="CD43" s="60">
        <v>-2134</v>
      </c>
      <c r="CE43" s="60">
        <v>-3081</v>
      </c>
      <c r="CF43" s="60">
        <v>-4496</v>
      </c>
      <c r="CG43" s="60">
        <v>-4503</v>
      </c>
      <c r="CH43" s="60">
        <v>-4908</v>
      </c>
      <c r="CI43" s="60">
        <v>-3542</v>
      </c>
      <c r="CJ43" s="60">
        <v>-5061</v>
      </c>
      <c r="CK43" s="60">
        <v>-2175</v>
      </c>
      <c r="CL43" s="60">
        <v>-5125</v>
      </c>
      <c r="CM43" s="60">
        <v>-1196</v>
      </c>
      <c r="CN43" s="60">
        <v>-2615</v>
      </c>
      <c r="CO43" s="60">
        <v>-3780</v>
      </c>
      <c r="CP43" s="60">
        <v>-4500</v>
      </c>
      <c r="CQ43" s="60">
        <v>-2536</v>
      </c>
      <c r="CR43" s="60">
        <v>-2589</v>
      </c>
      <c r="CS43" s="60">
        <v>-3878</v>
      </c>
      <c r="CT43" s="60">
        <v>-2357</v>
      </c>
      <c r="CU43" s="60">
        <v>-2583</v>
      </c>
      <c r="CV43" s="60">
        <v>-1700</v>
      </c>
      <c r="CW43" s="60">
        <v>-5773</v>
      </c>
      <c r="CX43" s="60">
        <v>-3484</v>
      </c>
      <c r="CY43" s="60">
        <f t="shared" ref="CY43:DF43" si="0">CY42-CX42</f>
        <v>-2676</v>
      </c>
      <c r="CZ43" s="60">
        <f t="shared" si="0"/>
        <v>-2940</v>
      </c>
      <c r="DA43" s="60">
        <f t="shared" si="0"/>
        <v>-3211</v>
      </c>
      <c r="DB43" s="60">
        <f t="shared" si="0"/>
        <v>-2696.6785714285797</v>
      </c>
      <c r="DC43" s="60">
        <f t="shared" si="0"/>
        <v>-3134.3214285714203</v>
      </c>
      <c r="DD43" s="60">
        <f t="shared" si="0"/>
        <v>-3180</v>
      </c>
      <c r="DE43" s="60">
        <f t="shared" si="0"/>
        <v>-3035</v>
      </c>
      <c r="DF43" s="60">
        <f t="shared" si="0"/>
        <v>-690</v>
      </c>
      <c r="DG43" s="60">
        <v>-3013</v>
      </c>
      <c r="DH43" s="60">
        <v>-3035</v>
      </c>
      <c r="DI43" s="60">
        <v>-2895</v>
      </c>
      <c r="DJ43" s="60">
        <v>-5648</v>
      </c>
      <c r="DK43" s="60">
        <f t="shared" ref="DK43:DQ43" si="1">DK42-DJ42</f>
        <v>-846</v>
      </c>
      <c r="DL43" s="60">
        <f t="shared" si="1"/>
        <v>-923</v>
      </c>
      <c r="DM43" s="60">
        <f t="shared" si="1"/>
        <v>-958</v>
      </c>
      <c r="DN43" s="60">
        <f t="shared" si="1"/>
        <v>-1423</v>
      </c>
      <c r="DO43" s="60">
        <f t="shared" si="1"/>
        <v>-989</v>
      </c>
      <c r="DP43" s="60">
        <f t="shared" si="1"/>
        <v>-5004</v>
      </c>
      <c r="DQ43" s="60">
        <f t="shared" si="1"/>
        <v>-1407</v>
      </c>
      <c r="DR43" s="60">
        <v>-1223</v>
      </c>
      <c r="DS43" s="60">
        <v>-147</v>
      </c>
      <c r="DT43" s="60">
        <f t="shared" ref="DT43:EA43" si="2">DT42-DS42</f>
        <v>-3070</v>
      </c>
      <c r="DU43" s="60">
        <f t="shared" si="2"/>
        <v>-3856</v>
      </c>
      <c r="DV43" s="60">
        <f t="shared" si="2"/>
        <v>-1315</v>
      </c>
      <c r="DW43" s="60">
        <f t="shared" si="2"/>
        <v>-1578</v>
      </c>
      <c r="DX43" s="60">
        <f t="shared" si="2"/>
        <v>-1475</v>
      </c>
      <c r="DY43" s="60">
        <f t="shared" si="2"/>
        <v>-1465</v>
      </c>
      <c r="DZ43" s="60">
        <f t="shared" si="2"/>
        <v>-766</v>
      </c>
      <c r="EA43" s="60">
        <f t="shared" si="2"/>
        <v>-1503</v>
      </c>
      <c r="EB43" s="60">
        <f>EB42-DZ42</f>
        <v>-4823</v>
      </c>
      <c r="EC43" s="60">
        <v>0</v>
      </c>
      <c r="ED43" s="60">
        <v>-2462</v>
      </c>
      <c r="EE43" s="60">
        <v>-1288</v>
      </c>
    </row>
    <row r="44" spans="1:135" s="78" customFormat="1" ht="29.25" customHeight="1">
      <c r="A44" s="113" t="s">
        <v>58</v>
      </c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0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16">
        <v>13000</v>
      </c>
      <c r="BK44" s="116">
        <v>13000</v>
      </c>
      <c r="BL44" s="116">
        <v>13000</v>
      </c>
      <c r="BM44" s="116">
        <v>14660</v>
      </c>
      <c r="BN44" s="116">
        <v>18223</v>
      </c>
      <c r="BO44" s="116">
        <v>25432</v>
      </c>
      <c r="BP44" s="116">
        <v>29321</v>
      </c>
      <c r="BQ44" s="116">
        <v>34046</v>
      </c>
      <c r="BR44" s="116">
        <v>36850</v>
      </c>
      <c r="BS44" s="116">
        <v>39839</v>
      </c>
      <c r="BT44" s="116">
        <v>41693</v>
      </c>
      <c r="BU44" s="116">
        <v>43395</v>
      </c>
      <c r="BV44" s="116">
        <v>44047</v>
      </c>
      <c r="BW44" s="116">
        <v>47094</v>
      </c>
      <c r="BX44" s="116">
        <v>51859</v>
      </c>
      <c r="BY44" s="116">
        <v>57356</v>
      </c>
      <c r="BZ44" s="116">
        <v>65573</v>
      </c>
      <c r="CA44" s="116">
        <v>74742</v>
      </c>
      <c r="CB44" s="116">
        <v>79648</v>
      </c>
      <c r="CC44" s="116">
        <v>84364</v>
      </c>
      <c r="CD44" s="116">
        <v>90383</v>
      </c>
      <c r="CE44" s="116">
        <v>94599</v>
      </c>
      <c r="CF44" s="116">
        <v>98711</v>
      </c>
      <c r="CG44" s="116">
        <v>100156</v>
      </c>
      <c r="CH44" s="116">
        <v>100530</v>
      </c>
      <c r="CI44" s="116">
        <v>105178</v>
      </c>
      <c r="CJ44" s="116">
        <v>105598</v>
      </c>
      <c r="CK44" s="116">
        <v>107755</v>
      </c>
      <c r="CL44" s="116">
        <v>108756</v>
      </c>
      <c r="CM44" s="116">
        <v>109793</v>
      </c>
      <c r="CN44" s="116">
        <v>110611</v>
      </c>
      <c r="CO44" s="116">
        <v>111130</v>
      </c>
      <c r="CP44" s="116">
        <v>111170</v>
      </c>
      <c r="CQ44" s="116">
        <v>111708</v>
      </c>
      <c r="CR44" s="116">
        <v>112163</v>
      </c>
      <c r="CS44" s="116">
        <v>112972</v>
      </c>
      <c r="CT44" s="116">
        <v>112991</v>
      </c>
      <c r="CU44" s="116">
        <v>113057</v>
      </c>
      <c r="CV44" s="116">
        <v>113141</v>
      </c>
      <c r="CW44" s="116">
        <v>113256</v>
      </c>
      <c r="CX44" s="116">
        <v>113371</v>
      </c>
      <c r="CY44" s="116">
        <v>113467</v>
      </c>
      <c r="CZ44" s="116">
        <v>113661</v>
      </c>
      <c r="DA44" s="116">
        <v>113703</v>
      </c>
      <c r="DB44" s="116">
        <v>113783</v>
      </c>
      <c r="DC44" s="116">
        <v>113839</v>
      </c>
      <c r="DD44" s="116">
        <v>113919</v>
      </c>
      <c r="DE44" s="116">
        <v>114107</v>
      </c>
      <c r="DF44" s="116">
        <v>114318</v>
      </c>
      <c r="DG44" s="116">
        <v>114318</v>
      </c>
      <c r="DH44" s="116">
        <v>114318</v>
      </c>
      <c r="DI44" s="116">
        <v>114318</v>
      </c>
      <c r="DJ44" s="116">
        <v>114318</v>
      </c>
      <c r="DK44" s="116">
        <v>114318</v>
      </c>
      <c r="DL44" s="116">
        <v>114318</v>
      </c>
      <c r="DM44" s="116">
        <v>114318</v>
      </c>
      <c r="DN44" s="116">
        <v>114318</v>
      </c>
      <c r="DO44" s="116">
        <v>114318</v>
      </c>
      <c r="DP44" s="116">
        <v>114318</v>
      </c>
      <c r="DQ44" s="116">
        <v>114318</v>
      </c>
      <c r="DR44" s="116">
        <v>114318</v>
      </c>
      <c r="DS44" s="116">
        <v>114318</v>
      </c>
      <c r="DT44" s="116">
        <v>114318</v>
      </c>
      <c r="DU44" s="116">
        <v>114318</v>
      </c>
      <c r="DV44" s="116">
        <v>114318</v>
      </c>
      <c r="DW44" s="116">
        <v>114318</v>
      </c>
      <c r="DX44" s="116">
        <v>114318</v>
      </c>
      <c r="DY44" s="116">
        <v>114318</v>
      </c>
      <c r="DZ44" s="116">
        <v>114318</v>
      </c>
      <c r="EA44" s="116">
        <v>114318</v>
      </c>
      <c r="EB44" s="116">
        <v>114318</v>
      </c>
      <c r="EC44" s="116">
        <v>114318</v>
      </c>
      <c r="ED44" s="116">
        <v>114318</v>
      </c>
      <c r="EE44" s="116">
        <v>114318</v>
      </c>
    </row>
    <row r="45" spans="1:135" s="74" customFormat="1" ht="24.75" customHeight="1">
      <c r="A45" s="12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23"/>
      <c r="CJ45" s="123"/>
      <c r="CK45" s="123"/>
      <c r="CL45" s="123"/>
      <c r="CM45" s="123"/>
      <c r="CN45" s="123"/>
      <c r="CO45" s="123"/>
      <c r="CP45" s="123"/>
      <c r="CQ45" s="123"/>
      <c r="CR45" s="123"/>
      <c r="CS45" s="123"/>
      <c r="CT45" s="194"/>
      <c r="CU45" s="194"/>
      <c r="CV45" s="194"/>
      <c r="CW45" s="194"/>
      <c r="CX45" s="194"/>
      <c r="CY45" s="194"/>
      <c r="CZ45" s="194"/>
      <c r="DA45" s="194"/>
      <c r="DB45" s="194"/>
      <c r="DC45" s="194"/>
      <c r="DD45" s="194"/>
      <c r="DE45" s="194"/>
      <c r="DF45" s="194"/>
      <c r="DG45" s="194"/>
      <c r="DH45" s="194"/>
      <c r="DI45" s="194"/>
      <c r="DJ45" s="194"/>
      <c r="DK45" s="194"/>
      <c r="DL45" s="194"/>
      <c r="DM45" s="194"/>
      <c r="DN45" s="194"/>
      <c r="DO45" s="194"/>
      <c r="DP45" s="194"/>
      <c r="DQ45" s="194"/>
      <c r="DR45" s="194"/>
      <c r="DS45" s="194"/>
      <c r="DT45" s="194"/>
      <c r="DU45" s="194"/>
      <c r="DV45" s="194"/>
      <c r="DW45" s="194"/>
      <c r="DX45" s="194"/>
      <c r="DY45" s="194"/>
      <c r="DZ45" s="194"/>
      <c r="EA45" s="194"/>
      <c r="EB45" s="194"/>
      <c r="EC45" s="194"/>
      <c r="ED45" s="194"/>
      <c r="EE45" s="194"/>
    </row>
    <row r="46" spans="1:135" s="76" customFormat="1" ht="29.25" customHeight="1">
      <c r="A46" s="124" t="s">
        <v>59</v>
      </c>
      <c r="B46" s="125">
        <v>38355</v>
      </c>
      <c r="C46" s="125">
        <v>38385</v>
      </c>
      <c r="D46" s="125">
        <v>38413</v>
      </c>
      <c r="E46" s="125">
        <v>38444</v>
      </c>
      <c r="F46" s="125">
        <v>38474</v>
      </c>
      <c r="G46" s="125">
        <v>38505</v>
      </c>
      <c r="H46" s="125">
        <v>38535</v>
      </c>
      <c r="I46" s="125">
        <v>38566</v>
      </c>
      <c r="J46" s="125">
        <v>38597</v>
      </c>
      <c r="K46" s="125">
        <v>38627</v>
      </c>
      <c r="L46" s="125">
        <v>38658</v>
      </c>
      <c r="M46" s="125">
        <v>38688</v>
      </c>
      <c r="N46" s="125">
        <v>38719</v>
      </c>
      <c r="O46" s="125">
        <v>38750</v>
      </c>
      <c r="P46" s="125">
        <v>38778</v>
      </c>
      <c r="Q46" s="125">
        <v>38809</v>
      </c>
      <c r="R46" s="125">
        <v>38839</v>
      </c>
      <c r="S46" s="125">
        <v>38870</v>
      </c>
      <c r="T46" s="125">
        <v>38900</v>
      </c>
      <c r="U46" s="125">
        <v>38931</v>
      </c>
      <c r="V46" s="125">
        <v>38962</v>
      </c>
      <c r="W46" s="125">
        <v>38992</v>
      </c>
      <c r="X46" s="125">
        <v>39023</v>
      </c>
      <c r="Y46" s="125">
        <v>39053</v>
      </c>
      <c r="Z46" s="125">
        <v>39084</v>
      </c>
      <c r="AA46" s="125">
        <v>39115</v>
      </c>
      <c r="AB46" s="125">
        <v>39143</v>
      </c>
      <c r="AC46" s="125">
        <v>39174</v>
      </c>
      <c r="AD46" s="125">
        <v>39204</v>
      </c>
      <c r="AE46" s="125">
        <v>39235</v>
      </c>
      <c r="AF46" s="125">
        <v>39264</v>
      </c>
      <c r="AG46" s="125">
        <v>39324</v>
      </c>
      <c r="AH46" s="125">
        <v>39332</v>
      </c>
      <c r="AI46" s="125">
        <v>39362</v>
      </c>
      <c r="AJ46" s="125">
        <v>39393</v>
      </c>
      <c r="AK46" s="125">
        <v>39417</v>
      </c>
      <c r="AL46" s="125">
        <v>39448</v>
      </c>
      <c r="AM46" s="125">
        <v>39480</v>
      </c>
      <c r="AN46" s="125">
        <v>39509</v>
      </c>
      <c r="AO46" s="125">
        <v>39541</v>
      </c>
      <c r="AP46" s="125">
        <v>39569</v>
      </c>
      <c r="AQ46" s="125">
        <v>39600</v>
      </c>
      <c r="AR46" s="125">
        <v>39630</v>
      </c>
      <c r="AS46" s="125">
        <v>39661</v>
      </c>
      <c r="AT46" s="125">
        <v>39692</v>
      </c>
      <c r="AU46" s="125">
        <v>39722</v>
      </c>
      <c r="AV46" s="125">
        <v>39753</v>
      </c>
      <c r="AW46" s="125">
        <v>39783</v>
      </c>
      <c r="AX46" s="125">
        <v>39814</v>
      </c>
      <c r="AY46" s="125">
        <v>39845</v>
      </c>
      <c r="AZ46" s="125">
        <v>39873</v>
      </c>
      <c r="BA46" s="125">
        <v>39904</v>
      </c>
      <c r="BB46" s="125">
        <v>39934</v>
      </c>
      <c r="BC46" s="125">
        <v>39965</v>
      </c>
      <c r="BD46" s="125">
        <v>39995</v>
      </c>
      <c r="BE46" s="125">
        <v>40027</v>
      </c>
      <c r="BF46" s="125">
        <v>40057</v>
      </c>
      <c r="BG46" s="125">
        <v>40087</v>
      </c>
      <c r="BH46" s="125">
        <v>40118</v>
      </c>
      <c r="BI46" s="125">
        <v>40148</v>
      </c>
      <c r="BJ46" s="125">
        <v>40179</v>
      </c>
      <c r="BK46" s="125">
        <v>40210</v>
      </c>
      <c r="BL46" s="125">
        <v>40238</v>
      </c>
      <c r="BM46" s="125">
        <v>40269</v>
      </c>
      <c r="BN46" s="125">
        <v>40299</v>
      </c>
      <c r="BO46" s="125">
        <v>40330</v>
      </c>
      <c r="BP46" s="125">
        <v>40360</v>
      </c>
      <c r="BQ46" s="125">
        <v>40391</v>
      </c>
      <c r="BR46" s="125">
        <v>40422</v>
      </c>
      <c r="BS46" s="125">
        <v>40452</v>
      </c>
      <c r="BT46" s="125">
        <v>40483</v>
      </c>
      <c r="BU46" s="125">
        <v>40513</v>
      </c>
      <c r="BV46" s="125">
        <v>40544</v>
      </c>
      <c r="BW46" s="125">
        <v>40575</v>
      </c>
      <c r="BX46" s="125">
        <v>40603</v>
      </c>
      <c r="BY46" s="125">
        <v>40634</v>
      </c>
      <c r="BZ46" s="125">
        <v>40664</v>
      </c>
      <c r="CA46" s="125">
        <v>40695</v>
      </c>
      <c r="CB46" s="125">
        <v>40725</v>
      </c>
      <c r="CC46" s="125">
        <v>40756</v>
      </c>
      <c r="CD46" s="125">
        <v>40787</v>
      </c>
      <c r="CE46" s="125">
        <v>40817</v>
      </c>
      <c r="CF46" s="125">
        <v>40849</v>
      </c>
      <c r="CG46" s="125">
        <v>40880</v>
      </c>
      <c r="CH46" s="125">
        <v>40909</v>
      </c>
      <c r="CI46" s="125">
        <v>40940</v>
      </c>
      <c r="CJ46" s="125">
        <v>40969</v>
      </c>
      <c r="CK46" s="125">
        <v>41000</v>
      </c>
      <c r="CL46" s="125">
        <v>41030</v>
      </c>
      <c r="CM46" s="125">
        <v>41061</v>
      </c>
      <c r="CN46" s="125">
        <v>41091</v>
      </c>
      <c r="CO46" s="125">
        <v>41122</v>
      </c>
      <c r="CP46" s="125">
        <v>41153</v>
      </c>
      <c r="CQ46" s="125">
        <v>41183</v>
      </c>
      <c r="CR46" s="125">
        <v>41214</v>
      </c>
      <c r="CS46" s="125">
        <v>41244</v>
      </c>
      <c r="CT46" s="125">
        <v>41287</v>
      </c>
      <c r="CU46" s="125">
        <v>41306</v>
      </c>
      <c r="CV46" s="125">
        <v>41334</v>
      </c>
      <c r="CW46" s="125">
        <v>41365</v>
      </c>
      <c r="CX46" s="125">
        <v>41395</v>
      </c>
      <c r="CY46" s="125">
        <v>41426</v>
      </c>
      <c r="CZ46" s="125">
        <v>41468</v>
      </c>
      <c r="DA46" s="125">
        <v>41487</v>
      </c>
      <c r="DB46" s="125">
        <v>41518</v>
      </c>
      <c r="DC46" s="125">
        <v>41548</v>
      </c>
      <c r="DD46" s="125">
        <v>41579</v>
      </c>
      <c r="DE46" s="125">
        <v>41609</v>
      </c>
      <c r="DF46" s="125">
        <v>41640</v>
      </c>
      <c r="DG46" s="125">
        <v>41671</v>
      </c>
      <c r="DH46" s="125">
        <v>41699</v>
      </c>
      <c r="DI46" s="125">
        <v>41730</v>
      </c>
      <c r="DJ46" s="125">
        <v>41760</v>
      </c>
      <c r="DK46" s="125">
        <v>41791</v>
      </c>
      <c r="DL46" s="125">
        <v>41822</v>
      </c>
      <c r="DM46" s="125">
        <v>41854</v>
      </c>
      <c r="DN46" s="125">
        <v>41886</v>
      </c>
      <c r="DO46" s="125">
        <v>41913</v>
      </c>
      <c r="DP46" s="125">
        <v>41945</v>
      </c>
      <c r="DQ46" s="125">
        <v>41976</v>
      </c>
      <c r="DR46" s="125">
        <v>42005</v>
      </c>
      <c r="DS46" s="125">
        <v>42037</v>
      </c>
      <c r="DT46" s="125">
        <v>42066</v>
      </c>
      <c r="DU46" s="125">
        <v>42095</v>
      </c>
      <c r="DV46" s="125">
        <v>42126</v>
      </c>
      <c r="DW46" s="125">
        <v>42158</v>
      </c>
      <c r="DX46" s="125">
        <v>42189</v>
      </c>
      <c r="DY46" s="125">
        <v>42221</v>
      </c>
      <c r="DZ46" s="125">
        <v>42253</v>
      </c>
      <c r="EA46" s="125">
        <v>42283</v>
      </c>
      <c r="EB46" s="125">
        <v>42314</v>
      </c>
      <c r="EC46" s="125">
        <v>42339</v>
      </c>
      <c r="ED46" s="125">
        <v>42370</v>
      </c>
      <c r="EE46" s="125">
        <v>42401</v>
      </c>
    </row>
    <row r="47" spans="1:135" s="129" customFormat="1" ht="29.25" customHeight="1">
      <c r="A47" s="126" t="s">
        <v>60</v>
      </c>
      <c r="B47" s="127">
        <v>48294</v>
      </c>
      <c r="C47" s="127">
        <v>48294</v>
      </c>
      <c r="D47" s="127">
        <v>48294</v>
      </c>
      <c r="E47" s="127">
        <v>48294</v>
      </c>
      <c r="F47" s="127">
        <v>48294</v>
      </c>
      <c r="G47" s="127">
        <v>48294</v>
      </c>
      <c r="H47" s="127">
        <v>48294</v>
      </c>
      <c r="I47" s="127">
        <v>48294</v>
      </c>
      <c r="J47" s="127">
        <v>48294</v>
      </c>
      <c r="K47" s="127">
        <v>48294</v>
      </c>
      <c r="L47" s="127">
        <v>48294</v>
      </c>
      <c r="M47" s="127">
        <v>48294</v>
      </c>
      <c r="N47" s="127">
        <v>48311.061000000002</v>
      </c>
      <c r="O47" s="127">
        <v>48327.98</v>
      </c>
      <c r="P47" s="127">
        <v>48343.898000000001</v>
      </c>
      <c r="Q47" s="127">
        <v>48361.817000000003</v>
      </c>
      <c r="R47" s="127">
        <v>48480.56</v>
      </c>
      <c r="S47" s="127">
        <v>48498.455000000002</v>
      </c>
      <c r="T47" s="127">
        <v>48514</v>
      </c>
      <c r="U47" s="127">
        <v>48530</v>
      </c>
      <c r="V47" s="127">
        <v>48547</v>
      </c>
      <c r="W47" s="127">
        <v>48563</v>
      </c>
      <c r="X47" s="127">
        <v>48364</v>
      </c>
      <c r="Y47" s="127">
        <v>48378</v>
      </c>
      <c r="Z47" s="127">
        <v>48391</v>
      </c>
      <c r="AA47" s="127">
        <v>48405</v>
      </c>
      <c r="AB47" s="127">
        <v>48417.5</v>
      </c>
      <c r="AC47" s="127">
        <v>48430.59</v>
      </c>
      <c r="AD47" s="127">
        <v>48443.65</v>
      </c>
      <c r="AE47" s="127">
        <v>48457.34</v>
      </c>
      <c r="AF47" s="127">
        <v>48457.34</v>
      </c>
      <c r="AG47" s="127">
        <v>48457.34</v>
      </c>
      <c r="AH47" s="127">
        <v>48457.34</v>
      </c>
      <c r="AI47" s="127">
        <v>48457.34</v>
      </c>
      <c r="AJ47" s="127">
        <v>48457.34</v>
      </c>
      <c r="AK47" s="127">
        <v>48457.34</v>
      </c>
      <c r="AL47" s="128">
        <v>48443520</v>
      </c>
      <c r="AM47" s="128">
        <v>48481440.337036274</v>
      </c>
      <c r="AN47" s="128">
        <v>48493980.869603455</v>
      </c>
      <c r="AO47" s="128">
        <v>48506524.64598839</v>
      </c>
      <c r="AP47" s="128">
        <v>48519071.667030148</v>
      </c>
      <c r="AQ47" s="128">
        <v>48531621.933568016</v>
      </c>
      <c r="AR47" s="128">
        <v>48544175.446441494</v>
      </c>
      <c r="AS47" s="128">
        <v>48556732.206490308</v>
      </c>
      <c r="AT47" s="128">
        <v>48569292</v>
      </c>
      <c r="AU47" s="128">
        <v>48581855.47147388</v>
      </c>
      <c r="AV47" s="128">
        <v>48594421.978089169</v>
      </c>
      <c r="AW47" s="128">
        <v>48606991.735240802</v>
      </c>
      <c r="AX47" s="128">
        <v>48618000</v>
      </c>
      <c r="AY47" s="128">
        <v>48630104.851361401</v>
      </c>
      <c r="AZ47" s="128">
        <v>48641767.97150825</v>
      </c>
      <c r="BA47" s="128">
        <v>48653433.888860099</v>
      </c>
      <c r="BB47" s="128">
        <v>48654433.888860099</v>
      </c>
      <c r="BC47" s="128">
        <v>48676774.117862299</v>
      </c>
      <c r="BD47" s="128">
        <v>48688448.430854902</v>
      </c>
      <c r="BE47" s="128">
        <v>48700125.543736912</v>
      </c>
      <c r="BF47" s="128">
        <v>48711805.457179815</v>
      </c>
      <c r="BG47" s="128">
        <v>48723488.171855293</v>
      </c>
      <c r="BH47" s="128">
        <v>48735173.688435175</v>
      </c>
      <c r="BI47" s="128">
        <v>48746862.007591501</v>
      </c>
      <c r="BJ47" s="128">
        <v>48757501.756958872</v>
      </c>
      <c r="BK47" s="128">
        <v>48768141.506326243</v>
      </c>
      <c r="BL47" s="128">
        <v>48778781.255693614</v>
      </c>
      <c r="BM47" s="128">
        <v>48789421.005060986</v>
      </c>
      <c r="BN47" s="128">
        <v>48800060.754428357</v>
      </c>
      <c r="BO47" s="128">
        <v>48810700.503795728</v>
      </c>
      <c r="BP47" s="128">
        <v>48821340.253163099</v>
      </c>
      <c r="BQ47" s="128">
        <v>48831980.00253047</v>
      </c>
      <c r="BR47" s="128">
        <v>48842619.751897842</v>
      </c>
      <c r="BS47" s="128">
        <v>48853259.501265213</v>
      </c>
      <c r="BT47" s="128">
        <v>48863899.250632584</v>
      </c>
      <c r="BU47" s="128">
        <v>48874539</v>
      </c>
      <c r="BV47" s="128">
        <v>48884063.5</v>
      </c>
      <c r="BW47" s="128">
        <v>48893588</v>
      </c>
      <c r="BX47" s="128">
        <v>48903112.5</v>
      </c>
      <c r="BY47" s="128">
        <v>48912637</v>
      </c>
      <c r="BZ47" s="128">
        <v>48922161.5</v>
      </c>
      <c r="CA47" s="128">
        <v>48931686</v>
      </c>
      <c r="CB47" s="128">
        <v>48941210</v>
      </c>
      <c r="CC47" s="128">
        <v>48950735</v>
      </c>
      <c r="CD47" s="128">
        <v>48960259.5</v>
      </c>
      <c r="CE47" s="128">
        <v>48969784</v>
      </c>
      <c r="CF47" s="128">
        <v>48979309</v>
      </c>
      <c r="CG47" s="128">
        <v>49779440</v>
      </c>
      <c r="CH47" s="128">
        <v>49798190.083333336</v>
      </c>
      <c r="CI47" s="128">
        <v>49816940.166666672</v>
      </c>
      <c r="CJ47" s="128">
        <v>49835690.250000007</v>
      </c>
      <c r="CK47" s="128">
        <v>49854440.333333343</v>
      </c>
      <c r="CL47" s="128">
        <v>49873190.416666679</v>
      </c>
      <c r="CM47" s="128">
        <v>49891940.500000015</v>
      </c>
      <c r="CN47" s="128">
        <v>49910690.583333351</v>
      </c>
      <c r="CO47" s="128">
        <v>49929440.666666687</v>
      </c>
      <c r="CP47" s="128">
        <v>49948190.750000022</v>
      </c>
      <c r="CQ47" s="128">
        <v>49966940.833333358</v>
      </c>
      <c r="CR47" s="128">
        <v>49985690.916666694</v>
      </c>
      <c r="CS47" s="191">
        <v>50004441</v>
      </c>
      <c r="CT47" s="191">
        <v>50022376.666666664</v>
      </c>
      <c r="CU47" s="191">
        <v>50040312.333333328</v>
      </c>
      <c r="CV47" s="191">
        <v>50058247.999999993</v>
      </c>
      <c r="CW47" s="191">
        <v>50076183.666666657</v>
      </c>
      <c r="CX47" s="191">
        <v>50094119.333333321</v>
      </c>
      <c r="CY47" s="191">
        <v>50112054.999999985</v>
      </c>
      <c r="CZ47" s="191">
        <v>50129990.666666649</v>
      </c>
      <c r="DA47" s="191">
        <v>50147926.333333313</v>
      </c>
      <c r="DB47" s="191">
        <v>50165861.999999978</v>
      </c>
      <c r="DC47" s="191">
        <v>50183797.666666642</v>
      </c>
      <c r="DD47" s="191">
        <v>50201733.333333306</v>
      </c>
      <c r="DE47" s="191">
        <v>50219668.99999997</v>
      </c>
      <c r="DF47" s="191">
        <v>50236692.833333306</v>
      </c>
      <c r="DG47" s="191">
        <v>50253716.666666642</v>
      </c>
      <c r="DH47" s="191">
        <v>50270740.499999978</v>
      </c>
      <c r="DI47" s="191">
        <v>50287764.333333313</v>
      </c>
      <c r="DJ47" s="191">
        <v>50304788.166666649</v>
      </c>
      <c r="DK47" s="191">
        <v>50321811.999999985</v>
      </c>
      <c r="DL47" s="191">
        <v>50338835.833333321</v>
      </c>
      <c r="DM47" s="191">
        <v>50355859.666666657</v>
      </c>
      <c r="DN47" s="191">
        <v>50372883.499999993</v>
      </c>
      <c r="DO47" s="191">
        <v>50389907.333333328</v>
      </c>
      <c r="DP47" s="191">
        <v>50406931.166666664</v>
      </c>
      <c r="DQ47" s="191">
        <v>50423955</v>
      </c>
      <c r="DR47" s="191">
        <v>50440045.833333336</v>
      </c>
      <c r="DS47" s="191">
        <v>50456136.666666672</v>
      </c>
      <c r="DT47" s="191">
        <v>50472227.500000007</v>
      </c>
      <c r="DU47" s="191">
        <v>50488318.333333343</v>
      </c>
      <c r="DV47" s="191">
        <v>50504409.166666679</v>
      </c>
      <c r="DW47" s="191">
        <v>50520500.000000015</v>
      </c>
      <c r="DX47" s="191">
        <v>50536590.833333351</v>
      </c>
      <c r="DY47" s="191">
        <v>50552681.666666687</v>
      </c>
      <c r="DZ47" s="191">
        <v>50568772.500000022</v>
      </c>
      <c r="EA47" s="191">
        <v>50584863.333333358</v>
      </c>
      <c r="EB47" s="191">
        <v>50600954.166666694</v>
      </c>
      <c r="EC47" s="191">
        <v>50617045</v>
      </c>
      <c r="ED47" s="191">
        <v>50633136</v>
      </c>
      <c r="EE47" s="191">
        <v>50649227</v>
      </c>
    </row>
    <row r="48" spans="1:135" s="129" customFormat="1" ht="29.25" customHeight="1">
      <c r="A48" s="130" t="s">
        <v>61</v>
      </c>
      <c r="B48" s="131">
        <v>15789</v>
      </c>
      <c r="C48" s="131">
        <v>15789</v>
      </c>
      <c r="D48" s="131">
        <v>15789</v>
      </c>
      <c r="E48" s="131">
        <v>15789</v>
      </c>
      <c r="F48" s="131">
        <v>15789</v>
      </c>
      <c r="G48" s="131">
        <v>15789</v>
      </c>
      <c r="H48" s="131">
        <v>15789</v>
      </c>
      <c r="I48" s="131">
        <v>15789</v>
      </c>
      <c r="J48" s="131">
        <v>15789</v>
      </c>
      <c r="K48" s="131">
        <v>15789</v>
      </c>
      <c r="L48" s="131">
        <v>15789</v>
      </c>
      <c r="M48" s="131">
        <v>15789</v>
      </c>
      <c r="N48" s="131">
        <v>15989</v>
      </c>
      <c r="O48" s="131">
        <v>15989</v>
      </c>
      <c r="P48" s="131">
        <v>15989</v>
      </c>
      <c r="Q48" s="131">
        <v>15989</v>
      </c>
      <c r="R48" s="131">
        <v>15989</v>
      </c>
      <c r="S48" s="131">
        <v>15989</v>
      </c>
      <c r="T48" s="131">
        <v>15989</v>
      </c>
      <c r="U48" s="131">
        <v>15989</v>
      </c>
      <c r="V48" s="131">
        <v>15989</v>
      </c>
      <c r="W48" s="131">
        <v>15989</v>
      </c>
      <c r="X48" s="131">
        <v>15989</v>
      </c>
      <c r="Y48" s="131">
        <v>15989</v>
      </c>
      <c r="Z48" s="131">
        <v>16194</v>
      </c>
      <c r="AA48" s="131">
        <v>16194</v>
      </c>
      <c r="AB48" s="131">
        <v>16194</v>
      </c>
      <c r="AC48" s="131">
        <v>16194</v>
      </c>
      <c r="AD48" s="131">
        <v>16194</v>
      </c>
      <c r="AE48" s="131">
        <v>16194</v>
      </c>
      <c r="AF48" s="131">
        <v>16194</v>
      </c>
      <c r="AG48" s="131">
        <v>16194</v>
      </c>
      <c r="AH48" s="131">
        <v>16194</v>
      </c>
      <c r="AI48" s="131">
        <v>16194</v>
      </c>
      <c r="AJ48" s="131">
        <v>16194</v>
      </c>
      <c r="AK48" s="131">
        <v>16194</v>
      </c>
      <c r="AL48" s="132">
        <v>16617087.953308588</v>
      </c>
      <c r="AM48" s="132">
        <v>16630095.380839678</v>
      </c>
      <c r="AN48" s="132">
        <v>16634397.032178188</v>
      </c>
      <c r="AO48" s="132">
        <v>16638699.796210511</v>
      </c>
      <c r="AP48" s="132">
        <v>16643003.673224462</v>
      </c>
      <c r="AQ48" s="132">
        <v>16647308.663507935</v>
      </c>
      <c r="AR48" s="132">
        <v>16651614.767348895</v>
      </c>
      <c r="AS48" s="132">
        <v>16655921.985035382</v>
      </c>
      <c r="AT48" s="132">
        <v>16660230.243259102</v>
      </c>
      <c r="AU48" s="132">
        <v>16664539.763097469</v>
      </c>
      <c r="AV48" s="132">
        <v>16668850.324049525</v>
      </c>
      <c r="AW48" s="132">
        <v>16673162</v>
      </c>
      <c r="AX48" s="132">
        <v>16871282.665783115</v>
      </c>
      <c r="AY48" s="132">
        <v>16875483.257517565</v>
      </c>
      <c r="AZ48" s="132">
        <v>16879530.560918827</v>
      </c>
      <c r="BA48" s="132">
        <v>16883578.834998358</v>
      </c>
      <c r="BB48" s="132">
        <v>16883925.852207329</v>
      </c>
      <c r="BC48" s="132">
        <v>16891678.29612346</v>
      </c>
      <c r="BD48" s="132">
        <v>16895729.483634815</v>
      </c>
      <c r="BE48" s="132">
        <v>16899781.642755978</v>
      </c>
      <c r="BF48" s="132">
        <v>16903834.773719963</v>
      </c>
      <c r="BG48" s="132">
        <v>16907888.876759861</v>
      </c>
      <c r="BH48" s="132">
        <v>16911943.9521088</v>
      </c>
      <c r="BI48" s="132">
        <v>16916000</v>
      </c>
      <c r="BJ48" s="132">
        <v>16935666.666666668</v>
      </c>
      <c r="BK48" s="132">
        <v>16953694.444444444</v>
      </c>
      <c r="BL48" s="132">
        <v>16971722.22222222</v>
      </c>
      <c r="BM48" s="132">
        <v>16989749.999999996</v>
      </c>
      <c r="BN48" s="132">
        <v>17007777.777777772</v>
      </c>
      <c r="BO48" s="132">
        <v>17025805.555555549</v>
      </c>
      <c r="BP48" s="132">
        <v>17043833.333333325</v>
      </c>
      <c r="BQ48" s="132">
        <v>17061861.111111101</v>
      </c>
      <c r="BR48" s="132">
        <v>17079888.888888877</v>
      </c>
      <c r="BS48" s="132">
        <v>17097916.666666653</v>
      </c>
      <c r="BT48" s="132">
        <v>17115944.444444429</v>
      </c>
      <c r="BU48" s="132">
        <v>17152000</v>
      </c>
      <c r="BV48" s="132">
        <v>17171226.166666668</v>
      </c>
      <c r="BW48" s="132">
        <v>17190175.333333336</v>
      </c>
      <c r="BX48" s="132">
        <v>17209124.500000004</v>
      </c>
      <c r="BY48" s="132">
        <v>17228073.666666672</v>
      </c>
      <c r="BZ48" s="132">
        <v>17247022.83333334</v>
      </c>
      <c r="CA48" s="132">
        <v>17265972.000000007</v>
      </c>
      <c r="CB48" s="132">
        <v>17284921</v>
      </c>
      <c r="CC48" s="132">
        <v>17303870.333333343</v>
      </c>
      <c r="CD48" s="132">
        <v>17322819.500000011</v>
      </c>
      <c r="CE48" s="132">
        <v>17341768.666666679</v>
      </c>
      <c r="CF48" s="132">
        <v>17360718</v>
      </c>
      <c r="CG48" s="132">
        <v>17379667</v>
      </c>
      <c r="CH48" s="132">
        <v>17397706.333333332</v>
      </c>
      <c r="CI48" s="132">
        <v>17415745.666666664</v>
      </c>
      <c r="CJ48" s="132">
        <v>17433784.999999996</v>
      </c>
      <c r="CK48" s="132">
        <v>17451824.333333328</v>
      </c>
      <c r="CL48" s="132">
        <v>17469863.66666666</v>
      </c>
      <c r="CM48" s="132">
        <v>17487902.999999993</v>
      </c>
      <c r="CN48" s="132">
        <v>17505942.333333325</v>
      </c>
      <c r="CO48" s="132">
        <v>17523981.666666657</v>
      </c>
      <c r="CP48" s="132">
        <v>17542020.999999989</v>
      </c>
      <c r="CQ48" s="132">
        <v>17560060.333333321</v>
      </c>
      <c r="CR48" s="132">
        <v>17578099.666666653</v>
      </c>
      <c r="CS48" s="192">
        <v>17596139</v>
      </c>
      <c r="CT48" s="192">
        <v>17646988.083333332</v>
      </c>
      <c r="CU48" s="192">
        <v>17697837.166666664</v>
      </c>
      <c r="CV48" s="192">
        <v>17748686.249999996</v>
      </c>
      <c r="CW48" s="192">
        <v>17799535.333333328</v>
      </c>
      <c r="CX48" s="192">
        <v>17850384.41666666</v>
      </c>
      <c r="CY48" s="192">
        <v>17901233.499999993</v>
      </c>
      <c r="CZ48" s="192">
        <v>17952082.583333325</v>
      </c>
      <c r="DA48" s="192">
        <v>18002931.666666657</v>
      </c>
      <c r="DB48" s="192">
        <v>18053780.749999989</v>
      </c>
      <c r="DC48" s="192">
        <v>18104629.833333321</v>
      </c>
      <c r="DD48" s="192">
        <v>18155478.916666653</v>
      </c>
      <c r="DE48" s="192">
        <v>18206327.999999985</v>
      </c>
      <c r="DF48" s="192">
        <v>18227269.666666653</v>
      </c>
      <c r="DG48" s="192">
        <v>18248211.333333321</v>
      </c>
      <c r="DH48" s="192">
        <v>18269152.999999989</v>
      </c>
      <c r="DI48" s="192">
        <v>18290094.666666657</v>
      </c>
      <c r="DJ48" s="192">
        <v>18311036.333333325</v>
      </c>
      <c r="DK48" s="192">
        <v>18331977.999999993</v>
      </c>
      <c r="DL48" s="192">
        <v>18352919.66666666</v>
      </c>
      <c r="DM48" s="192">
        <v>18373861.333333328</v>
      </c>
      <c r="DN48" s="192">
        <v>18394802.999999996</v>
      </c>
      <c r="DO48" s="192">
        <v>18415744.666666664</v>
      </c>
      <c r="DP48" s="192">
        <v>18436686.333333332</v>
      </c>
      <c r="DQ48" s="192">
        <v>18457628</v>
      </c>
      <c r="DR48" s="192">
        <v>18478242.666666668</v>
      </c>
      <c r="DS48" s="192">
        <v>18498857.333333336</v>
      </c>
      <c r="DT48" s="192">
        <v>18519472.000000004</v>
      </c>
      <c r="DU48" s="192">
        <v>18540086.666666672</v>
      </c>
      <c r="DV48" s="192">
        <v>18560701.33333334</v>
      </c>
      <c r="DW48" s="192">
        <v>18581316.000000007</v>
      </c>
      <c r="DX48" s="192">
        <v>18601930.666666675</v>
      </c>
      <c r="DY48" s="192">
        <v>18622545.333333343</v>
      </c>
      <c r="DZ48" s="192">
        <v>18643160.000000011</v>
      </c>
      <c r="EA48" s="192">
        <v>18663774.666666679</v>
      </c>
      <c r="EB48" s="192">
        <v>18684389.333333347</v>
      </c>
      <c r="EC48" s="192">
        <v>18705004</v>
      </c>
      <c r="ED48" s="192">
        <v>18725619</v>
      </c>
      <c r="EE48" s="192">
        <v>18746233</v>
      </c>
    </row>
    <row r="49" spans="1:97" s="129" customFormat="1" ht="29.25" customHeight="1">
      <c r="A49" s="126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4"/>
      <c r="BQ49" s="134"/>
      <c r="BR49" s="134"/>
      <c r="BS49" s="134"/>
      <c r="BT49" s="134"/>
      <c r="BU49" s="185"/>
      <c r="BV49" s="185"/>
      <c r="BW49" s="185"/>
      <c r="BX49" s="185"/>
      <c r="BY49" s="185"/>
      <c r="BZ49" s="185"/>
      <c r="CA49" s="185"/>
      <c r="CB49" s="185"/>
      <c r="CC49" s="185"/>
      <c r="CD49" s="185"/>
      <c r="CE49" s="185"/>
      <c r="CF49" s="185"/>
      <c r="CG49" s="185"/>
      <c r="CH49" s="185"/>
      <c r="CI49" s="185"/>
      <c r="CJ49" s="185"/>
      <c r="CK49" s="185"/>
      <c r="CL49" s="185"/>
      <c r="CM49" s="185"/>
      <c r="CN49" s="185"/>
      <c r="CO49" s="185"/>
      <c r="CP49" s="185"/>
      <c r="CQ49" s="185"/>
      <c r="CR49" s="185"/>
      <c r="CS49" s="185"/>
    </row>
    <row r="50" spans="1:97" s="129" customFormat="1" ht="30.75" customHeight="1">
      <c r="A50" s="135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  <c r="CC50" s="137"/>
      <c r="CD50" s="137"/>
      <c r="CE50" s="137"/>
      <c r="CG50" s="185"/>
      <c r="CH50" s="185"/>
      <c r="CI50" s="185"/>
      <c r="CJ50" s="185"/>
      <c r="CK50" s="185"/>
      <c r="CL50" s="185"/>
    </row>
    <row r="51" spans="1:97" s="142" customFormat="1" ht="18.75" customHeight="1">
      <c r="A51" s="138" t="s">
        <v>62</v>
      </c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40"/>
      <c r="AM51" s="140"/>
      <c r="AN51" s="140"/>
      <c r="AO51" s="141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</row>
    <row r="52" spans="1:97" s="129" customFormat="1" ht="18.75" customHeight="1">
      <c r="A52" s="144" t="s">
        <v>63</v>
      </c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6"/>
      <c r="AM52" s="146"/>
      <c r="AN52" s="146"/>
      <c r="AO52" s="146"/>
    </row>
    <row r="53" spans="1:97" s="129" customFormat="1" ht="18.75" customHeight="1">
      <c r="A53" s="144" t="s">
        <v>64</v>
      </c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6"/>
      <c r="AM53" s="146"/>
      <c r="AN53" s="146"/>
      <c r="AO53" s="146"/>
    </row>
    <row r="54" spans="1:97" s="129" customFormat="1" ht="18.75" customHeight="1">
      <c r="A54" s="144" t="s">
        <v>101</v>
      </c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6"/>
      <c r="AM54" s="146"/>
      <c r="AN54" s="146"/>
      <c r="AO54" s="146"/>
    </row>
    <row r="55" spans="1:97" s="129" customFormat="1" ht="18.75" customHeight="1">
      <c r="A55" s="144" t="s">
        <v>100</v>
      </c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6"/>
      <c r="AM55" s="146"/>
      <c r="AN55" s="146"/>
      <c r="AO55" s="146"/>
    </row>
    <row r="56" spans="1:97" ht="18.75" customHeight="1">
      <c r="A56" s="138" t="s">
        <v>65</v>
      </c>
    </row>
    <row r="57" spans="1:97" ht="18.75" customHeight="1">
      <c r="A57" s="147" t="s">
        <v>119</v>
      </c>
      <c r="BT57" s="45" t="s">
        <v>72</v>
      </c>
    </row>
    <row r="58" spans="1:97" ht="18.75" customHeight="1">
      <c r="A58" s="147" t="s">
        <v>66</v>
      </c>
    </row>
    <row r="59" spans="1:97" ht="18.75" customHeight="1">
      <c r="A59" s="147" t="s">
        <v>67</v>
      </c>
    </row>
    <row r="60" spans="1:97" ht="18.75" customHeight="1">
      <c r="A60" s="147" t="s">
        <v>68</v>
      </c>
    </row>
    <row r="61" spans="1:97" ht="18.75" customHeight="1">
      <c r="A61" s="148" t="s">
        <v>69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</row>
    <row r="62" spans="1:97" ht="18.75" customHeight="1">
      <c r="A62" s="149" t="s">
        <v>70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</row>
    <row r="63" spans="1:97" ht="18.75" customHeight="1">
      <c r="A63" s="149" t="s">
        <v>71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</row>
    <row r="64" spans="1:97" ht="18.75" customHeight="1">
      <c r="A64" s="149" t="s">
        <v>102</v>
      </c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</row>
    <row r="65" spans="1:65" ht="18.75" customHeight="1">
      <c r="A65" s="149" t="s">
        <v>103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</row>
    <row r="66" spans="1:65" ht="18.75" customHeight="1">
      <c r="A66" s="149" t="s">
        <v>104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</row>
  </sheetData>
  <phoneticPr fontId="2" type="noConversion"/>
  <pageMargins left="0.43307086614173229" right="0.27559055118110237" top="0.27559055118110237" bottom="0.31496062992125984" header="0.19685039370078741" footer="0.15748031496062992"/>
  <pageSetup paperSize="9" scale="47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3"/>
  <sheetViews>
    <sheetView showGridLines="0" view="pageBreakPreview" zoomScale="60" zoomScaleNormal="100" workbookViewId="0">
      <pane xSplit="1" ySplit="4" topLeftCell="D5" activePane="bottomRight" state="frozen"/>
      <selection activeCell="BW65" sqref="BW65"/>
      <selection pane="topRight" activeCell="BW65" sqref="BW65"/>
      <selection pane="bottomLeft" activeCell="BW65" sqref="BW65"/>
      <selection pane="bottomRight" activeCell="AL23" sqref="AL23"/>
    </sheetView>
  </sheetViews>
  <sheetFormatPr defaultRowHeight="18.75" customHeight="1"/>
  <cols>
    <col min="1" max="1" width="36.77734375" style="22" customWidth="1"/>
    <col min="2" max="10" width="12.88671875" style="22" hidden="1" customWidth="1"/>
    <col min="11" max="13" width="13" style="22" hidden="1" customWidth="1"/>
    <col min="14" max="25" width="11.88671875" style="22" hidden="1" customWidth="1"/>
    <col min="26" max="33" width="11.88671875" style="22" bestFit="1" customWidth="1"/>
    <col min="34" max="36" width="8.88671875" style="22"/>
    <col min="37" max="37" width="13.88671875" style="22" bestFit="1" customWidth="1"/>
    <col min="38" max="16384" width="8.88671875" style="22"/>
  </cols>
  <sheetData>
    <row r="1" spans="1:33" s="4" customFormat="1" ht="46.5" customHeight="1">
      <c r="A1" s="1" t="s">
        <v>73</v>
      </c>
      <c r="B1" s="2"/>
      <c r="C1" s="2"/>
      <c r="D1" s="2"/>
      <c r="E1" s="2"/>
      <c r="F1" s="2"/>
      <c r="G1" s="2"/>
      <c r="H1" s="2"/>
      <c r="I1" s="2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 spans="1:33" s="4" customFormat="1" ht="39.75" customHeight="1">
      <c r="A2" s="159"/>
      <c r="B2" s="160"/>
      <c r="C2" s="161"/>
      <c r="D2" s="161"/>
      <c r="E2" s="161"/>
      <c r="F2" s="161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</row>
    <row r="3" spans="1:33" s="4" customFormat="1" ht="31.5" customHeight="1">
      <c r="A3" s="27" t="s">
        <v>17</v>
      </c>
      <c r="B3" s="7">
        <v>2008</v>
      </c>
      <c r="C3" s="5"/>
      <c r="D3" s="5"/>
      <c r="E3" s="5"/>
      <c r="F3" s="47">
        <v>2009</v>
      </c>
      <c r="G3" s="159"/>
      <c r="H3" s="159"/>
      <c r="I3" s="159"/>
      <c r="J3" s="47">
        <v>2010</v>
      </c>
      <c r="K3" s="159"/>
      <c r="L3" s="159"/>
      <c r="M3" s="159"/>
      <c r="N3" s="47">
        <v>2011</v>
      </c>
      <c r="O3" s="159"/>
      <c r="P3" s="159"/>
      <c r="Q3" s="159"/>
      <c r="R3" s="47">
        <v>2012</v>
      </c>
      <c r="S3" s="159"/>
      <c r="T3" s="159"/>
      <c r="U3" s="159"/>
      <c r="V3" s="47">
        <v>2013</v>
      </c>
      <c r="W3" s="159"/>
      <c r="X3" s="159"/>
      <c r="Y3" s="159"/>
      <c r="Z3" s="47">
        <v>2014</v>
      </c>
      <c r="AA3" s="159"/>
      <c r="AB3" s="159"/>
      <c r="AC3" s="159"/>
      <c r="AD3" s="47">
        <v>2015</v>
      </c>
      <c r="AE3" s="181"/>
      <c r="AF3" s="181"/>
      <c r="AG3" s="181"/>
    </row>
    <row r="4" spans="1:33" s="9" customFormat="1" ht="31.5" customHeight="1">
      <c r="A4" s="152" t="s">
        <v>15</v>
      </c>
      <c r="B4" s="8" t="s">
        <v>27</v>
      </c>
      <c r="C4" s="8" t="s">
        <v>28</v>
      </c>
      <c r="D4" s="8" t="s">
        <v>29</v>
      </c>
      <c r="E4" s="8" t="s">
        <v>24</v>
      </c>
      <c r="F4" s="33" t="s">
        <v>26</v>
      </c>
      <c r="G4" s="33" t="s">
        <v>25</v>
      </c>
      <c r="H4" s="30" t="s">
        <v>20</v>
      </c>
      <c r="I4" s="30" t="s">
        <v>21</v>
      </c>
      <c r="J4" s="30" t="s">
        <v>22</v>
      </c>
      <c r="K4" s="30" t="s">
        <v>23</v>
      </c>
      <c r="L4" s="30" t="s">
        <v>32</v>
      </c>
      <c r="M4" s="30" t="s">
        <v>33</v>
      </c>
      <c r="N4" s="30" t="s">
        <v>34</v>
      </c>
      <c r="O4" s="30" t="s">
        <v>36</v>
      </c>
      <c r="P4" s="30" t="s">
        <v>77</v>
      </c>
      <c r="Q4" s="30" t="s">
        <v>78</v>
      </c>
      <c r="R4" s="3" t="s">
        <v>91</v>
      </c>
      <c r="S4" s="3" t="s">
        <v>93</v>
      </c>
      <c r="T4" s="3" t="s">
        <v>94</v>
      </c>
      <c r="U4" s="3" t="s">
        <v>95</v>
      </c>
      <c r="V4" s="3" t="s">
        <v>96</v>
      </c>
      <c r="W4" s="3" t="s">
        <v>97</v>
      </c>
      <c r="X4" s="3" t="s">
        <v>98</v>
      </c>
      <c r="Y4" s="3" t="s">
        <v>99</v>
      </c>
      <c r="Z4" s="3" t="s">
        <v>106</v>
      </c>
      <c r="AA4" s="3" t="s">
        <v>107</v>
      </c>
      <c r="AB4" s="3" t="s">
        <v>108</v>
      </c>
      <c r="AC4" s="3" t="s">
        <v>109</v>
      </c>
      <c r="AD4" s="202" t="s">
        <v>105</v>
      </c>
      <c r="AE4" s="202" t="s">
        <v>118</v>
      </c>
      <c r="AF4" s="202" t="s">
        <v>121</v>
      </c>
      <c r="AG4" s="202" t="s">
        <v>124</v>
      </c>
    </row>
    <row r="5" spans="1:33" s="6" customFormat="1" ht="31.5" customHeight="1">
      <c r="A5" s="153" t="s">
        <v>79</v>
      </c>
      <c r="B5" s="154">
        <v>14085.444</v>
      </c>
      <c r="C5" s="154">
        <v>14367.165000000001</v>
      </c>
      <c r="D5" s="154">
        <v>14430.594000000001</v>
      </c>
      <c r="E5" s="154">
        <v>14525.655000000001</v>
      </c>
      <c r="F5" s="154">
        <v>14731.359999999999</v>
      </c>
      <c r="G5" s="154">
        <v>14931.277</v>
      </c>
      <c r="H5" s="154">
        <v>15159.258</v>
      </c>
      <c r="I5" s="154">
        <v>15303.172</v>
      </c>
      <c r="J5" s="154">
        <v>15679.282999999999</v>
      </c>
      <c r="K5" s="154">
        <v>15927.956</v>
      </c>
      <c r="L5" s="154">
        <v>16179.165999999999</v>
      </c>
      <c r="M5" s="154">
        <v>16417.474999999999</v>
      </c>
      <c r="N5" s="154">
        <v>16725.524000000001</v>
      </c>
      <c r="O5" s="154">
        <v>16776.420999999998</v>
      </c>
      <c r="P5" s="154">
        <v>17042.148999999998</v>
      </c>
      <c r="Q5" s="154">
        <v>17307.292000000001</v>
      </c>
      <c r="R5" s="154">
        <v>17434.752</v>
      </c>
      <c r="S5" s="154">
        <v>17389.462</v>
      </c>
      <c r="T5" s="154">
        <v>17416.396000000001</v>
      </c>
      <c r="U5" s="154">
        <v>17435.949000000001</v>
      </c>
      <c r="V5" s="154">
        <v>17370.972000000002</v>
      </c>
      <c r="W5" s="154">
        <v>17354.087</v>
      </c>
      <c r="X5" s="154">
        <v>17204.882000000001</v>
      </c>
      <c r="Y5" s="154">
        <v>17299.899000000001</v>
      </c>
      <c r="Z5" s="154">
        <v>17291.375</v>
      </c>
      <c r="AA5" s="204">
        <v>17561.798999999999</v>
      </c>
      <c r="AB5" s="204">
        <v>17952.121999999999</v>
      </c>
      <c r="AC5" s="204">
        <v>18052.745999999999</v>
      </c>
      <c r="AD5" s="204">
        <v>18178.167000000001</v>
      </c>
      <c r="AE5" s="204">
        <v>18368.379000000001</v>
      </c>
      <c r="AF5" s="204">
        <v>18514.206999999999</v>
      </c>
      <c r="AG5" s="204">
        <v>18723</v>
      </c>
    </row>
    <row r="6" spans="1:33" s="6" customFormat="1" ht="31.5" hidden="1" customHeight="1">
      <c r="A6" s="28" t="s">
        <v>80</v>
      </c>
      <c r="B6" s="23">
        <v>9100.3729999999996</v>
      </c>
      <c r="C6" s="23">
        <v>7849.2610000000004</v>
      </c>
      <c r="D6" s="23">
        <v>6850.723</v>
      </c>
      <c r="E6" s="23">
        <v>6099.152</v>
      </c>
      <c r="F6" s="23">
        <v>5315.1149999999998</v>
      </c>
      <c r="G6" s="23">
        <v>4295.0290000000005</v>
      </c>
      <c r="H6" s="23">
        <v>3492.0399999999991</v>
      </c>
      <c r="I6" s="23">
        <v>2908.503999999999</v>
      </c>
      <c r="J6" s="23">
        <v>2410.625</v>
      </c>
      <c r="K6" s="23">
        <v>2011.9159999999993</v>
      </c>
      <c r="L6" s="23">
        <v>1641.261</v>
      </c>
      <c r="M6" s="23">
        <v>1392.548</v>
      </c>
      <c r="N6" s="23">
        <v>1104.634</v>
      </c>
      <c r="O6" s="23">
        <v>532.71900000000005</v>
      </c>
      <c r="P6" s="23">
        <v>292.666</v>
      </c>
      <c r="Q6" s="23">
        <v>99.834999999999994</v>
      </c>
      <c r="R6" s="23">
        <v>23.209</v>
      </c>
      <c r="S6" s="23">
        <v>19.202999999999999</v>
      </c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</row>
    <row r="7" spans="1:33" s="6" customFormat="1" ht="31.5" customHeight="1">
      <c r="A7" s="28" t="s">
        <v>81</v>
      </c>
      <c r="B7" s="23">
        <v>4839.7809999999999</v>
      </c>
      <c r="C7" s="23">
        <v>6316.0010000000002</v>
      </c>
      <c r="D7" s="23">
        <v>7407.8230000000003</v>
      </c>
      <c r="E7" s="23">
        <v>8266.0810000000001</v>
      </c>
      <c r="F7" s="23">
        <v>9232.23</v>
      </c>
      <c r="G7" s="23">
        <v>10417.794</v>
      </c>
      <c r="H7" s="23">
        <v>11412.093000000001</v>
      </c>
      <c r="I7" s="23">
        <v>12107.691000000001</v>
      </c>
      <c r="J7" s="23">
        <v>12957.347</v>
      </c>
      <c r="K7" s="23">
        <v>13582.119000000001</v>
      </c>
      <c r="L7" s="23">
        <v>14190.157999999999</v>
      </c>
      <c r="M7" s="23">
        <v>14647.978999999999</v>
      </c>
      <c r="N7" s="23">
        <v>15194.27</v>
      </c>
      <c r="O7" s="23">
        <v>15763.477000000001</v>
      </c>
      <c r="P7" s="23">
        <v>16098.525</v>
      </c>
      <c r="Q7" s="23">
        <v>16463.323</v>
      </c>
      <c r="R7" s="23">
        <v>16224.641</v>
      </c>
      <c r="S7" s="23">
        <v>15298.934999999999</v>
      </c>
      <c r="T7" s="23">
        <v>13991.964</v>
      </c>
      <c r="U7" s="23">
        <v>12601.165000000001</v>
      </c>
      <c r="V7" s="23">
        <v>11374.109</v>
      </c>
      <c r="W7" s="23">
        <v>10382.145999999999</v>
      </c>
      <c r="X7" s="23">
        <v>9500.6210000000028</v>
      </c>
      <c r="Y7" s="23">
        <v>8580.2489999999998</v>
      </c>
      <c r="Z7" s="23">
        <v>7838.576</v>
      </c>
      <c r="AA7" s="23">
        <v>7366.3069999999998</v>
      </c>
      <c r="AB7" s="23">
        <v>6937.2529999999997</v>
      </c>
      <c r="AC7" s="23">
        <v>6519.7790000000005</v>
      </c>
      <c r="AD7" s="23">
        <v>6073.0060000000003</v>
      </c>
      <c r="AE7" s="23">
        <v>5754.1660000000002</v>
      </c>
      <c r="AF7" s="23">
        <v>5465.8639999999996</v>
      </c>
      <c r="AG7" s="23">
        <v>5206</v>
      </c>
    </row>
    <row r="8" spans="1:33" s="6" customFormat="1" ht="31.5" customHeight="1">
      <c r="A8" s="28" t="s">
        <v>92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>
        <v>350.92099999999999</v>
      </c>
      <c r="S8" s="23">
        <v>1169.7819999999999</v>
      </c>
      <c r="T8" s="23">
        <v>2488.125</v>
      </c>
      <c r="U8" s="23">
        <v>3900.4740000000002</v>
      </c>
      <c r="V8" s="23">
        <v>5068.4139999999998</v>
      </c>
      <c r="W8" s="23">
        <v>6057.0420000000004</v>
      </c>
      <c r="X8" s="23">
        <v>6824.37</v>
      </c>
      <c r="Y8" s="23">
        <v>7874.0649999999996</v>
      </c>
      <c r="Z8" s="23">
        <v>8632.7160000000003</v>
      </c>
      <c r="AA8" s="23">
        <v>9405.6820000000007</v>
      </c>
      <c r="AB8" s="23">
        <v>10244.365</v>
      </c>
      <c r="AC8" s="23">
        <v>10780.305</v>
      </c>
      <c r="AD8" s="23">
        <v>11363.87</v>
      </c>
      <c r="AE8" s="23">
        <v>11882.784</v>
      </c>
      <c r="AF8" s="23">
        <v>12334.708000000001</v>
      </c>
      <c r="AG8" s="23">
        <v>12832</v>
      </c>
    </row>
    <row r="9" spans="1:33" s="6" customFormat="1" ht="31.5" customHeight="1">
      <c r="A9" s="155" t="s">
        <v>82</v>
      </c>
      <c r="B9" s="156">
        <v>145.29</v>
      </c>
      <c r="C9" s="156">
        <v>201.90299999999999</v>
      </c>
      <c r="D9" s="156">
        <v>172.048</v>
      </c>
      <c r="E9" s="156">
        <v>160.422</v>
      </c>
      <c r="F9" s="156">
        <v>184.01499999999999</v>
      </c>
      <c r="G9" s="156">
        <v>218.45400000000001</v>
      </c>
      <c r="H9" s="156">
        <v>255.125</v>
      </c>
      <c r="I9" s="156">
        <v>286.97699999999998</v>
      </c>
      <c r="J9" s="156">
        <v>311.31099999999998</v>
      </c>
      <c r="K9" s="156">
        <v>333.92099999999999</v>
      </c>
      <c r="L9" s="156">
        <v>347.74700000000001</v>
      </c>
      <c r="M9" s="156">
        <v>376.94799999999998</v>
      </c>
      <c r="N9" s="156">
        <v>426.62</v>
      </c>
      <c r="O9" s="156">
        <v>480.22500000000002</v>
      </c>
      <c r="P9" s="156">
        <v>650.95799999999997</v>
      </c>
      <c r="Q9" s="156">
        <v>744.13400000000001</v>
      </c>
      <c r="R9" s="156">
        <v>835.98099999999999</v>
      </c>
      <c r="S9" s="156">
        <v>901.54200000000003</v>
      </c>
      <c r="T9" s="156">
        <v>936.30700000000002</v>
      </c>
      <c r="U9" s="156">
        <v>934.31</v>
      </c>
      <c r="V9" s="156">
        <v>928.44899999999996</v>
      </c>
      <c r="W9" s="156">
        <v>914.899</v>
      </c>
      <c r="X9" s="156">
        <v>879.89099999999996</v>
      </c>
      <c r="Y9" s="156">
        <v>845.58500000000004</v>
      </c>
      <c r="Z9" s="156">
        <v>820.08299999999997</v>
      </c>
      <c r="AA9" s="156">
        <v>789.81</v>
      </c>
      <c r="AB9" s="156">
        <v>770.50400000000002</v>
      </c>
      <c r="AC9" s="156">
        <v>752.66200000000003</v>
      </c>
      <c r="AD9" s="156">
        <v>741</v>
      </c>
      <c r="AE9" s="156">
        <v>731</v>
      </c>
      <c r="AF9" s="156">
        <v>713.63499999999999</v>
      </c>
      <c r="AG9" s="156">
        <v>685</v>
      </c>
    </row>
    <row r="10" spans="1:33" s="6" customFormat="1" ht="15" customHeight="1">
      <c r="A10" s="37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 s="6" customFormat="1" ht="31.5" customHeight="1">
      <c r="A11" s="159"/>
      <c r="B11" s="7">
        <v>2008</v>
      </c>
      <c r="C11" s="5"/>
      <c r="D11" s="5"/>
      <c r="E11" s="5"/>
      <c r="F11" s="47">
        <v>2009</v>
      </c>
      <c r="G11" s="159"/>
      <c r="H11" s="159"/>
      <c r="I11" s="159"/>
      <c r="J11" s="47">
        <v>2010</v>
      </c>
      <c r="K11" s="159"/>
      <c r="L11" s="159"/>
      <c r="M11" s="159"/>
      <c r="N11" s="47">
        <v>2011</v>
      </c>
      <c r="O11" s="159"/>
      <c r="P11" s="159"/>
      <c r="Q11" s="159"/>
      <c r="R11" s="47">
        <v>2012</v>
      </c>
      <c r="S11" s="12"/>
      <c r="T11" s="12"/>
      <c r="U11" s="12"/>
      <c r="V11" s="47">
        <v>2013</v>
      </c>
      <c r="W11" s="12"/>
      <c r="X11" s="12"/>
      <c r="Y11" s="12"/>
      <c r="Z11" s="47">
        <v>2014</v>
      </c>
      <c r="AA11" s="12"/>
      <c r="AB11" s="12"/>
      <c r="AC11" s="12"/>
      <c r="AD11" s="47">
        <v>2015</v>
      </c>
      <c r="AE11" s="181"/>
      <c r="AF11" s="181"/>
      <c r="AG11" s="181"/>
    </row>
    <row r="12" spans="1:33" s="6" customFormat="1" ht="31.5" customHeight="1">
      <c r="A12" s="152" t="s">
        <v>83</v>
      </c>
      <c r="B12" s="8" t="s">
        <v>27</v>
      </c>
      <c r="C12" s="8" t="s">
        <v>28</v>
      </c>
      <c r="D12" s="8" t="s">
        <v>29</v>
      </c>
      <c r="E12" s="8" t="s">
        <v>24</v>
      </c>
      <c r="F12" s="33" t="s">
        <v>26</v>
      </c>
      <c r="G12" s="33" t="s">
        <v>25</v>
      </c>
      <c r="H12" s="30" t="s">
        <v>20</v>
      </c>
      <c r="I12" s="30" t="s">
        <v>21</v>
      </c>
      <c r="J12" s="30" t="s">
        <v>86</v>
      </c>
      <c r="K12" s="30" t="s">
        <v>87</v>
      </c>
      <c r="L12" s="30" t="s">
        <v>88</v>
      </c>
      <c r="M12" s="30" t="s">
        <v>89</v>
      </c>
      <c r="N12" s="30" t="s">
        <v>34</v>
      </c>
      <c r="O12" s="30" t="s">
        <v>36</v>
      </c>
      <c r="P12" s="30" t="s">
        <v>77</v>
      </c>
      <c r="Q12" s="30" t="s">
        <v>78</v>
      </c>
      <c r="R12" s="3" t="s">
        <v>91</v>
      </c>
      <c r="S12" s="3" t="s">
        <v>93</v>
      </c>
      <c r="T12" s="3" t="s">
        <v>94</v>
      </c>
      <c r="U12" s="3" t="s">
        <v>95</v>
      </c>
      <c r="V12" s="3" t="s">
        <v>96</v>
      </c>
      <c r="W12" s="3" t="s">
        <v>97</v>
      </c>
      <c r="X12" s="3" t="s">
        <v>98</v>
      </c>
      <c r="Y12" s="3" t="s">
        <v>99</v>
      </c>
      <c r="Z12" s="3" t="s">
        <v>110</v>
      </c>
      <c r="AA12" s="3" t="s">
        <v>111</v>
      </c>
      <c r="AB12" s="3" t="s">
        <v>112</v>
      </c>
      <c r="AC12" s="3" t="s">
        <v>113</v>
      </c>
      <c r="AD12" s="202" t="s">
        <v>105</v>
      </c>
      <c r="AE12" s="202" t="s">
        <v>118</v>
      </c>
      <c r="AF12" s="202" t="s">
        <v>121</v>
      </c>
      <c r="AG12" s="202" t="s">
        <v>124</v>
      </c>
    </row>
    <row r="13" spans="1:33" s="6" customFormat="1" ht="31.5" customHeight="1">
      <c r="A13" s="157" t="s">
        <v>84</v>
      </c>
      <c r="B13" s="158">
        <v>13940.154</v>
      </c>
      <c r="C13" s="158">
        <v>14165.262000000001</v>
      </c>
      <c r="D13" s="158">
        <v>14258.546</v>
      </c>
      <c r="E13" s="158">
        <v>14365.233</v>
      </c>
      <c r="F13" s="158">
        <v>14547.344999999999</v>
      </c>
      <c r="G13" s="158">
        <v>14712.823</v>
      </c>
      <c r="H13" s="158">
        <v>14904.133</v>
      </c>
      <c r="I13" s="158">
        <v>15016.195</v>
      </c>
      <c r="J13" s="158">
        <v>15367.972</v>
      </c>
      <c r="K13" s="158">
        <v>15594.035</v>
      </c>
      <c r="L13" s="158">
        <v>15831.419</v>
      </c>
      <c r="M13" s="158">
        <v>16040.527</v>
      </c>
      <c r="N13" s="158">
        <v>16298.904</v>
      </c>
      <c r="O13" s="158">
        <v>16296.196</v>
      </c>
      <c r="P13" s="158">
        <v>16391.190999999999</v>
      </c>
      <c r="Q13" s="158">
        <v>16563.157999999999</v>
      </c>
      <c r="R13" s="158">
        <v>16598.771000000001</v>
      </c>
      <c r="S13" s="158">
        <v>16487.919999999998</v>
      </c>
      <c r="T13" s="158">
        <v>16480.089</v>
      </c>
      <c r="U13" s="158">
        <v>16501.638999999999</v>
      </c>
      <c r="V13" s="158">
        <v>16442.523000000001</v>
      </c>
      <c r="W13" s="158">
        <v>16439.187999999998</v>
      </c>
      <c r="X13" s="158">
        <v>16324.991</v>
      </c>
      <c r="Y13" s="158">
        <v>16454.313999999998</v>
      </c>
      <c r="Z13" s="158">
        <v>16471.292000000001</v>
      </c>
      <c r="AA13" s="158">
        <v>16771.989000000001</v>
      </c>
      <c r="AB13" s="158">
        <v>17181.617999999999</v>
      </c>
      <c r="AC13" s="158">
        <v>17300.083999999999</v>
      </c>
      <c r="AD13" s="158">
        <v>17437</v>
      </c>
      <c r="AE13" s="158">
        <v>17636.95</v>
      </c>
      <c r="AF13" s="158">
        <v>17800.572</v>
      </c>
      <c r="AG13" s="158">
        <v>18038</v>
      </c>
    </row>
    <row r="14" spans="1:33" s="4" customFormat="1" ht="31.5" customHeight="1">
      <c r="A14" s="38" t="s">
        <v>0</v>
      </c>
      <c r="B14" s="10">
        <v>2343</v>
      </c>
      <c r="C14" s="10">
        <v>2350</v>
      </c>
      <c r="D14" s="10">
        <v>1788</v>
      </c>
      <c r="E14" s="10">
        <v>1463</v>
      </c>
      <c r="F14" s="10">
        <v>1623</v>
      </c>
      <c r="G14" s="10">
        <v>2174</v>
      </c>
      <c r="H14" s="10">
        <v>1816</v>
      </c>
      <c r="I14" s="10">
        <v>1551</v>
      </c>
      <c r="J14" s="10">
        <v>1855</v>
      </c>
      <c r="K14" s="10">
        <v>1752</v>
      </c>
      <c r="L14" s="10">
        <v>2037</v>
      </c>
      <c r="M14" s="10">
        <v>1636</v>
      </c>
      <c r="N14" s="10">
        <v>1684</v>
      </c>
      <c r="O14" s="10">
        <v>1861</v>
      </c>
      <c r="P14" s="10">
        <v>1621</v>
      </c>
      <c r="Q14" s="10">
        <v>1808</v>
      </c>
      <c r="R14" s="10">
        <v>1422.7650000000001</v>
      </c>
      <c r="S14" s="10">
        <v>1270.857</v>
      </c>
      <c r="T14" s="10">
        <v>1501.575</v>
      </c>
      <c r="U14" s="10">
        <v>1280.1020000000001</v>
      </c>
      <c r="V14" s="10">
        <v>1272.5709999999999</v>
      </c>
      <c r="W14" s="10">
        <v>1223.7760000000001</v>
      </c>
      <c r="X14" s="10">
        <v>1080.4349999999999</v>
      </c>
      <c r="Y14" s="10">
        <v>1403.588</v>
      </c>
      <c r="Z14" s="10">
        <v>1476.758</v>
      </c>
      <c r="AA14" s="10">
        <v>1459.374</v>
      </c>
      <c r="AB14" s="10">
        <v>1792.8130000000001</v>
      </c>
      <c r="AC14" s="10">
        <v>1254.809</v>
      </c>
      <c r="AD14" s="10">
        <v>1393</v>
      </c>
      <c r="AE14" s="10">
        <v>1179</v>
      </c>
      <c r="AF14" s="10">
        <v>1115</v>
      </c>
      <c r="AG14" s="10">
        <v>1215</v>
      </c>
    </row>
    <row r="15" spans="1:33" s="4" customFormat="1" ht="31.5" customHeight="1">
      <c r="A15" s="38" t="s">
        <v>1</v>
      </c>
      <c r="B15" s="10">
        <v>2124</v>
      </c>
      <c r="C15" s="10">
        <v>2125</v>
      </c>
      <c r="D15" s="10">
        <v>1695</v>
      </c>
      <c r="E15" s="10">
        <v>1356</v>
      </c>
      <c r="F15" s="10">
        <v>1440</v>
      </c>
      <c r="G15" s="10">
        <v>2008</v>
      </c>
      <c r="H15" s="10">
        <v>1625</v>
      </c>
      <c r="I15" s="10">
        <v>1439</v>
      </c>
      <c r="J15" s="10">
        <v>1503</v>
      </c>
      <c r="K15" s="10">
        <v>1526</v>
      </c>
      <c r="L15" s="10">
        <v>1800</v>
      </c>
      <c r="M15" s="10">
        <v>1427</v>
      </c>
      <c r="N15" s="10">
        <v>1426</v>
      </c>
      <c r="O15" s="10">
        <v>1864</v>
      </c>
      <c r="P15" s="10">
        <v>1526</v>
      </c>
      <c r="Q15" s="10">
        <v>1636</v>
      </c>
      <c r="R15" s="10">
        <v>1387.152</v>
      </c>
      <c r="S15" s="10">
        <v>1381.7080000000001</v>
      </c>
      <c r="T15" s="10">
        <v>1509.4059999999999</v>
      </c>
      <c r="U15" s="10">
        <v>1258.5519999999999</v>
      </c>
      <c r="V15" s="10">
        <v>1331.6869999999999</v>
      </c>
      <c r="W15" s="10">
        <v>1227.1110000000001</v>
      </c>
      <c r="X15" s="200">
        <v>1194.6320000000001</v>
      </c>
      <c r="Y15" s="200">
        <v>1274.2650000000001</v>
      </c>
      <c r="Z15" s="200">
        <v>1457.693</v>
      </c>
      <c r="AA15" s="200">
        <v>1158.704</v>
      </c>
      <c r="AB15" s="200">
        <v>1382.8969999999999</v>
      </c>
      <c r="AC15" s="200">
        <v>1111.249</v>
      </c>
      <c r="AD15" s="200">
        <v>1219</v>
      </c>
      <c r="AE15" s="200">
        <v>940</v>
      </c>
      <c r="AF15" s="200">
        <v>938</v>
      </c>
      <c r="AG15" s="200">
        <v>958</v>
      </c>
    </row>
    <row r="16" spans="1:33" s="4" customFormat="1" ht="31.5" hidden="1" customHeight="1">
      <c r="A16" s="38" t="s">
        <v>2</v>
      </c>
      <c r="B16" s="32">
        <v>291</v>
      </c>
      <c r="C16" s="32">
        <v>288</v>
      </c>
      <c r="D16" s="32">
        <v>352</v>
      </c>
      <c r="E16" s="32">
        <v>243</v>
      </c>
      <c r="F16" s="10">
        <v>214</v>
      </c>
      <c r="G16" s="10">
        <v>229</v>
      </c>
      <c r="H16" s="10">
        <v>306</v>
      </c>
      <c r="I16" s="10">
        <v>217</v>
      </c>
      <c r="J16" s="10">
        <v>195</v>
      </c>
      <c r="K16" s="10">
        <v>141</v>
      </c>
      <c r="L16" s="10">
        <v>136</v>
      </c>
      <c r="M16" s="10">
        <v>64</v>
      </c>
      <c r="N16" s="10">
        <v>69</v>
      </c>
      <c r="O16" s="10">
        <v>210</v>
      </c>
      <c r="P16" s="10">
        <v>105</v>
      </c>
      <c r="Q16" s="10">
        <v>117</v>
      </c>
      <c r="R16" s="10">
        <v>45.597000000000001</v>
      </c>
      <c r="S16" s="151">
        <v>1.6910000000000001</v>
      </c>
      <c r="T16" s="10">
        <v>0.94199999999999995</v>
      </c>
      <c r="U16" s="10">
        <v>0.65800000000000003</v>
      </c>
      <c r="V16" s="10"/>
      <c r="W16" s="151">
        <v>0</v>
      </c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</row>
    <row r="17" spans="1:33" s="4" customFormat="1" ht="31.5" customHeight="1">
      <c r="A17" s="163" t="s">
        <v>3</v>
      </c>
      <c r="B17" s="35">
        <v>219</v>
      </c>
      <c r="C17" s="35">
        <v>225</v>
      </c>
      <c r="D17" s="35">
        <v>93</v>
      </c>
      <c r="E17" s="35">
        <v>107</v>
      </c>
      <c r="F17" s="35">
        <v>182</v>
      </c>
      <c r="G17" s="35">
        <v>165</v>
      </c>
      <c r="H17" s="35">
        <v>191</v>
      </c>
      <c r="I17" s="35">
        <v>112</v>
      </c>
      <c r="J17" s="35">
        <v>352</v>
      </c>
      <c r="K17" s="35">
        <v>226</v>
      </c>
      <c r="L17" s="35">
        <v>237</v>
      </c>
      <c r="M17" s="35">
        <v>209</v>
      </c>
      <c r="N17" s="35">
        <v>258</v>
      </c>
      <c r="O17" s="35">
        <v>-2.7080000000005384</v>
      </c>
      <c r="P17" s="35">
        <v>94.994999999998981</v>
      </c>
      <c r="Q17" s="35">
        <v>171.96700000000055</v>
      </c>
      <c r="R17" s="35">
        <v>35.613</v>
      </c>
      <c r="S17" s="35">
        <v>-110.851</v>
      </c>
      <c r="T17" s="35">
        <v>-7.830999999998312</v>
      </c>
      <c r="U17" s="35">
        <v>21.550000000000182</v>
      </c>
      <c r="V17" s="35">
        <v>-59.115999999998166</v>
      </c>
      <c r="W17" s="35">
        <v>-3.335</v>
      </c>
      <c r="X17" s="35">
        <v>-114.197</v>
      </c>
      <c r="Y17" s="35">
        <f t="shared" ref="Y17:AF17" si="0">Y13-X13</f>
        <v>129.3229999999985</v>
      </c>
      <c r="Z17" s="35">
        <f t="shared" si="0"/>
        <v>16.978000000002794</v>
      </c>
      <c r="AA17" s="35">
        <f t="shared" si="0"/>
        <v>300.69700000000012</v>
      </c>
      <c r="AB17" s="35">
        <f t="shared" si="0"/>
        <v>409.62899999999718</v>
      </c>
      <c r="AC17" s="35">
        <f t="shared" si="0"/>
        <v>118.46600000000035</v>
      </c>
      <c r="AD17" s="35">
        <f t="shared" si="0"/>
        <v>136.91600000000108</v>
      </c>
      <c r="AE17" s="35">
        <f t="shared" si="0"/>
        <v>199.95000000000073</v>
      </c>
      <c r="AF17" s="35">
        <f t="shared" si="0"/>
        <v>163.62199999999939</v>
      </c>
      <c r="AG17" s="35">
        <v>238</v>
      </c>
    </row>
    <row r="18" spans="1:33" s="4" customFormat="1" ht="23.25" customHeight="1">
      <c r="A18" s="164" t="s">
        <v>8</v>
      </c>
      <c r="B18" s="39"/>
      <c r="C18" s="12"/>
      <c r="D18" s="12"/>
      <c r="E18" s="12"/>
      <c r="F18" s="12"/>
      <c r="G18" s="165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s="6" customFormat="1" ht="8.25" customHeight="1">
      <c r="A19" s="166"/>
      <c r="B19" s="3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spans="1:33" s="9" customFormat="1" ht="22.5" customHeight="1">
      <c r="A20" s="167" t="s">
        <v>30</v>
      </c>
      <c r="B20" s="165">
        <v>4.3999999999999997E-2</v>
      </c>
      <c r="C20" s="165">
        <v>4.3999999999999997E-2</v>
      </c>
      <c r="D20" s="165">
        <v>3.2000000000000001E-2</v>
      </c>
      <c r="E20" s="165">
        <v>2.5999999999999999E-2</v>
      </c>
      <c r="F20" s="165">
        <v>2.8000000000000001E-2</v>
      </c>
      <c r="G20" s="165">
        <v>4.1000000000000002E-2</v>
      </c>
      <c r="H20" s="165">
        <v>0.03</v>
      </c>
      <c r="I20" s="165">
        <v>2.7E-2</v>
      </c>
      <c r="J20" s="165">
        <v>2.9000000000000001E-2</v>
      </c>
      <c r="K20" s="165">
        <v>0.03</v>
      </c>
      <c r="L20" s="165">
        <v>3.5000000000000003E-2</v>
      </c>
      <c r="M20" s="165">
        <v>2.9000000000000001E-2</v>
      </c>
      <c r="N20" s="165">
        <v>2.8000000000000001E-2</v>
      </c>
      <c r="O20" s="165">
        <v>3.4000000000000002E-2</v>
      </c>
      <c r="P20" s="165">
        <v>2.9000000000000001E-2</v>
      </c>
      <c r="Q20" s="165">
        <v>3.1E-2</v>
      </c>
      <c r="R20" s="165">
        <v>2.6663248735867368E-2</v>
      </c>
      <c r="S20" s="165">
        <v>2.757876650063151E-2</v>
      </c>
      <c r="T20" s="165">
        <v>3.0521776851747524E-2</v>
      </c>
      <c r="U20" s="165">
        <v>2.5000000000000001E-2</v>
      </c>
      <c r="V20" s="165">
        <v>2.7E-2</v>
      </c>
      <c r="W20" s="165">
        <v>2.4896691476263128E-2</v>
      </c>
      <c r="X20" s="165">
        <v>2.4312015742839848E-2</v>
      </c>
      <c r="Y20" s="165">
        <v>2.6296503944819381E-2</v>
      </c>
      <c r="Z20" s="165">
        <v>2.9466095281787591E-2</v>
      </c>
      <c r="AA20" s="165">
        <v>2.3E-2</v>
      </c>
      <c r="AB20" s="165">
        <v>2.7E-2</v>
      </c>
      <c r="AC20" s="165">
        <v>2.1445092682905939E-2</v>
      </c>
      <c r="AD20" s="165">
        <v>2.3E-2</v>
      </c>
      <c r="AE20" s="165">
        <v>1.7999999999999999E-2</v>
      </c>
      <c r="AF20" s="165">
        <v>1.7999999999999999E-2</v>
      </c>
      <c r="AG20" s="165">
        <v>1.7999999999999999E-2</v>
      </c>
    </row>
    <row r="21" spans="1:33" s="4" customFormat="1" ht="8.25" customHeight="1">
      <c r="A21" s="169"/>
      <c r="B21" s="197"/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 s="4" customFormat="1" ht="24" customHeight="1">
      <c r="A22" s="170"/>
      <c r="B22" s="160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</row>
    <row r="23" spans="1:33" s="4" customFormat="1" ht="31.5" customHeight="1">
      <c r="A23" s="27" t="s">
        <v>35</v>
      </c>
      <c r="C23" s="13"/>
      <c r="E23" s="13"/>
      <c r="F23" s="47">
        <v>2009</v>
      </c>
      <c r="G23" s="159"/>
      <c r="H23" s="159"/>
      <c r="I23" s="159"/>
      <c r="J23" s="47">
        <v>2010</v>
      </c>
      <c r="K23" s="159"/>
      <c r="L23" s="159"/>
      <c r="M23" s="159"/>
      <c r="N23" s="47">
        <v>2011</v>
      </c>
      <c r="O23" s="159"/>
      <c r="P23" s="159"/>
      <c r="Q23" s="159"/>
      <c r="R23" s="47">
        <v>2012</v>
      </c>
      <c r="S23" s="159"/>
      <c r="T23" s="159"/>
      <c r="U23" s="159"/>
      <c r="V23" s="47">
        <v>2013</v>
      </c>
      <c r="W23" s="159"/>
      <c r="X23" s="159"/>
      <c r="Y23" s="159"/>
      <c r="Z23" s="47">
        <v>2014</v>
      </c>
      <c r="AA23" s="159"/>
      <c r="AB23" s="159"/>
      <c r="AC23" s="159"/>
      <c r="AD23" s="47">
        <v>2015</v>
      </c>
      <c r="AE23" s="181"/>
      <c r="AF23" s="181"/>
      <c r="AG23" s="181"/>
    </row>
    <row r="24" spans="1:33" s="9" customFormat="1" ht="31.5" customHeight="1">
      <c r="A24" s="34" t="s">
        <v>85</v>
      </c>
      <c r="B24" s="8" t="s">
        <v>27</v>
      </c>
      <c r="C24" s="8" t="s">
        <v>28</v>
      </c>
      <c r="D24" s="8" t="s">
        <v>29</v>
      </c>
      <c r="E24" s="8" t="s">
        <v>24</v>
      </c>
      <c r="F24" s="33" t="s">
        <v>26</v>
      </c>
      <c r="G24" s="33" t="s">
        <v>25</v>
      </c>
      <c r="H24" s="30" t="s">
        <v>20</v>
      </c>
      <c r="I24" s="30" t="s">
        <v>21</v>
      </c>
      <c r="J24" s="30" t="s">
        <v>86</v>
      </c>
      <c r="K24" s="30" t="s">
        <v>87</v>
      </c>
      <c r="L24" s="30" t="s">
        <v>88</v>
      </c>
      <c r="M24" s="30" t="s">
        <v>89</v>
      </c>
      <c r="N24" s="30" t="s">
        <v>34</v>
      </c>
      <c r="O24" s="30" t="s">
        <v>36</v>
      </c>
      <c r="P24" s="30" t="s">
        <v>77</v>
      </c>
      <c r="Q24" s="30" t="s">
        <v>78</v>
      </c>
      <c r="R24" s="3" t="s">
        <v>91</v>
      </c>
      <c r="S24" s="3" t="s">
        <v>93</v>
      </c>
      <c r="T24" s="3" t="s">
        <v>94</v>
      </c>
      <c r="U24" s="3" t="s">
        <v>95</v>
      </c>
      <c r="V24" s="3" t="s">
        <v>96</v>
      </c>
      <c r="W24" s="3" t="s">
        <v>97</v>
      </c>
      <c r="X24" s="3" t="s">
        <v>98</v>
      </c>
      <c r="Y24" s="3" t="s">
        <v>99</v>
      </c>
      <c r="Z24" s="3" t="s">
        <v>114</v>
      </c>
      <c r="AA24" s="3" t="s">
        <v>115</v>
      </c>
      <c r="AB24" s="3" t="s">
        <v>116</v>
      </c>
      <c r="AC24" s="3" t="s">
        <v>117</v>
      </c>
      <c r="AD24" s="202" t="s">
        <v>105</v>
      </c>
      <c r="AE24" s="202" t="s">
        <v>118</v>
      </c>
      <c r="AF24" s="202" t="s">
        <v>121</v>
      </c>
      <c r="AG24" s="202" t="s">
        <v>124</v>
      </c>
    </row>
    <row r="25" spans="1:33" s="4" customFormat="1" ht="31.5" hidden="1" customHeight="1">
      <c r="A25" s="24" t="s">
        <v>16</v>
      </c>
      <c r="B25" s="25">
        <v>24144</v>
      </c>
      <c r="C25" s="25">
        <v>24804</v>
      </c>
      <c r="D25" s="25">
        <v>24482</v>
      </c>
      <c r="E25" s="25">
        <v>24609</v>
      </c>
      <c r="F25" s="25">
        <v>23612</v>
      </c>
      <c r="G25" s="25">
        <v>23967</v>
      </c>
      <c r="H25" s="25">
        <v>23983</v>
      </c>
      <c r="I25" s="25">
        <v>24272</v>
      </c>
      <c r="J25" s="25">
        <v>23828</v>
      </c>
      <c r="K25" s="25">
        <v>24100</v>
      </c>
      <c r="L25" s="25">
        <v>23527</v>
      </c>
      <c r="M25" s="25">
        <v>22456</v>
      </c>
      <c r="N25" s="25">
        <v>20424</v>
      </c>
      <c r="O25" s="25">
        <v>19688.828355795322</v>
      </c>
      <c r="P25" s="25">
        <v>18155</v>
      </c>
      <c r="Q25" s="25">
        <v>16574</v>
      </c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</row>
    <row r="26" spans="1:33" s="4" customFormat="1" ht="31.5" hidden="1" customHeight="1">
      <c r="A26" s="14" t="s">
        <v>4</v>
      </c>
      <c r="B26" s="15">
        <v>13122</v>
      </c>
      <c r="C26" s="15">
        <v>12955</v>
      </c>
      <c r="D26" s="15">
        <v>12852</v>
      </c>
      <c r="E26" s="15">
        <v>12753</v>
      </c>
      <c r="F26" s="15">
        <v>12600</v>
      </c>
      <c r="G26" s="15">
        <v>12551</v>
      </c>
      <c r="H26" s="15">
        <v>12573</v>
      </c>
      <c r="I26" s="15">
        <v>13066</v>
      </c>
      <c r="J26" s="15">
        <v>13398</v>
      </c>
      <c r="K26" s="15">
        <v>13717</v>
      </c>
      <c r="L26" s="15">
        <v>13881</v>
      </c>
      <c r="M26" s="15">
        <v>13480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spans="1:33" s="4" customFormat="1" ht="31.5" hidden="1" customHeight="1">
      <c r="A27" s="14" t="s">
        <v>5</v>
      </c>
      <c r="B27" s="15">
        <v>9531</v>
      </c>
      <c r="C27" s="15">
        <v>10354</v>
      </c>
      <c r="D27" s="15">
        <v>10128</v>
      </c>
      <c r="E27" s="15">
        <v>10321</v>
      </c>
      <c r="F27" s="15">
        <v>9481</v>
      </c>
      <c r="G27" s="15">
        <v>10040</v>
      </c>
      <c r="H27" s="15">
        <v>9970</v>
      </c>
      <c r="I27" s="15">
        <v>9874</v>
      </c>
      <c r="J27" s="15">
        <v>9228</v>
      </c>
      <c r="K27" s="15">
        <v>8931</v>
      </c>
      <c r="L27" s="15">
        <v>8184</v>
      </c>
      <c r="M27" s="15">
        <v>7633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spans="1:33" s="16" customFormat="1" ht="31.5" hidden="1" customHeight="1">
      <c r="A28" s="14" t="s">
        <v>31</v>
      </c>
      <c r="B28" s="15">
        <v>1491</v>
      </c>
      <c r="C28" s="15">
        <v>1495</v>
      </c>
      <c r="D28" s="15">
        <v>1501</v>
      </c>
      <c r="E28" s="15">
        <v>1535</v>
      </c>
      <c r="F28" s="15">
        <v>1531</v>
      </c>
      <c r="G28" s="15">
        <v>1375</v>
      </c>
      <c r="H28" s="15">
        <v>1440</v>
      </c>
      <c r="I28" s="15">
        <v>1332</v>
      </c>
      <c r="J28" s="15">
        <v>1202</v>
      </c>
      <c r="K28" s="15">
        <v>1452</v>
      </c>
      <c r="L28" s="15">
        <v>1462</v>
      </c>
      <c r="M28" s="15">
        <v>1343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1:33" s="4" customFormat="1" ht="31.5" hidden="1" customHeight="1">
      <c r="A29" s="17" t="s">
        <v>9</v>
      </c>
      <c r="B29" s="15">
        <v>1491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s="4" customFormat="1" ht="31.5" hidden="1" customHeight="1">
      <c r="A30" s="24" t="s">
        <v>18</v>
      </c>
      <c r="B30" s="25">
        <v>6103</v>
      </c>
      <c r="C30" s="25">
        <v>6356</v>
      </c>
      <c r="D30" s="25">
        <v>6454</v>
      </c>
      <c r="E30" s="25">
        <v>6384</v>
      </c>
      <c r="F30" s="25">
        <v>6431</v>
      </c>
      <c r="G30" s="25">
        <v>6650</v>
      </c>
      <c r="H30" s="25">
        <v>6915</v>
      </c>
      <c r="I30" s="25">
        <v>7218</v>
      </c>
      <c r="J30" s="25">
        <v>7399</v>
      </c>
      <c r="K30" s="25">
        <v>7785</v>
      </c>
      <c r="L30" s="25">
        <v>8031</v>
      </c>
      <c r="M30" s="25">
        <v>8824</v>
      </c>
      <c r="N30" s="25">
        <v>9823</v>
      </c>
      <c r="O30" s="25">
        <v>10489.424934442295</v>
      </c>
      <c r="P30" s="25">
        <v>11454</v>
      </c>
      <c r="Q30" s="25">
        <v>12252</v>
      </c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</row>
    <row r="31" spans="1:33" s="4" customFormat="1" ht="31.5" hidden="1" customHeight="1">
      <c r="A31" s="14" t="s">
        <v>6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</row>
    <row r="32" spans="1:33" s="4" customFormat="1" ht="31.5" hidden="1" customHeight="1">
      <c r="A32" s="17" t="s">
        <v>7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spans="1:33" s="4" customFormat="1" ht="8.25" hidden="1" customHeight="1">
      <c r="A33" s="171"/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</row>
    <row r="34" spans="1:33" s="4" customFormat="1" ht="22.5" hidden="1" customHeight="1">
      <c r="A34" s="173" t="s">
        <v>10</v>
      </c>
      <c r="B34" s="174">
        <v>4569</v>
      </c>
      <c r="C34" s="174">
        <v>4794</v>
      </c>
      <c r="D34" s="174">
        <v>4701</v>
      </c>
      <c r="E34" s="174">
        <v>5256</v>
      </c>
      <c r="F34" s="174">
        <v>4627</v>
      </c>
      <c r="G34" s="174">
        <v>4737</v>
      </c>
      <c r="H34" s="174">
        <v>5077</v>
      </c>
      <c r="I34" s="174">
        <v>4859</v>
      </c>
      <c r="J34" s="174">
        <v>4734</v>
      </c>
      <c r="K34" s="174">
        <v>4921</v>
      </c>
      <c r="L34" s="174">
        <v>4957</v>
      </c>
      <c r="M34" s="174">
        <v>3743</v>
      </c>
      <c r="N34" s="174">
        <v>4014</v>
      </c>
      <c r="O34" s="174">
        <v>4117.6622793302331</v>
      </c>
      <c r="P34" s="174">
        <v>3961</v>
      </c>
      <c r="Q34" s="174">
        <v>3943</v>
      </c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</row>
    <row r="35" spans="1:33" s="4" customFormat="1" ht="22.5" hidden="1" customHeight="1">
      <c r="A35" s="175" t="s">
        <v>11</v>
      </c>
      <c r="B35" s="176">
        <v>1034</v>
      </c>
      <c r="C35" s="176">
        <v>976</v>
      </c>
      <c r="D35" s="176">
        <v>685</v>
      </c>
      <c r="E35" s="176">
        <v>592</v>
      </c>
      <c r="F35" s="176">
        <v>631</v>
      </c>
      <c r="G35" s="176">
        <v>792</v>
      </c>
      <c r="H35" s="176">
        <v>659</v>
      </c>
      <c r="I35" s="176">
        <v>536</v>
      </c>
      <c r="J35" s="176">
        <v>698</v>
      </c>
      <c r="K35" s="176">
        <v>695</v>
      </c>
      <c r="L35" s="176">
        <v>805.23578791533646</v>
      </c>
      <c r="M35" s="176">
        <v>649</v>
      </c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</row>
    <row r="36" spans="1:33" s="4" customFormat="1" ht="31.5" customHeight="1">
      <c r="A36" s="37" t="s">
        <v>19</v>
      </c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s="21" customFormat="1" ht="31.5" customHeight="1">
      <c r="A37" s="26" t="s">
        <v>12</v>
      </c>
      <c r="B37" s="25">
        <v>30247</v>
      </c>
      <c r="C37" s="25">
        <v>31160</v>
      </c>
      <c r="D37" s="25">
        <v>30936</v>
      </c>
      <c r="E37" s="25">
        <v>30993</v>
      </c>
      <c r="F37" s="25">
        <v>30042</v>
      </c>
      <c r="G37" s="25">
        <v>30617</v>
      </c>
      <c r="H37" s="25">
        <v>30898</v>
      </c>
      <c r="I37" s="25">
        <v>31490</v>
      </c>
      <c r="J37" s="25">
        <v>31227</v>
      </c>
      <c r="K37" s="25">
        <v>31885</v>
      </c>
      <c r="L37" s="25">
        <v>31559</v>
      </c>
      <c r="M37" s="25">
        <v>31281</v>
      </c>
      <c r="N37" s="25">
        <v>30247</v>
      </c>
      <c r="O37" s="25">
        <v>30178.253290237615</v>
      </c>
      <c r="P37" s="25">
        <v>29609</v>
      </c>
      <c r="Q37" s="25">
        <v>28826</v>
      </c>
      <c r="R37" s="25">
        <v>28721.8538639615</v>
      </c>
      <c r="S37" s="25">
        <v>29447.168376640533</v>
      </c>
      <c r="T37" s="25">
        <v>29969.879530835675</v>
      </c>
      <c r="U37" s="25">
        <v>30697</v>
      </c>
      <c r="V37" s="25">
        <v>31116</v>
      </c>
      <c r="W37" s="25">
        <v>31615.485824636093</v>
      </c>
      <c r="X37" s="201">
        <v>31332.085656704545</v>
      </c>
      <c r="Y37" s="201">
        <v>32160.352715576944</v>
      </c>
      <c r="Z37" s="201">
        <v>33621.579504909037</v>
      </c>
      <c r="AA37" s="203">
        <v>34504.23493915375</v>
      </c>
      <c r="AB37" s="203">
        <v>35759.946634758468</v>
      </c>
      <c r="AC37" s="203">
        <v>36284.956880718593</v>
      </c>
      <c r="AD37" s="203">
        <v>35451.106773773703</v>
      </c>
      <c r="AE37" s="203">
        <v>36059.869566042275</v>
      </c>
      <c r="AF37" s="203">
        <v>36193.419498459523</v>
      </c>
      <c r="AG37" s="203">
        <v>36491</v>
      </c>
    </row>
    <row r="38" spans="1:33" s="21" customFormat="1" ht="31.5" customHeight="1">
      <c r="A38" s="26" t="s">
        <v>13</v>
      </c>
      <c r="B38" s="25">
        <v>34815</v>
      </c>
      <c r="C38" s="25">
        <v>35954</v>
      </c>
      <c r="D38" s="25">
        <v>35637</v>
      </c>
      <c r="E38" s="25">
        <v>36249</v>
      </c>
      <c r="F38" s="25">
        <v>34669</v>
      </c>
      <c r="G38" s="25">
        <v>35353</v>
      </c>
      <c r="H38" s="25">
        <v>35975</v>
      </c>
      <c r="I38" s="25">
        <v>36349</v>
      </c>
      <c r="J38" s="25">
        <v>35961</v>
      </c>
      <c r="K38" s="25">
        <v>36806</v>
      </c>
      <c r="L38" s="25">
        <v>36515</v>
      </c>
      <c r="M38" s="25">
        <v>35024</v>
      </c>
      <c r="N38" s="25">
        <v>34261</v>
      </c>
      <c r="O38" s="25">
        <v>34295.915569567849</v>
      </c>
      <c r="P38" s="25">
        <v>33570</v>
      </c>
      <c r="Q38" s="25">
        <v>32768</v>
      </c>
      <c r="R38" s="25">
        <v>32590.611708079919</v>
      </c>
      <c r="S38" s="25">
        <v>32978.472394436438</v>
      </c>
      <c r="T38" s="25">
        <v>33540.649703014336</v>
      </c>
      <c r="U38" s="25">
        <v>32555</v>
      </c>
      <c r="V38" s="25">
        <v>34037</v>
      </c>
      <c r="W38" s="25">
        <v>34675.978646690426</v>
      </c>
      <c r="X38" s="201">
        <v>34574.446143792797</v>
      </c>
      <c r="Y38" s="201">
        <v>35610.65562422073</v>
      </c>
      <c r="Z38" s="201">
        <v>37221.628595224625</v>
      </c>
      <c r="AA38" s="203">
        <v>38194.012346138166</v>
      </c>
      <c r="AB38" s="203">
        <v>39760.152148726105</v>
      </c>
      <c r="AC38" s="203">
        <v>37715.124070874394</v>
      </c>
      <c r="AD38" s="203">
        <v>38761.926993342844</v>
      </c>
      <c r="AE38" s="203">
        <v>38840.378289479551</v>
      </c>
      <c r="AF38" s="203">
        <v>39238.591100564961</v>
      </c>
      <c r="AG38" s="203">
        <v>39642</v>
      </c>
    </row>
    <row r="39" spans="1:33" s="21" customFormat="1" ht="31.5" hidden="1" customHeight="1">
      <c r="A39" s="26" t="s">
        <v>14</v>
      </c>
      <c r="B39" s="25">
        <v>35849</v>
      </c>
      <c r="C39" s="25">
        <v>36930</v>
      </c>
      <c r="D39" s="25">
        <v>36322</v>
      </c>
      <c r="E39" s="25">
        <v>36841</v>
      </c>
      <c r="F39" s="25">
        <v>35300</v>
      </c>
      <c r="G39" s="25">
        <v>36145</v>
      </c>
      <c r="H39" s="25">
        <v>36634</v>
      </c>
      <c r="I39" s="25">
        <v>36885</v>
      </c>
      <c r="J39" s="25">
        <v>36659</v>
      </c>
      <c r="K39" s="25">
        <v>37501</v>
      </c>
      <c r="L39" s="25">
        <v>37320.235787915335</v>
      </c>
      <c r="M39" s="25">
        <v>35673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</row>
    <row r="40" spans="1:33" s="4" customFormat="1" ht="9" customHeight="1">
      <c r="A40" s="168"/>
      <c r="B40" s="180"/>
      <c r="C40" s="180"/>
      <c r="D40" s="180"/>
      <c r="E40" s="180"/>
      <c r="F40" s="180"/>
      <c r="G40" s="17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</row>
    <row r="41" spans="1:33" s="4" customFormat="1" ht="18" customHeight="1">
      <c r="A41" s="162" t="s">
        <v>122</v>
      </c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</row>
    <row r="42" spans="1:33" s="20" customFormat="1" ht="18.75" customHeight="1">
      <c r="A42" s="162" t="s">
        <v>123</v>
      </c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</row>
    <row r="43" spans="1:33" ht="18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</row>
  </sheetData>
  <phoneticPr fontId="2" type="noConversion"/>
  <pageMargins left="0.39370078740157483" right="0.39370078740157483" top="0.43307086614173229" bottom="0.19685039370078741" header="0.19685039370078741" footer="0.15748031496062992"/>
  <pageSetup paperSize="9" scale="3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Company>관리회계팀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cp:lastPrinted>2014-02-17T00:06:03Z</cp:lastPrinted>
  <dcterms:created xsi:type="dcterms:W3CDTF">2003-12-12T04:06:29Z</dcterms:created>
  <dcterms:modified xsi:type="dcterms:W3CDTF">2016-03-15T07:31:26Z</dcterms:modified>
</cp:coreProperties>
</file>