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75" windowWidth="18195" windowHeight="11820"/>
  </bookViews>
  <sheets>
    <sheet name="KT Only" sheetId="1" r:id="rId1"/>
    <sheet name="Consolidated" sheetId="4" r:id="rId2"/>
  </sheets>
  <definedNames>
    <definedName name="_xlnm.Print_Area" localSheetId="1">Consolidated!$A$1:$H$29</definedName>
    <definedName name="_xlnm.Print_Area" localSheetId="0">'KT Only'!$A$1:$H$52</definedName>
  </definedNames>
  <calcPr calcId="125725"/>
</workbook>
</file>

<file path=xl/calcChain.xml><?xml version="1.0" encoding="utf-8"?>
<calcChain xmlns="http://schemas.openxmlformats.org/spreadsheetml/2006/main">
  <c r="C34" i="1"/>
  <c r="D33"/>
  <c r="D36" s="1"/>
  <c r="D34"/>
  <c r="E34"/>
  <c r="E33" s="1"/>
  <c r="F34"/>
  <c r="F33" s="1"/>
  <c r="G34"/>
  <c r="G33" l="1"/>
  <c r="C33"/>
  <c r="F36"/>
  <c r="E36"/>
  <c r="G36" l="1"/>
  <c r="C36"/>
</calcChain>
</file>

<file path=xl/sharedStrings.xml><?xml version="1.0" encoding="utf-8"?>
<sst xmlns="http://schemas.openxmlformats.org/spreadsheetml/2006/main" count="82" uniqueCount="56">
  <si>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</si>
  <si>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</si>
  <si>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</si>
  <si>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</si>
  <si>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</si>
  <si>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</si>
  <si>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</si>
  <si>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</si>
  <si>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</si>
  <si>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</si>
  <si>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</si>
  <si>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</si>
  <si>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 xml:space="preserve"> - Mobile</t>
    <phoneticPr fontId="1" type="noConversion"/>
  </si>
  <si>
    <t xml:space="preserve"> - Fixed line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</si>
  <si>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</si>
  <si>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</si>
  <si>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</si>
  <si>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</si>
  <si>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</si>
  <si>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</si>
  <si>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</si>
  <si>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</si>
  <si>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</si>
  <si>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</si>
  <si>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</si>
  <si>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</si>
  <si>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</si>
  <si>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</si>
  <si>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</si>
  <si>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</si>
  <si>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</si>
  <si>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</si>
  <si>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</si>
  <si>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</si>
  <si>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</si>
  <si>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</si>
  <si>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</si>
  <si>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</si>
  <si>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</si>
  <si>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</si>
  <si>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</si>
  <si>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</si>
  <si>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</si>
  <si>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K-GAAP / pro forma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</si>
  <si>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</si>
  <si>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</si>
  <si>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</si>
  <si>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</si>
  <si>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</si>
  <si>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</si>
  <si>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</si>
  <si>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</si>
  <si>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</si>
  <si>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</si>
  <si>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</si>
  <si>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EBITDA Margin (service rev.)</t>
    <phoneticPr fontId="1" type="noConversion"/>
  </si>
</sst>
</file>

<file path=xl/styles.xml><?xml version="1.0" encoding="utf-8"?>
<styleSheet xmlns="http://schemas.openxmlformats.org/spreadsheetml/2006/main">
  <numFmts count="3">
    <numFmt numFmtId="41" formatCode="_-* #,##0_-;\-* #,##0_-;_-* &quot;-&quot;_-;_-@_-"/>
    <numFmt numFmtId="176" formatCode="0.0%"/>
    <numFmt numFmtId="177" formatCode="_-* #,##0.0_-;\-* #,##0.0_-;_-* &quot;-&quot;_-;_-@_-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5" xfId="1" applyNumberFormat="1" applyFont="1" applyBorder="1">
      <alignment vertical="center"/>
    </xf>
    <xf numFmtId="177" fontId="2" fillId="0" borderId="2" xfId="1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0" fontId="9" fillId="3" borderId="0" xfId="0" applyFont="1" applyFill="1" applyAlignment="1">
      <alignment horizont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51"/>
  <sheetViews>
    <sheetView showGridLines="0" tabSelected="1" view="pageBreakPreview" zoomScale="80" zoomScaleNormal="80" zoomScaleSheetLayoutView="80" workbookViewId="0">
      <selection activeCell="M21" sqref="M21"/>
    </sheetView>
  </sheetViews>
  <sheetFormatPr defaultRowHeight="16.5"/>
  <cols>
    <col min="1" max="1" width="3.75" style="1" customWidth="1"/>
    <col min="2" max="2" width="31.375" style="1" customWidth="1"/>
    <col min="3" max="7" width="13.25" style="1" customWidth="1"/>
    <col min="8" max="8" width="3" style="1" customWidth="1"/>
    <col min="9" max="16384" width="9" style="1"/>
  </cols>
  <sheetData>
    <row r="2" spans="1:7" ht="20.25">
      <c r="B2" s="10" t="s">
        <v>3</v>
      </c>
      <c r="D2" s="36"/>
    </row>
    <row r="3" spans="1:7">
      <c r="B3" s="12" t="s">
        <v>48</v>
      </c>
      <c r="C3" s="28"/>
      <c r="D3" s="28"/>
      <c r="E3" s="28"/>
      <c r="F3" s="28"/>
      <c r="G3" s="28"/>
    </row>
    <row r="4" spans="1:7" ht="13.5" customHeight="1">
      <c r="C4" s="43" t="s">
        <v>43</v>
      </c>
      <c r="D4" s="43"/>
      <c r="E4" s="29" t="s">
        <v>40</v>
      </c>
      <c r="F4" s="30" t="s">
        <v>41</v>
      </c>
      <c r="G4" s="30" t="s">
        <v>41</v>
      </c>
    </row>
    <row r="5" spans="1:7" ht="18" thickBot="1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9">
        <v>2011</v>
      </c>
    </row>
    <row r="6" spans="1:7">
      <c r="B6" s="8" t="s">
        <v>5</v>
      </c>
      <c r="C6" s="26">
        <v>18932.8</v>
      </c>
      <c r="D6" s="26">
        <v>18955.8</v>
      </c>
      <c r="E6" s="26">
        <v>20233.5</v>
      </c>
      <c r="F6" s="26">
        <v>19918.400000000001</v>
      </c>
      <c r="G6" s="26">
        <v>20166.8</v>
      </c>
    </row>
    <row r="7" spans="1:7">
      <c r="B7" s="5" t="s">
        <v>6</v>
      </c>
      <c r="C7" s="26">
        <v>15722.2</v>
      </c>
      <c r="D7" s="26">
        <v>15434.1</v>
      </c>
      <c r="E7" s="26">
        <v>15732.6</v>
      </c>
      <c r="F7" s="26">
        <v>15796.5</v>
      </c>
      <c r="G7" s="26">
        <v>15059.9</v>
      </c>
    </row>
    <row r="8" spans="1:7">
      <c r="B8" s="5" t="s">
        <v>30</v>
      </c>
      <c r="C8" s="26">
        <v>3210.6</v>
      </c>
      <c r="D8" s="26">
        <v>3521.7</v>
      </c>
      <c r="E8" s="26">
        <v>4500.8999999999996</v>
      </c>
      <c r="F8" s="26">
        <v>3755.1</v>
      </c>
      <c r="G8" s="26">
        <v>4263.8</v>
      </c>
    </row>
    <row r="9" spans="1:7">
      <c r="B9" s="5" t="s">
        <v>7</v>
      </c>
      <c r="C9" s="26">
        <v>0</v>
      </c>
      <c r="D9" s="26">
        <v>0</v>
      </c>
      <c r="E9" s="26">
        <v>0</v>
      </c>
      <c r="F9" s="26">
        <v>366.8</v>
      </c>
      <c r="G9" s="26">
        <v>843.2</v>
      </c>
    </row>
    <row r="10" spans="1:7">
      <c r="B10" s="5" t="s">
        <v>8</v>
      </c>
      <c r="C10" s="26">
        <v>1442.5</v>
      </c>
      <c r="D10" s="26">
        <v>945.2</v>
      </c>
      <c r="E10" s="26">
        <v>2053.3000000000002</v>
      </c>
      <c r="F10" s="26">
        <v>2033.5</v>
      </c>
      <c r="G10" s="26">
        <v>2025.9</v>
      </c>
    </row>
    <row r="11" spans="1:7">
      <c r="B11" s="6" t="s">
        <v>9</v>
      </c>
      <c r="C11" s="27">
        <v>527.1</v>
      </c>
      <c r="D11" s="27">
        <v>605.1</v>
      </c>
      <c r="E11" s="27">
        <v>1171.9000000000001</v>
      </c>
      <c r="F11" s="27">
        <v>1272.2</v>
      </c>
      <c r="G11" s="27">
        <v>1289.0999999999999</v>
      </c>
    </row>
    <row r="12" spans="1:7">
      <c r="B12" s="13" t="s">
        <v>10</v>
      </c>
      <c r="C12" s="39">
        <v>4890.6000000000004</v>
      </c>
      <c r="D12" s="39">
        <v>4065.4</v>
      </c>
      <c r="E12" s="39">
        <v>4967.7</v>
      </c>
      <c r="F12" s="39">
        <v>5072.8999999999996</v>
      </c>
      <c r="G12" s="39">
        <v>4863.7</v>
      </c>
    </row>
    <row r="13" spans="1:7" ht="17.25" thickBot="1">
      <c r="B13" s="40" t="s">
        <v>55</v>
      </c>
      <c r="C13" s="35">
        <v>0.311</v>
      </c>
      <c r="D13" s="35">
        <v>0.26300000000000001</v>
      </c>
      <c r="E13" s="35">
        <v>0.316</v>
      </c>
      <c r="F13" s="35">
        <v>0.32100000000000001</v>
      </c>
      <c r="G13" s="35">
        <v>0.32300000000000001</v>
      </c>
    </row>
    <row r="14" spans="1:7">
      <c r="F14" s="25"/>
      <c r="G14" s="25"/>
    </row>
    <row r="15" spans="1:7" ht="18" thickBot="1">
      <c r="A15" s="3" t="s">
        <v>24</v>
      </c>
      <c r="B15" s="2" t="s">
        <v>2</v>
      </c>
      <c r="C15" s="23">
        <v>2008</v>
      </c>
      <c r="D15" s="23">
        <v>2009</v>
      </c>
      <c r="E15" s="23">
        <v>2010</v>
      </c>
      <c r="F15" s="18">
        <v>2010</v>
      </c>
      <c r="G15" s="19">
        <v>2011</v>
      </c>
    </row>
    <row r="16" spans="1:7">
      <c r="B16" s="8" t="s">
        <v>11</v>
      </c>
      <c r="C16" s="26">
        <v>3150.8</v>
      </c>
      <c r="D16" s="26">
        <v>2958.7</v>
      </c>
      <c r="E16" s="26">
        <v>3057.2</v>
      </c>
      <c r="F16" s="26">
        <v>3057.2</v>
      </c>
      <c r="G16" s="26">
        <v>3318.5</v>
      </c>
    </row>
    <row r="17" spans="1:7">
      <c r="B17" s="5" t="s">
        <v>12</v>
      </c>
      <c r="C17" s="26">
        <v>1179.3</v>
      </c>
      <c r="D17" s="26">
        <v>759.3</v>
      </c>
      <c r="E17" s="26">
        <v>1085.5999999999999</v>
      </c>
      <c r="F17" s="26">
        <v>1085.5999999999999</v>
      </c>
      <c r="G17" s="26">
        <v>1607.7</v>
      </c>
    </row>
    <row r="18" spans="1:7">
      <c r="B18" s="5" t="s">
        <v>13</v>
      </c>
      <c r="C18" s="26">
        <v>1853.6</v>
      </c>
      <c r="D18" s="26">
        <v>1809.9</v>
      </c>
      <c r="E18" s="26">
        <v>1618.4</v>
      </c>
      <c r="F18" s="26">
        <v>1618.4</v>
      </c>
      <c r="G18" s="26">
        <v>1273.3</v>
      </c>
    </row>
    <row r="19" spans="1:7">
      <c r="B19" s="6" t="s">
        <v>7</v>
      </c>
      <c r="C19" s="27">
        <v>117.9</v>
      </c>
      <c r="D19" s="27">
        <v>389.5</v>
      </c>
      <c r="E19" s="27">
        <v>353.2</v>
      </c>
      <c r="F19" s="27">
        <v>353.2</v>
      </c>
      <c r="G19" s="27">
        <v>437.5</v>
      </c>
    </row>
    <row r="20" spans="1:7" ht="17.25" thickBot="1">
      <c r="B20" s="9" t="s">
        <v>14</v>
      </c>
      <c r="C20" s="32">
        <v>3448.1</v>
      </c>
      <c r="D20" s="32">
        <v>3120.3</v>
      </c>
      <c r="E20" s="32">
        <v>2914.4</v>
      </c>
      <c r="F20" s="32">
        <v>3039.4</v>
      </c>
      <c r="G20" s="32">
        <v>2837.8</v>
      </c>
    </row>
    <row r="22" spans="1:7" ht="18" thickBot="1">
      <c r="A22" s="3" t="s">
        <v>24</v>
      </c>
      <c r="B22" s="2" t="s">
        <v>31</v>
      </c>
      <c r="C22" s="23">
        <v>2008</v>
      </c>
      <c r="D22" s="23">
        <v>2009</v>
      </c>
      <c r="E22" s="23">
        <v>2010</v>
      </c>
      <c r="F22" s="18">
        <v>2010</v>
      </c>
      <c r="G22" s="19">
        <v>2011</v>
      </c>
    </row>
    <row r="23" spans="1:7">
      <c r="B23" s="8" t="s">
        <v>15</v>
      </c>
      <c r="C23" s="26">
        <v>8567.1</v>
      </c>
      <c r="D23" s="26">
        <v>8136.3</v>
      </c>
      <c r="E23" s="26">
        <v>7665.7</v>
      </c>
      <c r="F23" s="26">
        <v>7651.7</v>
      </c>
      <c r="G23" s="26">
        <v>8917.4</v>
      </c>
    </row>
    <row r="24" spans="1:7">
      <c r="B24" s="6" t="s">
        <v>50</v>
      </c>
      <c r="C24" s="27">
        <v>6742.3</v>
      </c>
      <c r="D24" s="27">
        <v>6561.7</v>
      </c>
      <c r="E24" s="27">
        <v>6730.6</v>
      </c>
      <c r="F24" s="27">
        <v>6750.4</v>
      </c>
      <c r="G24" s="27">
        <v>8127.2</v>
      </c>
    </row>
    <row r="25" spans="1:7">
      <c r="B25" s="5" t="s">
        <v>16</v>
      </c>
      <c r="C25" s="31">
        <v>0.622</v>
      </c>
      <c r="D25" s="31">
        <v>0.63100000000000001</v>
      </c>
      <c r="E25" s="31">
        <v>0.61</v>
      </c>
      <c r="F25" s="31">
        <v>0.60899999999999999</v>
      </c>
      <c r="G25" s="31">
        <v>0.69299999999999995</v>
      </c>
    </row>
    <row r="26" spans="1:7" ht="17.25" thickBot="1">
      <c r="B26" s="9" t="s">
        <v>39</v>
      </c>
      <c r="C26" s="32">
        <v>1.4</v>
      </c>
      <c r="D26" s="32">
        <v>1.6</v>
      </c>
      <c r="E26" s="32">
        <v>1.4</v>
      </c>
      <c r="F26" s="32">
        <v>1.3</v>
      </c>
      <c r="G26" s="32">
        <v>1.7</v>
      </c>
    </row>
    <row r="28" spans="1:7" ht="18" thickBot="1">
      <c r="A28" s="3" t="s">
        <v>24</v>
      </c>
      <c r="B28" s="2" t="s">
        <v>0</v>
      </c>
      <c r="C28" s="23">
        <v>2008</v>
      </c>
      <c r="D28" s="23">
        <v>2009</v>
      </c>
      <c r="E28" s="23">
        <v>2010</v>
      </c>
      <c r="F28" s="18">
        <v>2010</v>
      </c>
      <c r="G28" s="19">
        <v>2011</v>
      </c>
    </row>
    <row r="29" spans="1:7">
      <c r="B29" s="8" t="s">
        <v>44</v>
      </c>
      <c r="C29" s="20">
        <v>202035.296</v>
      </c>
      <c r="D29" s="20">
        <v>243196.46799999999</v>
      </c>
      <c r="E29" s="20">
        <v>243215.84400000001</v>
      </c>
      <c r="F29" s="20">
        <v>243215.84400000001</v>
      </c>
      <c r="G29" s="20">
        <v>243301.24600000001</v>
      </c>
    </row>
    <row r="30" spans="1:7">
      <c r="B30" s="5" t="s">
        <v>45</v>
      </c>
      <c r="C30" s="20">
        <v>71500.403999999995</v>
      </c>
      <c r="D30" s="20">
        <v>17915.34</v>
      </c>
      <c r="E30" s="20">
        <v>17895.964</v>
      </c>
      <c r="F30" s="20">
        <v>17895.964</v>
      </c>
      <c r="G30" s="20">
        <v>17810.562000000002</v>
      </c>
    </row>
    <row r="31" spans="1:7">
      <c r="B31" s="6" t="s">
        <v>29</v>
      </c>
      <c r="C31" s="21">
        <v>37500</v>
      </c>
      <c r="D31" s="21">
        <v>39100</v>
      </c>
      <c r="E31" s="21">
        <v>46250</v>
      </c>
      <c r="F31" s="21">
        <v>46250</v>
      </c>
      <c r="G31" s="21">
        <v>35650</v>
      </c>
    </row>
    <row r="32" spans="1:7">
      <c r="B32" s="5" t="s">
        <v>17</v>
      </c>
      <c r="C32" s="20">
        <v>1120</v>
      </c>
      <c r="D32" s="20">
        <v>2000</v>
      </c>
      <c r="E32" s="20">
        <v>2410</v>
      </c>
      <c r="F32" s="20">
        <v>2410</v>
      </c>
      <c r="G32" s="20">
        <v>2000</v>
      </c>
    </row>
    <row r="33" spans="1:7">
      <c r="B33" s="4" t="s">
        <v>35</v>
      </c>
      <c r="C33" s="33">
        <f>C34+C35</f>
        <v>226.27953152000003</v>
      </c>
      <c r="D33" s="33">
        <f t="shared" ref="D33:G33" si="0">D34+D35</f>
        <v>994.9929360000001</v>
      </c>
      <c r="E33" s="33">
        <f t="shared" si="0"/>
        <v>586.15018404000011</v>
      </c>
      <c r="F33" s="33">
        <f t="shared" si="0"/>
        <v>586.15018404000011</v>
      </c>
      <c r="G33" s="33">
        <f t="shared" si="0"/>
        <v>486.60249199999998</v>
      </c>
    </row>
    <row r="34" spans="1:7">
      <c r="B34" s="5" t="s">
        <v>46</v>
      </c>
      <c r="C34" s="26">
        <f>(C32*C29/1000000000)*1000</f>
        <v>226.27953152000003</v>
      </c>
      <c r="D34" s="26">
        <f>(D32*D29/1000000000)*1000</f>
        <v>486.39293600000002</v>
      </c>
      <c r="E34" s="26">
        <f>(E32*E29/1000000000)*1000</f>
        <v>586.15018404000011</v>
      </c>
      <c r="F34" s="26">
        <f>(F32*F29/1000000000)*1000</f>
        <v>586.15018404000011</v>
      </c>
      <c r="G34" s="26">
        <f>(G32*G29/1000000000)*1000</f>
        <v>486.60249199999998</v>
      </c>
    </row>
    <row r="35" spans="1:7">
      <c r="B35" s="6" t="s">
        <v>47</v>
      </c>
      <c r="C35" s="21">
        <v>0</v>
      </c>
      <c r="D35" s="38">
        <v>508.6</v>
      </c>
      <c r="E35" s="21">
        <v>0</v>
      </c>
      <c r="F35" s="21">
        <v>0</v>
      </c>
      <c r="G35" s="21">
        <v>0</v>
      </c>
    </row>
    <row r="36" spans="1:7" ht="17.25" thickBot="1">
      <c r="B36" s="9" t="s">
        <v>18</v>
      </c>
      <c r="C36" s="24">
        <f t="shared" ref="C36:E36" si="1">C33/C11</f>
        <v>0.42929146560424969</v>
      </c>
      <c r="D36" s="24">
        <f t="shared" si="1"/>
        <v>1.6443446306395637</v>
      </c>
      <c r="E36" s="24">
        <f t="shared" si="1"/>
        <v>0.50017082006997193</v>
      </c>
      <c r="F36" s="24">
        <f>F33/E11</f>
        <v>0.50017082006997193</v>
      </c>
      <c r="G36" s="35">
        <f>G33/G11</f>
        <v>0.37747458847257775</v>
      </c>
    </row>
    <row r="38" spans="1:7" ht="18" thickBot="1">
      <c r="A38" s="3" t="s">
        <v>24</v>
      </c>
      <c r="B38" s="2" t="s">
        <v>1</v>
      </c>
      <c r="C38" s="23">
        <v>2008</v>
      </c>
      <c r="D38" s="23">
        <v>2009</v>
      </c>
      <c r="E38" s="23">
        <v>2010</v>
      </c>
      <c r="F38" s="18">
        <v>2010</v>
      </c>
      <c r="G38" s="19">
        <v>2011</v>
      </c>
    </row>
    <row r="39" spans="1:7">
      <c r="B39" s="8" t="s">
        <v>19</v>
      </c>
      <c r="C39" s="20">
        <v>2609.1999999999998</v>
      </c>
      <c r="D39" s="20">
        <v>2718</v>
      </c>
      <c r="E39" s="20">
        <v>4818.3999999999996</v>
      </c>
      <c r="F39" s="20">
        <v>5240</v>
      </c>
      <c r="G39" s="20">
        <v>5299</v>
      </c>
    </row>
    <row r="40" spans="1:7">
      <c r="B40" s="5" t="s">
        <v>20</v>
      </c>
      <c r="C40" s="26">
        <v>14.4</v>
      </c>
      <c r="D40" s="26">
        <v>14.4</v>
      </c>
      <c r="E40" s="26">
        <v>9.6</v>
      </c>
      <c r="F40" s="26">
        <v>8.8000000000000007</v>
      </c>
      <c r="G40" s="26">
        <v>6.7</v>
      </c>
    </row>
    <row r="41" spans="1:7">
      <c r="B41" s="5" t="s">
        <v>21</v>
      </c>
      <c r="C41" s="26">
        <v>3.5</v>
      </c>
      <c r="D41" s="26">
        <v>4.0999999999999996</v>
      </c>
      <c r="E41" s="26">
        <v>3.8</v>
      </c>
      <c r="F41" s="26">
        <v>3.7</v>
      </c>
      <c r="G41" s="26">
        <v>3.6</v>
      </c>
    </row>
    <row r="42" spans="1:7">
      <c r="B42" s="5" t="s">
        <v>22</v>
      </c>
      <c r="C42" s="31">
        <v>5.3999999999999999E-2</v>
      </c>
      <c r="D42" s="31">
        <v>5.7000000000000002E-2</v>
      </c>
      <c r="E42" s="31">
        <v>0.109</v>
      </c>
      <c r="F42" s="31">
        <v>0.11899999999999999</v>
      </c>
      <c r="G42" s="31">
        <v>0.113</v>
      </c>
    </row>
    <row r="43" spans="1:7" ht="17.25" thickBot="1">
      <c r="B43" s="9" t="s">
        <v>23</v>
      </c>
      <c r="C43" s="24">
        <v>2.5000000000000001E-2</v>
      </c>
      <c r="D43" s="24">
        <v>2.5000000000000001E-2</v>
      </c>
      <c r="E43" s="24">
        <v>4.8000000000000001E-2</v>
      </c>
      <c r="F43" s="24">
        <v>5.1999999999999998E-2</v>
      </c>
      <c r="G43" s="24">
        <v>5.0999999999999997E-2</v>
      </c>
    </row>
    <row r="46" spans="1:7">
      <c r="B46" s="11" t="s">
        <v>25</v>
      </c>
      <c r="C46" s="11"/>
      <c r="D46" s="11"/>
      <c r="E46" s="11"/>
      <c r="F46" s="11"/>
      <c r="G46" s="11"/>
    </row>
    <row r="47" spans="1:7">
      <c r="B47" s="11" t="s">
        <v>26</v>
      </c>
      <c r="C47" s="11"/>
      <c r="D47" s="11"/>
      <c r="E47" s="11"/>
      <c r="F47" s="11"/>
      <c r="G47" s="11"/>
    </row>
    <row r="48" spans="1:7">
      <c r="B48" s="11" t="s">
        <v>27</v>
      </c>
      <c r="C48" s="11"/>
      <c r="D48" s="11"/>
      <c r="E48" s="11"/>
      <c r="F48" s="11"/>
      <c r="G48" s="11"/>
    </row>
    <row r="49" spans="2:7">
      <c r="B49" s="11" t="s">
        <v>28</v>
      </c>
      <c r="C49" s="11"/>
      <c r="D49" s="11"/>
      <c r="E49" s="11"/>
      <c r="F49" s="11"/>
      <c r="G49" s="11"/>
    </row>
    <row r="50" spans="2:7">
      <c r="B50" s="11" t="s">
        <v>32</v>
      </c>
      <c r="C50" s="11"/>
      <c r="D50" s="11"/>
      <c r="E50" s="11"/>
      <c r="F50" s="11"/>
      <c r="G50" s="11"/>
    </row>
    <row r="51" spans="2:7">
      <c r="B51" s="11" t="s">
        <v>33</v>
      </c>
      <c r="C51" s="11"/>
      <c r="D51" s="11"/>
      <c r="E51" s="11"/>
      <c r="F51" s="11"/>
      <c r="G51" s="11"/>
    </row>
  </sheetData>
  <mergeCells count="1">
    <mergeCell ref="C4:D4"/>
  </mergeCells>
  <phoneticPr fontId="1" type="noConversion"/>
  <pageMargins left="0.39370078740157483" right="0.39370078740157483" top="0.74803149606299213" bottom="0.74803149606299213" header="0.31496062992125984" footer="0.31496062992125984"/>
  <pageSetup paperSize="9" scale="79" orientation="portrait" verticalDpi="0" r:id="rId1"/>
  <ignoredErrors>
    <ignoredError sqref="F3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G28"/>
  <sheetViews>
    <sheetView showGridLines="0" view="pageBreakPreview" zoomScale="80" zoomScaleNormal="80" zoomScaleSheetLayoutView="80" workbookViewId="0">
      <selection activeCell="B26" sqref="B26"/>
    </sheetView>
  </sheetViews>
  <sheetFormatPr defaultRowHeight="16.5"/>
  <cols>
    <col min="1" max="1" width="3.75" style="1" customWidth="1"/>
    <col min="2" max="2" width="38" style="1" customWidth="1"/>
    <col min="3" max="5" width="13" style="1" hidden="1" customWidth="1"/>
    <col min="6" max="7" width="13" style="1" customWidth="1"/>
    <col min="8" max="8" width="2.75" style="1" customWidth="1"/>
    <col min="9" max="16384" width="9" style="1"/>
  </cols>
  <sheetData>
    <row r="2" spans="1:7" ht="20.25">
      <c r="B2" s="10" t="s">
        <v>34</v>
      </c>
      <c r="G2" s="36"/>
    </row>
    <row r="3" spans="1:7">
      <c r="B3" s="12" t="s">
        <v>48</v>
      </c>
    </row>
    <row r="4" spans="1:7">
      <c r="B4" s="7"/>
      <c r="C4" s="29" t="s">
        <v>40</v>
      </c>
      <c r="D4" s="29" t="s">
        <v>40</v>
      </c>
      <c r="E4" s="29" t="s">
        <v>40</v>
      </c>
      <c r="F4" s="30" t="s">
        <v>41</v>
      </c>
      <c r="G4" s="30" t="s">
        <v>41</v>
      </c>
    </row>
    <row r="5" spans="1:7" ht="18" thickBot="1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9">
        <v>2011</v>
      </c>
    </row>
    <row r="6" spans="1:7">
      <c r="B6" s="8" t="s">
        <v>5</v>
      </c>
      <c r="C6" s="20"/>
      <c r="D6" s="20"/>
      <c r="E6" s="20"/>
      <c r="F6" s="26">
        <v>20339.099999999999</v>
      </c>
      <c r="G6" s="26">
        <v>21990.1</v>
      </c>
    </row>
    <row r="7" spans="1:7">
      <c r="B7" s="5" t="s">
        <v>6</v>
      </c>
      <c r="C7" s="20"/>
      <c r="D7" s="20"/>
      <c r="E7" s="20"/>
      <c r="F7" s="26">
        <v>16415.2</v>
      </c>
      <c r="G7" s="26">
        <v>16881.8</v>
      </c>
    </row>
    <row r="8" spans="1:7">
      <c r="B8" s="5" t="s">
        <v>30</v>
      </c>
      <c r="C8" s="20"/>
      <c r="D8" s="20"/>
      <c r="E8" s="20"/>
      <c r="F8" s="26">
        <v>3594.2</v>
      </c>
      <c r="G8" s="26">
        <v>4328.2</v>
      </c>
    </row>
    <row r="9" spans="1:7">
      <c r="B9" s="5" t="s">
        <v>7</v>
      </c>
      <c r="C9" s="20"/>
      <c r="D9" s="20"/>
      <c r="E9" s="20"/>
      <c r="F9" s="26">
        <v>329.8</v>
      </c>
      <c r="G9" s="26">
        <v>780</v>
      </c>
    </row>
    <row r="10" spans="1:7">
      <c r="B10" s="5" t="s">
        <v>8</v>
      </c>
      <c r="C10" s="20"/>
      <c r="D10" s="20"/>
      <c r="E10" s="20"/>
      <c r="F10" s="26">
        <v>2050.6999999999998</v>
      </c>
      <c r="G10" s="26">
        <v>1957.3</v>
      </c>
    </row>
    <row r="11" spans="1:7">
      <c r="B11" s="15" t="s">
        <v>38</v>
      </c>
      <c r="C11" s="20"/>
      <c r="D11" s="20"/>
      <c r="E11" s="20"/>
      <c r="F11" s="26">
        <v>1320.1</v>
      </c>
      <c r="G11" s="26">
        <v>1271.0999999999999</v>
      </c>
    </row>
    <row r="12" spans="1:7">
      <c r="B12" s="13" t="s">
        <v>37</v>
      </c>
      <c r="C12" s="20"/>
      <c r="D12" s="20"/>
      <c r="E12" s="20"/>
      <c r="F12" s="26">
        <v>18.100000000000001</v>
      </c>
      <c r="G12" s="26">
        <v>171.1</v>
      </c>
    </row>
    <row r="13" spans="1:7">
      <c r="B13" s="5" t="s">
        <v>9</v>
      </c>
      <c r="C13" s="20"/>
      <c r="D13" s="20"/>
      <c r="E13" s="20"/>
      <c r="F13" s="26">
        <v>1338.3</v>
      </c>
      <c r="G13" s="26">
        <v>1442.2</v>
      </c>
    </row>
    <row r="14" spans="1:7">
      <c r="B14" s="14" t="s">
        <v>36</v>
      </c>
      <c r="C14" s="21"/>
      <c r="D14" s="21"/>
      <c r="E14" s="21"/>
      <c r="F14" s="27">
        <v>1321.4</v>
      </c>
      <c r="G14" s="27">
        <v>1437.5</v>
      </c>
    </row>
    <row r="15" spans="1:7" ht="17.25" thickBot="1">
      <c r="B15" s="17" t="s">
        <v>10</v>
      </c>
      <c r="C15" s="34"/>
      <c r="D15" s="34"/>
      <c r="E15" s="34"/>
      <c r="F15" s="37">
        <v>5159.1000000000004</v>
      </c>
      <c r="G15" s="37">
        <v>4913.6000000000004</v>
      </c>
    </row>
    <row r="18" spans="1:7" ht="18" thickBot="1">
      <c r="A18" s="3" t="s">
        <v>24</v>
      </c>
      <c r="B18" s="16" t="s">
        <v>42</v>
      </c>
      <c r="C18" s="23">
        <v>2008</v>
      </c>
      <c r="D18" s="23">
        <v>2009</v>
      </c>
      <c r="E18" s="23">
        <v>2010</v>
      </c>
      <c r="F18" s="18">
        <v>2010</v>
      </c>
      <c r="G18" s="19">
        <v>2011</v>
      </c>
    </row>
    <row r="19" spans="1:7">
      <c r="B19" s="13" t="s">
        <v>51</v>
      </c>
      <c r="C19" s="41"/>
      <c r="D19" s="41"/>
      <c r="E19" s="41"/>
      <c r="F19" s="42">
        <v>0.125</v>
      </c>
      <c r="G19" s="42">
        <v>0.11600000000000001</v>
      </c>
    </row>
    <row r="20" spans="1:7">
      <c r="B20" s="13" t="s">
        <v>52</v>
      </c>
      <c r="C20" s="41"/>
      <c r="D20" s="41"/>
      <c r="E20" s="41"/>
      <c r="F20" s="42">
        <v>0.314</v>
      </c>
      <c r="G20" s="42">
        <v>0.29099999999999998</v>
      </c>
    </row>
    <row r="21" spans="1:7" ht="17.25" thickBot="1">
      <c r="B21" s="9" t="s">
        <v>53</v>
      </c>
      <c r="C21" s="22"/>
      <c r="D21" s="22"/>
      <c r="E21" s="22"/>
      <c r="F21" s="24">
        <v>0.23300000000000001</v>
      </c>
      <c r="G21" s="24">
        <v>0.19600000000000001</v>
      </c>
    </row>
    <row r="24" spans="1:7" ht="18" thickBot="1">
      <c r="A24" s="3" t="s">
        <v>24</v>
      </c>
      <c r="B24" s="2" t="s">
        <v>31</v>
      </c>
      <c r="C24" s="23">
        <v>2008</v>
      </c>
      <c r="D24" s="23">
        <v>2009</v>
      </c>
      <c r="E24" s="23">
        <v>2010</v>
      </c>
      <c r="F24" s="18">
        <v>2010</v>
      </c>
      <c r="G24" s="19">
        <v>2011</v>
      </c>
    </row>
    <row r="25" spans="1:7">
      <c r="B25" s="8" t="s">
        <v>54</v>
      </c>
      <c r="C25" s="20"/>
      <c r="D25" s="20"/>
      <c r="E25" s="20"/>
      <c r="F25" s="26">
        <v>9382.4</v>
      </c>
      <c r="G25" s="26">
        <v>10998.6</v>
      </c>
    </row>
    <row r="26" spans="1:7">
      <c r="B26" s="6" t="s">
        <v>50</v>
      </c>
      <c r="C26" s="21"/>
      <c r="D26" s="21"/>
      <c r="E26" s="21"/>
      <c r="F26" s="27">
        <v>8220.7000000000007</v>
      </c>
      <c r="G26" s="27">
        <v>9553.4</v>
      </c>
    </row>
    <row r="27" spans="1:7">
      <c r="B27" s="5" t="s">
        <v>16</v>
      </c>
      <c r="C27" s="20"/>
      <c r="D27" s="20"/>
      <c r="E27" s="20"/>
      <c r="F27" s="31">
        <v>0.72399999999999998</v>
      </c>
      <c r="G27" s="31">
        <v>0.76300000000000001</v>
      </c>
    </row>
    <row r="28" spans="1:7" ht="17.25" thickBot="1">
      <c r="B28" s="9" t="s">
        <v>49</v>
      </c>
      <c r="C28" s="22"/>
      <c r="D28" s="22"/>
      <c r="E28" s="22"/>
      <c r="F28" s="32">
        <v>1.6</v>
      </c>
      <c r="G28" s="32">
        <v>1.9</v>
      </c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greatKANGmae</cp:lastModifiedBy>
  <cp:lastPrinted>2012-02-03T12:15:08Z</cp:lastPrinted>
  <dcterms:created xsi:type="dcterms:W3CDTF">2012-01-10T00:01:55Z</dcterms:created>
  <dcterms:modified xsi:type="dcterms:W3CDTF">2012-02-03T14:47:56Z</dcterms:modified>
</cp:coreProperties>
</file>