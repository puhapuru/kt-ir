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IR Newsletter 발송\FY 2019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'Fixed(M)'!$A$1:$FS$39</definedName>
    <definedName name="_xlnm.Print_Area" localSheetId="1">'Wireless(Q)'!$A$1:$AT$42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8" i="2" l="1"/>
  <c r="AJ18" i="2"/>
  <c r="AI18" i="2"/>
  <c r="AH18" i="2"/>
  <c r="AG18" i="2"/>
  <c r="AF18" i="2"/>
  <c r="AE18" i="2"/>
  <c r="AD18" i="2"/>
  <c r="AC18" i="2"/>
  <c r="AB18" i="2"/>
  <c r="AA18" i="2"/>
  <c r="Z18" i="2"/>
  <c r="Y18" i="2"/>
  <c r="AK5" i="2"/>
  <c r="AJ5" i="2"/>
</calcChain>
</file>

<file path=xl/sharedStrings.xml><?xml version="1.0" encoding="utf-8"?>
<sst xmlns="http://schemas.openxmlformats.org/spreadsheetml/2006/main" count="201" uniqueCount="109">
  <si>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</si>
  <si>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</si>
  <si>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</si>
  <si>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</si>
  <si>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</si>
  <si>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</si>
  <si>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</si>
  <si>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</si>
  <si>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</si>
  <si>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</si>
  <si>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</si>
  <si>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</si>
  <si>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</si>
  <si>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</si>
  <si>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</si>
  <si>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</si>
  <si>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</si>
  <si>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</si>
  <si>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</si>
  <si>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</si>
  <si>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</si>
  <si>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</si>
  <si>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</si>
  <si>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</si>
  <si>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</si>
  <si>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</si>
  <si>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</si>
  <si>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</si>
  <si>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</si>
  <si>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</si>
  <si>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</si>
  <si>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</si>
  <si>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</si>
  <si>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</si>
  <si>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</si>
  <si>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</si>
  <si>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</si>
  <si>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</si>
  <si>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</si>
  <si>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</si>
  <si>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</si>
  <si>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</si>
  <si>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</si>
  <si>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</si>
  <si>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</si>
  <si>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</si>
  <si>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</si>
  <si>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</si>
  <si>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</si>
  <si>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</si>
  <si>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</si>
  <si>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</si>
  <si>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</si>
  <si>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</si>
  <si>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</si>
  <si>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</si>
  <si>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</si>
  <si>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</si>
  <si>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</si>
  <si>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</si>
  <si>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</si>
  <si>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</si>
  <si>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</si>
  <si>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</si>
  <si>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</si>
  <si>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</si>
  <si>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</si>
  <si>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</si>
  <si>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</si>
  <si>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</si>
  <si>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</si>
  <si>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</si>
  <si>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</si>
  <si>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</si>
  <si>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</si>
  <si>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</si>
  <si>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</si>
  <si>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</si>
  <si>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</si>
  <si>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</si>
  <si>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</si>
  <si>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</si>
  <si>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</si>
  <si>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</si>
  <si>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</si>
  <si>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</si>
  <si>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</si>
  <si>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</si>
  <si>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</si>
  <si>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</si>
  <si>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</si>
  <si>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</si>
  <si>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</si>
  <si>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</si>
  <si>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</si>
  <si>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</si>
  <si>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</si>
  <si>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</si>
  <si>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</si>
  <si>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</si>
  <si>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</si>
  <si>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</si>
  <si>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t>KT Monthly Factsheet (June 2019)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</si>
  <si>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2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</si>
  <si>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</si>
  <si>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</si>
  <si>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>※ Olleh TV Subscriber and Market share of IR factsheet is different from that of MSIT's subscriber disclosure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</si>
  <si>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WiBro: Terminated the service as of December 2018</t>
    </r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</si>
  <si>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Mobile ARPU : Application of IFRS 15 since 1Q18
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</si>
</sst>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_ ;[Red]\-#,##0\ "/>
    <numFmt numFmtId="185" formatCode="_-* #,##0_-;\-* #,##0_-;_-* &quot;-&quot;??_-;_-@_-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6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4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4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1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4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3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34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5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5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7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41" fontId="40" fillId="2" borderId="0" xfId="0" applyNumberFormat="1" applyFont="1" applyFill="1" applyBorder="1" applyAlignment="1">
      <alignment horizontal="right" vertical="center"/>
    </xf>
    <xf numFmtId="41" fontId="41" fillId="2" borderId="0" xfId="0" applyNumberFormat="1" applyFont="1" applyFill="1" applyBorder="1" applyAlignment="1">
      <alignment horizontal="right" vertical="center"/>
    </xf>
    <xf numFmtId="182" fontId="41" fillId="2" borderId="0" xfId="2" applyNumberFormat="1" applyFont="1" applyFill="1" applyBorder="1" applyAlignment="1">
      <alignment horizontal="right" vertical="center"/>
    </xf>
    <xf numFmtId="0" fontId="39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174</xdr:col>
      <xdr:colOff>30491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818304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45</xdr:col>
      <xdr:colOff>356509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33797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S39"/>
  <sheetViews>
    <sheetView showGridLines="0" tabSelected="1" view="pageBreakPreview" zoomScale="70" zoomScaleNormal="70" zoomScaleSheetLayoutView="70" workbookViewId="0">
      <pane xSplit="133" topLeftCell="ED1" activePane="topRight" state="frozen"/>
      <selection pane="topRight" activeCell="FB1" sqref="FB1"/>
    </sheetView>
  </sheetViews>
  <sheetFormatPr defaultColWidth="9" defaultRowHeight="30.75" customHeight="1" x14ac:dyDescent="0.3"/>
  <cols>
    <col min="1" max="1" width="35.875" style="94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5" width="10.875" style="6" customWidth="1"/>
    <col min="176" max="16384" width="9" style="6"/>
  </cols>
  <sheetData>
    <row r="1" spans="1:175" ht="44.25" customHeight="1" x14ac:dyDescent="0.3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5" ht="29.25" customHeight="1" x14ac:dyDescent="0.3">
      <c r="A2" s="6"/>
    </row>
    <row r="3" spans="1:175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</row>
    <row r="4" spans="1:175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107">
        <v>43466</v>
      </c>
      <c r="FO4" s="107">
        <v>43497</v>
      </c>
      <c r="FP4" s="107">
        <v>43525</v>
      </c>
      <c r="FQ4" s="107">
        <v>43556</v>
      </c>
      <c r="FR4" s="107">
        <v>43586</v>
      </c>
      <c r="FS4" s="107">
        <v>43617</v>
      </c>
    </row>
    <row r="5" spans="1:175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</row>
    <row r="6" spans="1:175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</row>
    <row r="7" spans="1:175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</row>
    <row r="8" spans="1:175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</row>
    <row r="9" spans="1:175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</row>
    <row r="10" spans="1:175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</row>
    <row r="11" spans="1:175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</row>
    <row r="12" spans="1:175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</row>
    <row r="13" spans="1:175" s="17" customFormat="1" ht="20.100000000000001" customHeight="1" x14ac:dyDescent="0.3">
      <c r="A13" s="169" t="s">
        <v>103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67"/>
      <c r="DM13" s="167"/>
      <c r="DN13" s="167"/>
      <c r="DO13" s="167"/>
      <c r="DP13" s="167"/>
      <c r="DQ13" s="167"/>
      <c r="DR13" s="167"/>
      <c r="DS13" s="167"/>
      <c r="DT13" s="167"/>
      <c r="DU13" s="167"/>
      <c r="DV13" s="167"/>
      <c r="DW13" s="167"/>
      <c r="DX13" s="167"/>
      <c r="DY13" s="167"/>
      <c r="DZ13" s="167"/>
      <c r="EA13" s="167"/>
      <c r="EB13" s="167"/>
      <c r="EC13" s="167"/>
      <c r="ED13" s="167"/>
      <c r="EE13" s="167"/>
      <c r="EF13" s="167"/>
      <c r="EG13" s="167"/>
      <c r="EH13" s="167"/>
      <c r="EI13" s="167"/>
      <c r="EJ13" s="167"/>
      <c r="EK13" s="167"/>
      <c r="EL13" s="167"/>
      <c r="EM13" s="167"/>
      <c r="EN13" s="167"/>
      <c r="EO13" s="167"/>
      <c r="EP13" s="167"/>
      <c r="EQ13" s="167"/>
      <c r="ER13" s="167"/>
      <c r="ES13" s="167"/>
      <c r="ET13" s="167"/>
      <c r="EU13" s="167"/>
      <c r="EV13" s="167"/>
      <c r="EW13" s="167"/>
      <c r="EX13" s="167"/>
      <c r="EY13" s="168"/>
      <c r="EZ13" s="167"/>
      <c r="FA13" s="168"/>
      <c r="FB13" s="168"/>
      <c r="FC13" s="168"/>
      <c r="FD13" s="168"/>
      <c r="FE13" s="168"/>
      <c r="FF13" s="168"/>
      <c r="FG13" s="168"/>
      <c r="FH13" s="168"/>
      <c r="FI13" s="168"/>
      <c r="FJ13" s="168"/>
      <c r="FK13" s="168"/>
      <c r="FL13" s="168"/>
      <c r="FM13" s="168"/>
    </row>
    <row r="14" spans="1:175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</row>
    <row r="15" spans="1:175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</row>
    <row r="16" spans="1:175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107">
        <v>43466</v>
      </c>
      <c r="FO16" s="107">
        <v>43497</v>
      </c>
      <c r="FP16" s="107">
        <v>43525</v>
      </c>
      <c r="FQ16" s="107">
        <v>43556</v>
      </c>
      <c r="FR16" s="107">
        <v>43586</v>
      </c>
      <c r="FS16" s="107">
        <v>43617</v>
      </c>
    </row>
    <row r="17" spans="1:175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</row>
    <row r="18" spans="1:175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</row>
    <row r="19" spans="1:175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</row>
    <row r="20" spans="1:175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</row>
    <row r="21" spans="1:175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</row>
    <row r="22" spans="1:175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</row>
    <row r="23" spans="1:175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  <c r="FQ23" s="60"/>
      <c r="FR23" s="60"/>
      <c r="FS23" s="60"/>
    </row>
    <row r="24" spans="1:175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>
        <v>0.4101024727309559</v>
      </c>
      <c r="FN24" s="66">
        <v>0.40999255084252739</v>
      </c>
      <c r="FO24" s="66">
        <v>0.40958179748302198</v>
      </c>
      <c r="FP24" s="66">
        <v>0.40937566194985442</v>
      </c>
      <c r="FQ24" s="66">
        <v>0.40946165833572484</v>
      </c>
      <c r="FR24" s="66">
        <v>0.4092277936354301</v>
      </c>
      <c r="FS24" s="66"/>
    </row>
    <row r="25" spans="1:175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>
        <v>0.25391816482098112</v>
      </c>
      <c r="FN25" s="68">
        <v>0.25418289015401785</v>
      </c>
      <c r="FO25" s="68">
        <v>0.25429901657244891</v>
      </c>
      <c r="FP25" s="68">
        <v>0.25441837542961476</v>
      </c>
      <c r="FQ25" s="68">
        <v>0.25443835864677938</v>
      </c>
      <c r="FR25" s="68">
        <v>0.25479945638677842</v>
      </c>
      <c r="FS25" s="68"/>
    </row>
    <row r="26" spans="1:175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>
        <v>0.18893177808477346</v>
      </c>
      <c r="FN26" s="68">
        <v>0.18961863398607656</v>
      </c>
      <c r="FO26" s="68">
        <v>0.19037033197941819</v>
      </c>
      <c r="FP26" s="68">
        <v>0.19098717047949781</v>
      </c>
      <c r="FQ26" s="68">
        <v>0.19144024141282906</v>
      </c>
      <c r="FR26" s="68">
        <v>0.1920033849715202</v>
      </c>
      <c r="FS26" s="68"/>
    </row>
    <row r="27" spans="1:175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>
        <v>0.14704758436328946</v>
      </c>
      <c r="FN27" s="74">
        <v>0.14620592501737817</v>
      </c>
      <c r="FO27" s="74">
        <v>0.14574885396511092</v>
      </c>
      <c r="FP27" s="74">
        <v>0.14521879214103298</v>
      </c>
      <c r="FQ27" s="74">
        <v>0.14465974160466674</v>
      </c>
      <c r="FR27" s="74">
        <v>0.14396936500627125</v>
      </c>
      <c r="FS27" s="74"/>
    </row>
    <row r="28" spans="1:175" s="39" customFormat="1" ht="20.100000000000001" customHeight="1" x14ac:dyDescent="0.3">
      <c r="A28" s="75" t="s">
        <v>105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80"/>
      <c r="CR28" s="80"/>
      <c r="CS28" s="76"/>
      <c r="CT28" s="76"/>
      <c r="CU28" s="76"/>
      <c r="CV28" s="76"/>
      <c r="CW28" s="76"/>
      <c r="CX28" s="76"/>
      <c r="CY28" s="76"/>
      <c r="CZ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>
        <v>0.16900745635148284</v>
      </c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75" s="39" customFormat="1" ht="24.75" customHeight="1" x14ac:dyDescent="0.3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75" s="39" customFormat="1" ht="24.75" customHeight="1" x14ac:dyDescent="0.3">
      <c r="A30" s="38"/>
      <c r="AL30" s="8">
        <v>2008</v>
      </c>
      <c r="AR30" s="9"/>
      <c r="AX30" s="8">
        <v>2009</v>
      </c>
      <c r="BD30" s="9"/>
      <c r="BG30" s="81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</row>
    <row r="31" spans="1:175" s="41" customFormat="1" ht="29.25" customHeight="1" x14ac:dyDescent="0.3">
      <c r="A31" s="13" t="s">
        <v>78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107">
        <v>43466</v>
      </c>
      <c r="FO31" s="107">
        <v>43497</v>
      </c>
      <c r="FP31" s="107">
        <v>43525</v>
      </c>
      <c r="FQ31" s="107">
        <v>43556</v>
      </c>
      <c r="FR31" s="107">
        <v>43586</v>
      </c>
      <c r="FS31" s="107">
        <v>43617</v>
      </c>
    </row>
    <row r="32" spans="1:175" s="43" customFormat="1" ht="29.25" customHeight="1" x14ac:dyDescent="0.3">
      <c r="A32" s="42" t="s">
        <v>79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</row>
    <row r="33" spans="1:175" s="43" customFormat="1" ht="29.25" customHeight="1" x14ac:dyDescent="0.3">
      <c r="A33" s="82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</row>
    <row r="34" spans="1:175" s="43" customFormat="1" ht="29.25" customHeight="1" x14ac:dyDescent="0.3">
      <c r="A34" s="83" t="s">
        <v>80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</row>
    <row r="35" spans="1:175" s="43" customFormat="1" ht="29.25" customHeight="1" x14ac:dyDescent="0.3">
      <c r="A35" s="85" t="s">
        <v>14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7">
        <v>0.48808037780740726</v>
      </c>
      <c r="BK35" s="87">
        <v>0.49602692104190965</v>
      </c>
      <c r="BL35" s="87">
        <v>0.50915866783154495</v>
      </c>
      <c r="BM35" s="87">
        <v>0.52561450772629248</v>
      </c>
      <c r="BN35" s="87">
        <v>0.53674856430340179</v>
      </c>
      <c r="BO35" s="87">
        <v>0.53939634737126829</v>
      </c>
      <c r="BP35" s="87">
        <v>0.54673785069221759</v>
      </c>
      <c r="BQ35" s="87">
        <v>0.55405041184713311</v>
      </c>
      <c r="BR35" s="87">
        <v>0.55839205851280571</v>
      </c>
      <c r="BS35" s="87">
        <v>0.56442779535550114</v>
      </c>
      <c r="BT35" s="87">
        <v>0.5698274884721497</v>
      </c>
      <c r="BU35" s="87">
        <v>0.57192255557390204</v>
      </c>
      <c r="BV35" s="87">
        <v>0.58164246646802986</v>
      </c>
      <c r="BW35" s="87">
        <v>0.59072905188084857</v>
      </c>
      <c r="BX35" s="87">
        <v>0.60084933578487243</v>
      </c>
      <c r="BY35" s="87">
        <v>0.60747395430162165</v>
      </c>
      <c r="BZ35" s="87">
        <v>0.60928790139904498</v>
      </c>
      <c r="CA35" s="87">
        <v>0.61242831346550519</v>
      </c>
      <c r="CB35" s="87">
        <v>0.61636458137756389</v>
      </c>
      <c r="CC35" s="87">
        <v>0.6191226322645893</v>
      </c>
      <c r="CD35" s="87">
        <v>0.62121361156613275</v>
      </c>
      <c r="CE35" s="87">
        <v>0.62332327950254351</v>
      </c>
      <c r="CF35" s="87">
        <v>0.62503888070335556</v>
      </c>
      <c r="CG35" s="87">
        <v>0.62529783550170726</v>
      </c>
      <c r="CH35" s="87">
        <v>0.62654177979725145</v>
      </c>
      <c r="CI35" s="87">
        <v>0.62816731703817841</v>
      </c>
      <c r="CJ35" s="87">
        <v>0.6285948751312268</v>
      </c>
      <c r="CK35" s="87">
        <v>0.62860430988387039</v>
      </c>
      <c r="CL35" s="87">
        <v>0.62742373640812998</v>
      </c>
      <c r="CM35" s="87">
        <v>0.6269937206754137</v>
      </c>
      <c r="CN35" s="87">
        <v>0.62592132583368887</v>
      </c>
      <c r="CO35" s="87">
        <v>0.62489746776945398</v>
      </c>
      <c r="CP35" s="87">
        <v>0.62322330864848385</v>
      </c>
      <c r="CQ35" s="87">
        <v>0.62175833629287502</v>
      </c>
      <c r="CR35" s="87">
        <v>0.61961141678884535</v>
      </c>
      <c r="CS35" s="88">
        <v>0.61718790318221173</v>
      </c>
      <c r="CT35" s="88">
        <v>0.61387785476613532</v>
      </c>
      <c r="CU35" s="88">
        <v>0.61116857575162842</v>
      </c>
      <c r="CV35" s="88">
        <v>0.60607645625483875</v>
      </c>
      <c r="CW35" s="88">
        <v>0.60213191554060475</v>
      </c>
      <c r="CX35" s="88">
        <v>0.59800186779552411</v>
      </c>
      <c r="CY35" s="88">
        <v>0.59487832776214822</v>
      </c>
      <c r="CZ35" s="88">
        <v>0.59162349371373524</v>
      </c>
      <c r="DA35" s="88">
        <v>0.58793406564187367</v>
      </c>
      <c r="DB35" s="88">
        <v>0.58512710755048014</v>
      </c>
      <c r="DC35" s="88">
        <v>0.58204752298273144</v>
      </c>
      <c r="DD35" s="88">
        <v>0.57898082359993019</v>
      </c>
      <c r="DE35" s="88">
        <v>0.57679329077881458</v>
      </c>
      <c r="DF35" s="88">
        <v>0.57296563097130015</v>
      </c>
      <c r="DG35" s="88">
        <v>0.57009734670887913</v>
      </c>
      <c r="DH35" s="88">
        <v>0.56697211263540381</v>
      </c>
      <c r="DI35" s="88">
        <v>0.56402176694949413</v>
      </c>
      <c r="DJ35" s="88">
        <v>0.56196856940665674</v>
      </c>
      <c r="DK35" s="88">
        <v>0.56033757345193547</v>
      </c>
      <c r="DL35" s="88">
        <v>0.5589035830634258</v>
      </c>
      <c r="DM35" s="88">
        <v>0.55744333785507605</v>
      </c>
      <c r="DN35" s="88">
        <v>0.55655664128784454</v>
      </c>
      <c r="DO35" s="88">
        <v>0.55557122881578846</v>
      </c>
      <c r="DP35" s="88">
        <v>0.55382815174075706</v>
      </c>
      <c r="DQ35" s="88">
        <v>0.550821633064283</v>
      </c>
      <c r="DR35" s="88">
        <v>0.53453231995031336</v>
      </c>
      <c r="DS35" s="88">
        <v>0.53256409246082337</v>
      </c>
      <c r="DT35" s="88">
        <v>0.52992701792580488</v>
      </c>
      <c r="DU35" s="88">
        <v>0.52773086931400137</v>
      </c>
      <c r="DV35" s="88">
        <v>0.52570845186344684</v>
      </c>
      <c r="DW35" s="88">
        <v>0.52419255497598949</v>
      </c>
      <c r="DX35" s="88">
        <v>0.5225493730387949</v>
      </c>
      <c r="DY35" s="88">
        <v>0.52142594430694755</v>
      </c>
      <c r="DZ35" s="88">
        <v>0.52037708892365309</v>
      </c>
      <c r="EA35" s="88">
        <v>0.51927414471509992</v>
      </c>
      <c r="EB35" s="88">
        <v>0.51805067509643299</v>
      </c>
      <c r="EC35" s="88">
        <v>0.51594288335037974</v>
      </c>
      <c r="ED35" s="88">
        <v>0.51416106304853204</v>
      </c>
      <c r="EE35" s="88">
        <v>0.51256438574685304</v>
      </c>
      <c r="EF35" s="88">
        <v>0.51078539365940823</v>
      </c>
      <c r="EG35" s="88">
        <v>0.50946634168148675</v>
      </c>
      <c r="EH35" s="88">
        <v>0.50831296543413917</v>
      </c>
      <c r="EI35" s="88">
        <v>0.50712373735493999</v>
      </c>
      <c r="EJ35" s="88">
        <v>0.50554258068328362</v>
      </c>
      <c r="EK35" s="88">
        <v>0.50464977712747106</v>
      </c>
      <c r="EL35" s="88">
        <v>0.50392686751603744</v>
      </c>
      <c r="EM35" s="88">
        <v>0.50304696936373039</v>
      </c>
      <c r="EN35" s="88">
        <v>0.50185226652800341</v>
      </c>
      <c r="EO35" s="88">
        <v>0.50044666830219997</v>
      </c>
      <c r="EP35" s="88">
        <v>0.49889096081935602</v>
      </c>
      <c r="EQ35" s="88">
        <v>0.49760496454267739</v>
      </c>
      <c r="ER35" s="88">
        <v>0.49632700079117792</v>
      </c>
      <c r="ES35" s="88">
        <v>0.49517027800000002</v>
      </c>
      <c r="ET35" s="88">
        <v>0.49438586798450218</v>
      </c>
      <c r="EU35" s="88">
        <v>0.49323836300000001</v>
      </c>
      <c r="EV35" s="88">
        <v>0.49164227799999999</v>
      </c>
      <c r="EW35" s="88">
        <v>0.49055109600000002</v>
      </c>
      <c r="EX35" s="88">
        <v>0.48942332199999999</v>
      </c>
      <c r="EY35" s="88">
        <v>0.48868111800000003</v>
      </c>
      <c r="EZ35" s="88">
        <v>0.48799999999999999</v>
      </c>
      <c r="FA35" s="88">
        <v>0.48599999999999999</v>
      </c>
      <c r="FB35" s="88">
        <v>0.48499999999999999</v>
      </c>
      <c r="FC35" s="88">
        <v>0.48399999999999999</v>
      </c>
      <c r="FD35" s="88">
        <v>0.48199999999999998</v>
      </c>
      <c r="FE35" s="88">
        <v>0.48099999999999998</v>
      </c>
      <c r="FF35" s="88">
        <v>0.48</v>
      </c>
      <c r="FG35" s="88">
        <v>0.47899999999999998</v>
      </c>
      <c r="FH35" s="88">
        <v>0.47799999999999998</v>
      </c>
      <c r="FI35" s="88">
        <v>0.47662957766702119</v>
      </c>
      <c r="FJ35" s="88">
        <v>0.47599999999999998</v>
      </c>
      <c r="FK35" s="88">
        <v>0.47499999999999998</v>
      </c>
      <c r="FL35" s="88">
        <v>0.47379713110092403</v>
      </c>
      <c r="FM35" s="88">
        <v>0.47298456255553717</v>
      </c>
      <c r="FN35" s="88">
        <v>0.47185869768413152</v>
      </c>
      <c r="FO35" s="88">
        <v>0.47075192439850694</v>
      </c>
      <c r="FP35" s="88">
        <v>0.46959223513883203</v>
      </c>
      <c r="FQ35" s="88">
        <v>0.46928725487185563</v>
      </c>
      <c r="FR35" s="88">
        <v>0.46881757156777054</v>
      </c>
      <c r="FS35" s="88"/>
    </row>
    <row r="36" spans="1:175" s="43" customFormat="1" ht="29.25" customHeight="1" x14ac:dyDescent="0.3">
      <c r="A36" s="83" t="s">
        <v>15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78">
        <v>0.36212213994515563</v>
      </c>
      <c r="BK36" s="78">
        <v>0.35656212403434612</v>
      </c>
      <c r="BL36" s="78">
        <v>0.34286039197817519</v>
      </c>
      <c r="BM36" s="78">
        <v>0.32518265358439313</v>
      </c>
      <c r="BN36" s="78">
        <v>0.31400565354256771</v>
      </c>
      <c r="BO36" s="78">
        <v>0.30687731760657511</v>
      </c>
      <c r="BP36" s="78">
        <v>0.29329109670778325</v>
      </c>
      <c r="BQ36" s="78">
        <v>0.28266273520271773</v>
      </c>
      <c r="BR36" s="78">
        <v>0.27613553894145537</v>
      </c>
      <c r="BS36" s="78">
        <v>0.26981016058742763</v>
      </c>
      <c r="BT36" s="78">
        <v>0.26392187648586973</v>
      </c>
      <c r="BU36" s="78">
        <v>0.25992452821908429</v>
      </c>
      <c r="BV36" s="78">
        <v>0.24934338892391525</v>
      </c>
      <c r="BW36" s="78">
        <v>0.23994619309094731</v>
      </c>
      <c r="BX36" s="78">
        <v>0.2289865208864503</v>
      </c>
      <c r="BY36" s="78">
        <v>0.22119711525409552</v>
      </c>
      <c r="BZ36" s="78">
        <v>0.21577249673454085</v>
      </c>
      <c r="CA36" s="78">
        <v>0.21286164469642288</v>
      </c>
      <c r="CB36" s="78">
        <v>0.20757861620819615</v>
      </c>
      <c r="CC36" s="78">
        <v>0.20420398275353496</v>
      </c>
      <c r="CD36" s="78">
        <v>0.20215944745144893</v>
      </c>
      <c r="CE36" s="78">
        <v>0.19987009918437398</v>
      </c>
      <c r="CF36" s="78">
        <v>0.19857549453123335</v>
      </c>
      <c r="CG36" s="78">
        <v>0.19948687531785719</v>
      </c>
      <c r="CH36" s="78">
        <v>0.1999896414548975</v>
      </c>
      <c r="CI36" s="78">
        <v>0.20057434093386389</v>
      </c>
      <c r="CJ36" s="78">
        <v>0.20220643014184436</v>
      </c>
      <c r="CK36" s="78">
        <v>0.20405848136342286</v>
      </c>
      <c r="CL36" s="78">
        <v>0.20630682939690781</v>
      </c>
      <c r="CM36" s="78">
        <v>0.2083492540668109</v>
      </c>
      <c r="CN36" s="78">
        <v>0.21090338213595666</v>
      </c>
      <c r="CO36" s="78">
        <v>0.21319837617893131</v>
      </c>
      <c r="CP36" s="78">
        <v>0.21527599528818669</v>
      </c>
      <c r="CQ36" s="78">
        <v>0.21707776002142135</v>
      </c>
      <c r="CR36" s="78">
        <v>0.21905542390339572</v>
      </c>
      <c r="CS36" s="89">
        <v>0.22133967404079674</v>
      </c>
      <c r="CT36" s="89">
        <v>0.22271471773093005</v>
      </c>
      <c r="CU36" s="89">
        <v>0.22307001499292128</v>
      </c>
      <c r="CV36" s="89">
        <v>0.22485233224531675</v>
      </c>
      <c r="CW36" s="89">
        <v>0.22639755771172143</v>
      </c>
      <c r="CX36" s="89">
        <v>0.22792122538293216</v>
      </c>
      <c r="CY36" s="89">
        <v>0.22953964772109384</v>
      </c>
      <c r="CZ36" s="89">
        <v>0.23166321814881591</v>
      </c>
      <c r="DA36" s="89">
        <v>0.2341336983269508</v>
      </c>
      <c r="DB36" s="89">
        <v>0.23624564133255027</v>
      </c>
      <c r="DC36" s="89">
        <v>0.23855837982011294</v>
      </c>
      <c r="DD36" s="89">
        <v>0.24086704004940221</v>
      </c>
      <c r="DE36" s="89">
        <v>0.24330783328368305</v>
      </c>
      <c r="DF36" s="89">
        <v>0.24568783390098997</v>
      </c>
      <c r="DG36" s="89">
        <v>0.2474726822228194</v>
      </c>
      <c r="DH36" s="89">
        <v>0.24926866301101674</v>
      </c>
      <c r="DI36" s="89">
        <v>0.25041028113388558</v>
      </c>
      <c r="DJ36" s="89">
        <v>0.25200682017882975</v>
      </c>
      <c r="DK36" s="89">
        <v>0.25333923698750732</v>
      </c>
      <c r="DL36" s="89">
        <v>0.25474975800367156</v>
      </c>
      <c r="DM36" s="89">
        <v>0.25653574943709634</v>
      </c>
      <c r="DN36" s="89">
        <v>0.25821446928683151</v>
      </c>
      <c r="DO36" s="89">
        <v>0.26010683888823927</v>
      </c>
      <c r="DP36" s="89">
        <v>0.2627983599041992</v>
      </c>
      <c r="DQ36" s="89">
        <v>0.26593622379983778</v>
      </c>
      <c r="DR36" s="89">
        <v>0.26224228796321464</v>
      </c>
      <c r="DS36" s="89">
        <v>0.26414633502030044</v>
      </c>
      <c r="DT36" s="89">
        <v>0.26566599332824026</v>
      </c>
      <c r="DU36" s="89">
        <v>0.26708804611843867</v>
      </c>
      <c r="DV36" s="89">
        <v>0.26857529745392145</v>
      </c>
      <c r="DW36" s="89">
        <v>0.26967603551480746</v>
      </c>
      <c r="DX36" s="89">
        <v>0.27067648202372635</v>
      </c>
      <c r="DY36" s="89">
        <v>0.27155883297362005</v>
      </c>
      <c r="DZ36" s="89">
        <v>0.27225668425895766</v>
      </c>
      <c r="EA36" s="89">
        <v>0.27292907072972883</v>
      </c>
      <c r="EB36" s="89">
        <v>0.27368540786816165</v>
      </c>
      <c r="EC36" s="89">
        <v>0.27475980900007907</v>
      </c>
      <c r="ED36" s="89">
        <v>0.27576999495964871</v>
      </c>
      <c r="EE36" s="89">
        <v>0.27652648708242172</v>
      </c>
      <c r="EF36" s="89">
        <v>0.27785371622634947</v>
      </c>
      <c r="EG36" s="89">
        <v>0.27878833494514643</v>
      </c>
      <c r="EH36" s="89">
        <v>0.27953490640057804</v>
      </c>
      <c r="EI36" s="89">
        <v>0.28031866667659167</v>
      </c>
      <c r="EJ36" s="89">
        <v>0.28130720614791327</v>
      </c>
      <c r="EK36" s="89">
        <v>0.28192816572316942</v>
      </c>
      <c r="EL36" s="89">
        <v>0.2821121879641818</v>
      </c>
      <c r="EM36" s="89">
        <v>0.28218748084557116</v>
      </c>
      <c r="EN36" s="89">
        <v>0.28213312974682436</v>
      </c>
      <c r="EO36" s="89">
        <v>0.28197334857809525</v>
      </c>
      <c r="EP36" s="89">
        <v>0.28200408493159573</v>
      </c>
      <c r="EQ36" s="89">
        <v>0.28213289701872041</v>
      </c>
      <c r="ER36" s="89">
        <v>0.2822803528313807</v>
      </c>
      <c r="ES36" s="89">
        <v>0.28246501499999999</v>
      </c>
      <c r="ET36" s="89">
        <v>0.28242877531820126</v>
      </c>
      <c r="EU36" s="89">
        <v>0.282519784</v>
      </c>
      <c r="EV36" s="89">
        <v>0.28312940399999997</v>
      </c>
      <c r="EW36" s="89">
        <v>0.28346758799999999</v>
      </c>
      <c r="EX36" s="89">
        <v>0.283656768</v>
      </c>
      <c r="EY36" s="89">
        <v>0.28374506399999999</v>
      </c>
      <c r="EZ36" s="89">
        <v>0.28399999999999997</v>
      </c>
      <c r="FA36" s="89">
        <v>0.28399999999999997</v>
      </c>
      <c r="FB36" s="89">
        <v>0.28399999999999997</v>
      </c>
      <c r="FC36" s="89">
        <v>0.28399999999999997</v>
      </c>
      <c r="FD36" s="89">
        <v>0.28399999999999997</v>
      </c>
      <c r="FE36" s="89">
        <v>0.28399999999999997</v>
      </c>
      <c r="FF36" s="89">
        <v>0.28399999999999997</v>
      </c>
      <c r="FG36" s="89">
        <v>0.28399999999999997</v>
      </c>
      <c r="FH36" s="89">
        <v>0.28499999999999998</v>
      </c>
      <c r="FI36" s="89">
        <v>0.28477635474394425</v>
      </c>
      <c r="FJ36" s="89">
        <v>0.28499999999999998</v>
      </c>
      <c r="FK36" s="89">
        <v>0.28482002235528114</v>
      </c>
      <c r="FL36" s="89">
        <v>0.28484842104549862</v>
      </c>
      <c r="FM36" s="89">
        <v>0.28490672771360154</v>
      </c>
      <c r="FN36" s="89">
        <v>0.28515828372483709</v>
      </c>
      <c r="FO36" s="89">
        <v>0.28542556925974211</v>
      </c>
      <c r="FP36" s="89">
        <v>0.28580573639759516</v>
      </c>
      <c r="FQ36" s="89">
        <v>0.2857550699906562</v>
      </c>
      <c r="FR36" s="89">
        <v>0.28662641637446384</v>
      </c>
      <c r="FS36" s="89"/>
    </row>
    <row r="37" spans="1:175" s="43" customFormat="1" ht="29.25" customHeight="1" x14ac:dyDescent="0.3">
      <c r="A37" s="90" t="s">
        <v>16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2">
        <v>0.14979748224743711</v>
      </c>
      <c r="BK37" s="92">
        <v>0.14741095492374426</v>
      </c>
      <c r="BL37" s="92">
        <v>0.14798094019027982</v>
      </c>
      <c r="BM37" s="92">
        <v>0.14920283868931444</v>
      </c>
      <c r="BN37" s="92">
        <v>0.14924578215403053</v>
      </c>
      <c r="BO37" s="92">
        <v>0.15372633502215657</v>
      </c>
      <c r="BP37" s="92">
        <v>0.15997105259999919</v>
      </c>
      <c r="BQ37" s="92">
        <v>0.16328685295014916</v>
      </c>
      <c r="BR37" s="92">
        <v>0.16547240254573886</v>
      </c>
      <c r="BS37" s="92">
        <v>0.16576204405707121</v>
      </c>
      <c r="BT37" s="92">
        <v>0.16625063504198059</v>
      </c>
      <c r="BU37" s="92">
        <v>0.16815291620701364</v>
      </c>
      <c r="BV37" s="92">
        <v>0.16901414460805492</v>
      </c>
      <c r="BW37" s="92">
        <v>0.16932475502820415</v>
      </c>
      <c r="BX37" s="92">
        <v>0.17016414332867727</v>
      </c>
      <c r="BY37" s="92">
        <v>0.17132893044428285</v>
      </c>
      <c r="BZ37" s="92">
        <v>0.17493960186641419</v>
      </c>
      <c r="CA37" s="92">
        <v>0.17471004183807196</v>
      </c>
      <c r="CB37" s="92">
        <v>0.17605680241423999</v>
      </c>
      <c r="CC37" s="92">
        <v>0.17667338498187579</v>
      </c>
      <c r="CD37" s="92">
        <v>0.17662694098241832</v>
      </c>
      <c r="CE37" s="92">
        <v>0.17680662131308253</v>
      </c>
      <c r="CF37" s="92">
        <v>0.17638562476541106</v>
      </c>
      <c r="CG37" s="92">
        <v>0.17521528918043558</v>
      </c>
      <c r="CH37" s="92">
        <v>0.1734685787478511</v>
      </c>
      <c r="CI37" s="92">
        <v>0.1712583420279577</v>
      </c>
      <c r="CJ37" s="92">
        <v>0.16919869472692883</v>
      </c>
      <c r="CK37" s="92">
        <v>0.16733720875270677</v>
      </c>
      <c r="CL37" s="92">
        <v>0.16626943419496221</v>
      </c>
      <c r="CM37" s="92">
        <v>0.1646570252577754</v>
      </c>
      <c r="CN37" s="92">
        <v>0.1631752920303545</v>
      </c>
      <c r="CO37" s="92">
        <v>0.16190415605161465</v>
      </c>
      <c r="CP37" s="92">
        <v>0.1615006960633294</v>
      </c>
      <c r="CQ37" s="92">
        <v>0.16116390368570357</v>
      </c>
      <c r="CR37" s="92">
        <v>0.16133315930775891</v>
      </c>
      <c r="CS37" s="93">
        <v>0.16147242277699159</v>
      </c>
      <c r="CT37" s="93">
        <v>0.1634074275029346</v>
      </c>
      <c r="CU37" s="93">
        <v>0.16576140925545027</v>
      </c>
      <c r="CV37" s="93">
        <v>0.16907121149984455</v>
      </c>
      <c r="CW37" s="93">
        <v>0.17147052674767382</v>
      </c>
      <c r="CX37" s="93">
        <v>0.17407690682154373</v>
      </c>
      <c r="CY37" s="93">
        <v>0.17558202451675795</v>
      </c>
      <c r="CZ37" s="93">
        <v>0.17671328813744883</v>
      </c>
      <c r="DA37" s="93">
        <v>0.17793223603117556</v>
      </c>
      <c r="DB37" s="93">
        <v>0.17862725111696964</v>
      </c>
      <c r="DC37" s="93">
        <v>0.17939409719715568</v>
      </c>
      <c r="DD37" s="93">
        <v>0.18015213635066757</v>
      </c>
      <c r="DE37" s="93">
        <v>0.17989887593750239</v>
      </c>
      <c r="DF37" s="93">
        <v>0.1813465351277099</v>
      </c>
      <c r="DG37" s="93">
        <v>0.1824299710683015</v>
      </c>
      <c r="DH37" s="93">
        <v>0.18375922435357944</v>
      </c>
      <c r="DI37" s="93">
        <v>0.18556795191662026</v>
      </c>
      <c r="DJ37" s="93">
        <v>0.18602461041451346</v>
      </c>
      <c r="DK37" s="93">
        <v>0.18632318956055718</v>
      </c>
      <c r="DL37" s="93">
        <v>0.18634665893290259</v>
      </c>
      <c r="DM37" s="93">
        <v>0.18602091270782761</v>
      </c>
      <c r="DN37" s="93">
        <v>0.18522888942532395</v>
      </c>
      <c r="DO37" s="93">
        <v>0.18432193229597235</v>
      </c>
      <c r="DP37" s="93">
        <v>0.18337348835504372</v>
      </c>
      <c r="DQ37" s="93">
        <v>0.18324214313587925</v>
      </c>
      <c r="DR37" s="93">
        <v>0.20322539208647197</v>
      </c>
      <c r="DS37" s="93">
        <v>0.20328957251887619</v>
      </c>
      <c r="DT37" s="93">
        <v>0.20440698874595489</v>
      </c>
      <c r="DU37" s="93">
        <v>0.20518108456755996</v>
      </c>
      <c r="DV37" s="93">
        <v>0.20571625068263175</v>
      </c>
      <c r="DW37" s="93">
        <v>0.20613140950920311</v>
      </c>
      <c r="DX37" s="93">
        <v>0.20677414493747873</v>
      </c>
      <c r="DY37" s="93">
        <v>0.20701522271943235</v>
      </c>
      <c r="DZ37" s="93">
        <v>0.20736622681738928</v>
      </c>
      <c r="EA37" s="93">
        <v>0.2077967845551712</v>
      </c>
      <c r="EB37" s="93">
        <v>0.20826391703540537</v>
      </c>
      <c r="EC37" s="93">
        <v>0.20929730764954116</v>
      </c>
      <c r="ED37" s="93">
        <v>0.21006894199181925</v>
      </c>
      <c r="EE37" s="93">
        <v>0.21090912717072527</v>
      </c>
      <c r="EF37" s="93">
        <v>0.21136089011424231</v>
      </c>
      <c r="EG37" s="93">
        <v>0.21174532337336679</v>
      </c>
      <c r="EH37" s="93">
        <v>0.21215212816528273</v>
      </c>
      <c r="EI37" s="93">
        <v>0.21255759596846829</v>
      </c>
      <c r="EJ37" s="93">
        <v>0.21315021316880314</v>
      </c>
      <c r="EK37" s="93">
        <v>0.21342205714935955</v>
      </c>
      <c r="EL37" s="93">
        <v>0.21396094451978076</v>
      </c>
      <c r="EM37" s="93">
        <v>0.21476554979069842</v>
      </c>
      <c r="EN37" s="93">
        <v>0.21601460372517223</v>
      </c>
      <c r="EO37" s="93">
        <v>0.21757998311970483</v>
      </c>
      <c r="EP37" s="93">
        <v>0.21910495424904824</v>
      </c>
      <c r="EQ37" s="93">
        <v>0.22026213843860221</v>
      </c>
      <c r="ER37" s="93">
        <v>0.22139264637744141</v>
      </c>
      <c r="ES37" s="93">
        <v>0.22236470699999999</v>
      </c>
      <c r="ET37" s="93">
        <v>0.22318535669729653</v>
      </c>
      <c r="EU37" s="93">
        <v>0.22424185199999999</v>
      </c>
      <c r="EV37" s="93">
        <v>0.22522831900000001</v>
      </c>
      <c r="EW37" s="93">
        <v>0.22598131599999999</v>
      </c>
      <c r="EX37" s="93">
        <v>0.226919909</v>
      </c>
      <c r="EY37" s="93">
        <v>0.22757381800000001</v>
      </c>
      <c r="EZ37" s="93">
        <v>0.22900000000000001</v>
      </c>
      <c r="FA37" s="93">
        <v>0.23</v>
      </c>
      <c r="FB37" s="93">
        <v>0.23100000000000001</v>
      </c>
      <c r="FC37" s="93">
        <v>0.23200000000000001</v>
      </c>
      <c r="FD37" s="93">
        <v>0.23400000000000001</v>
      </c>
      <c r="FE37" s="93">
        <v>0.23499999999999999</v>
      </c>
      <c r="FF37" s="93">
        <v>0.23599999999999999</v>
      </c>
      <c r="FG37" s="93">
        <v>0.23699999999999999</v>
      </c>
      <c r="FH37" s="93">
        <v>0.23799999999999999</v>
      </c>
      <c r="FI37" s="93">
        <v>0.23859406758903459</v>
      </c>
      <c r="FJ37" s="93">
        <v>0.23899999999999999</v>
      </c>
      <c r="FK37" s="93">
        <v>0.23997102385911004</v>
      </c>
      <c r="FL37" s="93">
        <v>0.24135444785357735</v>
      </c>
      <c r="FM37" s="93">
        <v>0.24210870973086132</v>
      </c>
      <c r="FN37" s="93">
        <v>0.24298301859103139</v>
      </c>
      <c r="FO37" s="93">
        <v>0.24382250634175093</v>
      </c>
      <c r="FP37" s="93">
        <v>0.24460202846357251</v>
      </c>
      <c r="FQ37" s="93">
        <v>0.24495767513748817</v>
      </c>
      <c r="FR37" s="93">
        <v>0.24455601205776561</v>
      </c>
      <c r="FS37" s="93"/>
    </row>
    <row r="38" spans="1:175" s="43" customFormat="1" ht="20.100000000000001" customHeight="1" x14ac:dyDescent="0.3">
      <c r="A38" s="163" t="s">
        <v>106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</row>
    <row r="39" spans="1:175" s="43" customFormat="1" ht="24.75" customHeight="1" x14ac:dyDescent="0.3">
      <c r="A39" s="163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X41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AL1" sqref="AL1"/>
    </sheetView>
  </sheetViews>
  <sheetFormatPr defaultColWidth="9" defaultRowHeight="18.75" customHeight="1" x14ac:dyDescent="0.3"/>
  <cols>
    <col min="1" max="1" width="41.375" style="162" customWidth="1"/>
    <col min="2" max="10" width="14.5" style="162" hidden="1" customWidth="1"/>
    <col min="11" max="13" width="14.625" style="162" hidden="1" customWidth="1"/>
    <col min="14" max="33" width="13.375" style="162" hidden="1" customWidth="1"/>
    <col min="34" max="34" width="13.5" style="162" hidden="1" customWidth="1"/>
    <col min="35" max="35" width="12.875" style="162" hidden="1" customWidth="1"/>
    <col min="36" max="36" width="13.5" style="162" hidden="1" customWidth="1"/>
    <col min="37" max="37" width="13.625" style="162" hidden="1" customWidth="1"/>
    <col min="38" max="38" width="14" style="162" customWidth="1"/>
    <col min="39" max="39" width="14.5" style="162" customWidth="1"/>
    <col min="40" max="40" width="13.875" style="162" customWidth="1"/>
    <col min="41" max="41" width="14.375" style="162" customWidth="1"/>
    <col min="42" max="42" width="14.875" style="162" customWidth="1"/>
    <col min="43" max="43" width="15.125" style="162" customWidth="1"/>
    <col min="44" max="44" width="14.875" style="162" customWidth="1"/>
    <col min="45" max="46" width="15.125" style="162" customWidth="1"/>
    <col min="47" max="47" width="12.5" style="162" bestFit="1" customWidth="1"/>
    <col min="48" max="16384" width="9" style="162"/>
  </cols>
  <sheetData>
    <row r="1" spans="1:50" s="164" customFormat="1" ht="46.5" customHeight="1" x14ac:dyDescent="0.3">
      <c r="A1" s="95" t="s">
        <v>19</v>
      </c>
      <c r="B1" s="96"/>
      <c r="C1" s="96"/>
      <c r="D1" s="96"/>
      <c r="E1" s="96"/>
      <c r="F1" s="96"/>
      <c r="G1" s="96"/>
      <c r="H1" s="96"/>
      <c r="I1" s="96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</row>
    <row r="2" spans="1:50" s="135" customFormat="1" ht="27.75" customHeight="1" x14ac:dyDescent="0.3">
      <c r="B2" s="165"/>
      <c r="C2" s="103"/>
      <c r="D2" s="103"/>
      <c r="E2" s="103"/>
      <c r="F2" s="103"/>
    </row>
    <row r="3" spans="1:50" s="135" customFormat="1" ht="31.5" customHeight="1" x14ac:dyDescent="0.3">
      <c r="A3" s="101" t="s">
        <v>20</v>
      </c>
      <c r="B3" s="102">
        <v>2008</v>
      </c>
      <c r="C3" s="103"/>
      <c r="D3" s="103"/>
      <c r="E3" s="103"/>
      <c r="F3" s="8">
        <v>2009</v>
      </c>
      <c r="G3" s="98"/>
      <c r="H3" s="98"/>
      <c r="I3" s="98"/>
      <c r="J3" s="8">
        <v>2010</v>
      </c>
      <c r="K3" s="98"/>
      <c r="L3" s="98"/>
      <c r="M3" s="98"/>
      <c r="N3" s="8">
        <v>2011</v>
      </c>
      <c r="O3" s="98"/>
      <c r="P3" s="98"/>
      <c r="Q3" s="98"/>
      <c r="R3" s="8">
        <v>2012</v>
      </c>
      <c r="S3" s="98"/>
      <c r="T3" s="98"/>
      <c r="U3" s="98"/>
      <c r="V3" s="8">
        <v>2013</v>
      </c>
      <c r="W3" s="98"/>
      <c r="X3" s="98"/>
      <c r="Y3" s="98"/>
      <c r="Z3" s="8">
        <v>2014</v>
      </c>
      <c r="AA3" s="98"/>
      <c r="AB3" s="98"/>
      <c r="AC3" s="98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</row>
    <row r="4" spans="1:50" s="158" customFormat="1" ht="31.5" customHeight="1" x14ac:dyDescent="0.3">
      <c r="A4" s="104" t="s">
        <v>29</v>
      </c>
      <c r="B4" s="105" t="s">
        <v>30</v>
      </c>
      <c r="C4" s="105" t="s">
        <v>31</v>
      </c>
      <c r="D4" s="105" t="s">
        <v>32</v>
      </c>
      <c r="E4" s="105" t="s">
        <v>33</v>
      </c>
      <c r="F4" s="106" t="s">
        <v>34</v>
      </c>
      <c r="G4" s="106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4" t="s">
        <v>44</v>
      </c>
      <c r="Q4" s="14" t="s">
        <v>45</v>
      </c>
      <c r="R4" s="15" t="s">
        <v>46</v>
      </c>
      <c r="S4" s="15" t="s">
        <v>47</v>
      </c>
      <c r="T4" s="15" t="s">
        <v>48</v>
      </c>
      <c r="U4" s="15" t="s">
        <v>49</v>
      </c>
      <c r="V4" s="15" t="s">
        <v>50</v>
      </c>
      <c r="W4" s="15" t="s">
        <v>51</v>
      </c>
      <c r="X4" s="15" t="s">
        <v>52</v>
      </c>
      <c r="Y4" s="15" t="s">
        <v>53</v>
      </c>
      <c r="Z4" s="15" t="s">
        <v>54</v>
      </c>
      <c r="AA4" s="15" t="s">
        <v>55</v>
      </c>
      <c r="AB4" s="15" t="s">
        <v>56</v>
      </c>
      <c r="AC4" s="15" t="s">
        <v>57</v>
      </c>
      <c r="AD4" s="15" t="s">
        <v>82</v>
      </c>
      <c r="AE4" s="15" t="s">
        <v>83</v>
      </c>
      <c r="AF4" s="15" t="s">
        <v>84</v>
      </c>
      <c r="AG4" s="15" t="s">
        <v>85</v>
      </c>
      <c r="AH4" s="15" t="s">
        <v>88</v>
      </c>
      <c r="AI4" s="15" t="s">
        <v>89</v>
      </c>
      <c r="AJ4" s="15" t="s">
        <v>90</v>
      </c>
      <c r="AK4" s="15" t="s">
        <v>91</v>
      </c>
      <c r="AL4" s="107" t="s">
        <v>87</v>
      </c>
      <c r="AM4" s="107" t="s">
        <v>93</v>
      </c>
      <c r="AN4" s="107" t="s">
        <v>94</v>
      </c>
      <c r="AO4" s="107" t="s">
        <v>95</v>
      </c>
      <c r="AP4" s="15" t="s">
        <v>96</v>
      </c>
      <c r="AQ4" s="15" t="s">
        <v>97</v>
      </c>
      <c r="AR4" s="15" t="s">
        <v>98</v>
      </c>
      <c r="AS4" s="15" t="s">
        <v>99</v>
      </c>
      <c r="AT4" s="107" t="s">
        <v>101</v>
      </c>
    </row>
    <row r="5" spans="1:50" s="159" customFormat="1" ht="31.5" customHeight="1" x14ac:dyDescent="0.3">
      <c r="A5" s="108" t="s">
        <v>58</v>
      </c>
      <c r="B5" s="109">
        <v>14085.444</v>
      </c>
      <c r="C5" s="109">
        <v>14367.165000000001</v>
      </c>
      <c r="D5" s="109">
        <v>14430.594000000001</v>
      </c>
      <c r="E5" s="109">
        <v>14525.655000000001</v>
      </c>
      <c r="F5" s="109">
        <v>14731.359999999999</v>
      </c>
      <c r="G5" s="109">
        <v>14931.277</v>
      </c>
      <c r="H5" s="109">
        <v>15159.258</v>
      </c>
      <c r="I5" s="109">
        <v>15303.172</v>
      </c>
      <c r="J5" s="109">
        <v>15679.282999999999</v>
      </c>
      <c r="K5" s="109">
        <v>15927.956</v>
      </c>
      <c r="L5" s="109">
        <v>16179.165999999999</v>
      </c>
      <c r="M5" s="109">
        <v>16417.474999999999</v>
      </c>
      <c r="N5" s="109">
        <v>16725.524000000001</v>
      </c>
      <c r="O5" s="109">
        <v>16776.420999999998</v>
      </c>
      <c r="P5" s="109">
        <v>17042.148999999998</v>
      </c>
      <c r="Q5" s="109">
        <v>17307.292000000001</v>
      </c>
      <c r="R5" s="109">
        <v>17434.752</v>
      </c>
      <c r="S5" s="109">
        <v>17389.462</v>
      </c>
      <c r="T5" s="109">
        <v>17416.396000000001</v>
      </c>
      <c r="U5" s="109">
        <v>17435.949000000001</v>
      </c>
      <c r="V5" s="109">
        <v>17370.972000000002</v>
      </c>
      <c r="W5" s="109">
        <v>17354.087</v>
      </c>
      <c r="X5" s="109">
        <v>17204.882000000001</v>
      </c>
      <c r="Y5" s="109">
        <v>17299.899000000001</v>
      </c>
      <c r="Z5" s="109">
        <v>17291.375</v>
      </c>
      <c r="AA5" s="110">
        <v>17561.798999999999</v>
      </c>
      <c r="AB5" s="110">
        <v>17952.121999999999</v>
      </c>
      <c r="AC5" s="110">
        <v>18052.745999999999</v>
      </c>
      <c r="AD5" s="110">
        <v>18178.167000000001</v>
      </c>
      <c r="AE5" s="110">
        <v>18368.379000000001</v>
      </c>
      <c r="AF5" s="110">
        <v>18514.206999999999</v>
      </c>
      <c r="AG5" s="110">
        <v>18721</v>
      </c>
      <c r="AH5" s="110">
        <v>18843.378000000001</v>
      </c>
      <c r="AI5" s="110">
        <v>18997.347000000002</v>
      </c>
      <c r="AJ5" s="110">
        <f>SUM(AJ7:AJ9)</f>
        <v>19236.344000000001</v>
      </c>
      <c r="AK5" s="110">
        <f>SUM(AK7:AK9)</f>
        <v>19397.464</v>
      </c>
      <c r="AL5" s="110">
        <v>19689.032999999999</v>
      </c>
      <c r="AM5" s="110">
        <v>19918</v>
      </c>
      <c r="AN5" s="110">
        <f>SUM(AN7:AN9)</f>
        <v>20140.112000000001</v>
      </c>
      <c r="AO5" s="110">
        <f>SUM(AO7:AO9)</f>
        <v>20319.896000000001</v>
      </c>
      <c r="AP5" s="110">
        <v>20623.074000000001</v>
      </c>
      <c r="AQ5" s="110">
        <v>20787.13</v>
      </c>
      <c r="AR5" s="110">
        <v>20960.143</v>
      </c>
      <c r="AS5" s="110">
        <v>21138.47</v>
      </c>
      <c r="AT5" s="110">
        <v>21333.414000000001</v>
      </c>
    </row>
    <row r="6" spans="1:50" s="159" customFormat="1" ht="31.5" hidden="1" customHeight="1" x14ac:dyDescent="0.3">
      <c r="A6" s="111" t="s">
        <v>59</v>
      </c>
      <c r="B6" s="112">
        <v>9100.3729999999996</v>
      </c>
      <c r="C6" s="112">
        <v>7849.2610000000004</v>
      </c>
      <c r="D6" s="112">
        <v>6850.723</v>
      </c>
      <c r="E6" s="112">
        <v>6099.152</v>
      </c>
      <c r="F6" s="112">
        <v>5315.1149999999998</v>
      </c>
      <c r="G6" s="112">
        <v>4295.0290000000005</v>
      </c>
      <c r="H6" s="112">
        <v>3492.0399999999991</v>
      </c>
      <c r="I6" s="112">
        <v>2908.503999999999</v>
      </c>
      <c r="J6" s="112">
        <v>2410.625</v>
      </c>
      <c r="K6" s="112">
        <v>2011.9159999999993</v>
      </c>
      <c r="L6" s="112">
        <v>1641.261</v>
      </c>
      <c r="M6" s="112">
        <v>1392.548</v>
      </c>
      <c r="N6" s="112">
        <v>1104.634</v>
      </c>
      <c r="O6" s="112">
        <v>532.71900000000005</v>
      </c>
      <c r="P6" s="112">
        <v>292.666</v>
      </c>
      <c r="Q6" s="112">
        <v>99.834999999999994</v>
      </c>
      <c r="R6" s="112">
        <v>23.209</v>
      </c>
      <c r="S6" s="112">
        <v>19.202999999999999</v>
      </c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</row>
    <row r="7" spans="1:50" s="159" customFormat="1" ht="31.5" customHeight="1" x14ac:dyDescent="0.3">
      <c r="A7" s="111" t="s">
        <v>60</v>
      </c>
      <c r="B7" s="112">
        <v>4839.7809999999999</v>
      </c>
      <c r="C7" s="112">
        <v>6316.0010000000002</v>
      </c>
      <c r="D7" s="112">
        <v>7407.8230000000003</v>
      </c>
      <c r="E7" s="112">
        <v>8266.0810000000001</v>
      </c>
      <c r="F7" s="112">
        <v>9232.23</v>
      </c>
      <c r="G7" s="112">
        <v>10417.794</v>
      </c>
      <c r="H7" s="112">
        <v>11412.093000000001</v>
      </c>
      <c r="I7" s="112">
        <v>12107.691000000001</v>
      </c>
      <c r="J7" s="112">
        <v>12957.347</v>
      </c>
      <c r="K7" s="112">
        <v>13582.119000000001</v>
      </c>
      <c r="L7" s="112">
        <v>14190.157999999999</v>
      </c>
      <c r="M7" s="112">
        <v>14647.978999999999</v>
      </c>
      <c r="N7" s="112">
        <v>15194.27</v>
      </c>
      <c r="O7" s="112">
        <v>15763.477000000001</v>
      </c>
      <c r="P7" s="112">
        <v>16098.525</v>
      </c>
      <c r="Q7" s="112">
        <v>16463.323</v>
      </c>
      <c r="R7" s="112">
        <v>16224.641</v>
      </c>
      <c r="S7" s="112">
        <v>15298.934999999999</v>
      </c>
      <c r="T7" s="112">
        <v>13991.964</v>
      </c>
      <c r="U7" s="112">
        <v>12601.165000000001</v>
      </c>
      <c r="V7" s="112">
        <v>11374.109</v>
      </c>
      <c r="W7" s="112">
        <v>10382.145999999999</v>
      </c>
      <c r="X7" s="112">
        <v>9500.6210000000028</v>
      </c>
      <c r="Y7" s="112">
        <v>8580.2489999999998</v>
      </c>
      <c r="Z7" s="112">
        <v>7838.576</v>
      </c>
      <c r="AA7" s="112">
        <v>7366.3069999999998</v>
      </c>
      <c r="AB7" s="112">
        <v>6937.2529999999997</v>
      </c>
      <c r="AC7" s="112">
        <v>6519.7790000000005</v>
      </c>
      <c r="AD7" s="112">
        <v>6073.0060000000003</v>
      </c>
      <c r="AE7" s="112">
        <v>5754.1660000000002</v>
      </c>
      <c r="AF7" s="112">
        <v>5465.8639999999996</v>
      </c>
      <c r="AG7" s="112">
        <v>5206</v>
      </c>
      <c r="AH7" s="112">
        <v>4971.1109999999999</v>
      </c>
      <c r="AI7" s="112">
        <v>4762.3620000000001</v>
      </c>
      <c r="AJ7" s="112">
        <v>4757.0200000000004</v>
      </c>
      <c r="AK7" s="112">
        <v>4630.2849999999999</v>
      </c>
      <c r="AL7" s="112">
        <v>4626.027</v>
      </c>
      <c r="AM7" s="112">
        <v>4652.0730000000003</v>
      </c>
      <c r="AN7" s="112">
        <v>4616.1170000000002</v>
      </c>
      <c r="AO7" s="112">
        <v>4553.6470000000008</v>
      </c>
      <c r="AP7" s="112">
        <v>4511.5660000000007</v>
      </c>
      <c r="AQ7" s="170">
        <v>4438.2840000000015</v>
      </c>
      <c r="AR7" s="170">
        <v>4308.1679999999978</v>
      </c>
      <c r="AS7" s="170">
        <v>4149.0349999999999</v>
      </c>
      <c r="AT7" s="112">
        <v>3940.6840000000002</v>
      </c>
    </row>
    <row r="8" spans="1:50" s="159" customFormat="1" ht="31.5" customHeight="1" x14ac:dyDescent="0.3">
      <c r="A8" s="111" t="s">
        <v>61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>
        <v>350.92099999999999</v>
      </c>
      <c r="S8" s="112">
        <v>1169.7819999999999</v>
      </c>
      <c r="T8" s="112">
        <v>2488.125</v>
      </c>
      <c r="U8" s="112">
        <v>3900.4740000000002</v>
      </c>
      <c r="V8" s="112">
        <v>5068.4139999999998</v>
      </c>
      <c r="W8" s="112">
        <v>6057.0420000000004</v>
      </c>
      <c r="X8" s="112">
        <v>6824.37</v>
      </c>
      <c r="Y8" s="112">
        <v>7874.0649999999996</v>
      </c>
      <c r="Z8" s="112">
        <v>8632.7160000000003</v>
      </c>
      <c r="AA8" s="112">
        <v>9405.6820000000007</v>
      </c>
      <c r="AB8" s="112">
        <v>10244.365</v>
      </c>
      <c r="AC8" s="112">
        <v>10780.305</v>
      </c>
      <c r="AD8" s="112">
        <v>11363.87</v>
      </c>
      <c r="AE8" s="112">
        <v>11882.784</v>
      </c>
      <c r="AF8" s="112">
        <v>12334.708000000001</v>
      </c>
      <c r="AG8" s="112">
        <v>12832</v>
      </c>
      <c r="AH8" s="112">
        <v>13208.611000000001</v>
      </c>
      <c r="AI8" s="112">
        <v>13615.369000000001</v>
      </c>
      <c r="AJ8" s="112">
        <v>13920.927</v>
      </c>
      <c r="AK8" s="112">
        <v>14261.509</v>
      </c>
      <c r="AL8" s="112">
        <v>14608.217000000001</v>
      </c>
      <c r="AM8" s="112">
        <v>14869.039000000001</v>
      </c>
      <c r="AN8" s="112">
        <v>15179.147999999999</v>
      </c>
      <c r="AO8" s="112">
        <v>15461.824000000001</v>
      </c>
      <c r="AP8" s="112">
        <v>15866.724</v>
      </c>
      <c r="AQ8" s="112">
        <v>16223.781999999999</v>
      </c>
      <c r="AR8" s="112">
        <v>16611.598000000002</v>
      </c>
      <c r="AS8" s="112">
        <v>16971.134999999998</v>
      </c>
      <c r="AT8" s="112">
        <v>17392.73</v>
      </c>
    </row>
    <row r="9" spans="1:50" s="159" customFormat="1" ht="31.5" customHeight="1" x14ac:dyDescent="0.3">
      <c r="A9" s="113" t="s">
        <v>62</v>
      </c>
      <c r="B9" s="114">
        <v>145.29</v>
      </c>
      <c r="C9" s="114">
        <v>201.90299999999999</v>
      </c>
      <c r="D9" s="114">
        <v>172.048</v>
      </c>
      <c r="E9" s="114">
        <v>160.422</v>
      </c>
      <c r="F9" s="114">
        <v>184.01499999999999</v>
      </c>
      <c r="G9" s="114">
        <v>218.45400000000001</v>
      </c>
      <c r="H9" s="114">
        <v>255.125</v>
      </c>
      <c r="I9" s="114">
        <v>286.97699999999998</v>
      </c>
      <c r="J9" s="114">
        <v>311.31099999999998</v>
      </c>
      <c r="K9" s="114">
        <v>333.92099999999999</v>
      </c>
      <c r="L9" s="114">
        <v>347.74700000000001</v>
      </c>
      <c r="M9" s="114">
        <v>376.94799999999998</v>
      </c>
      <c r="N9" s="114">
        <v>426.62</v>
      </c>
      <c r="O9" s="114">
        <v>480.22500000000002</v>
      </c>
      <c r="P9" s="114">
        <v>650.95799999999997</v>
      </c>
      <c r="Q9" s="114">
        <v>744.13400000000001</v>
      </c>
      <c r="R9" s="114">
        <v>835.98099999999999</v>
      </c>
      <c r="S9" s="114">
        <v>901.54200000000003</v>
      </c>
      <c r="T9" s="114">
        <v>936.30700000000002</v>
      </c>
      <c r="U9" s="114">
        <v>934.31</v>
      </c>
      <c r="V9" s="114">
        <v>928.44899999999996</v>
      </c>
      <c r="W9" s="114">
        <v>914.899</v>
      </c>
      <c r="X9" s="114">
        <v>879.89099999999996</v>
      </c>
      <c r="Y9" s="114">
        <v>845.58500000000004</v>
      </c>
      <c r="Z9" s="114">
        <v>820.08299999999997</v>
      </c>
      <c r="AA9" s="114">
        <v>789.81</v>
      </c>
      <c r="AB9" s="114">
        <v>770.50400000000002</v>
      </c>
      <c r="AC9" s="114">
        <v>752.66200000000003</v>
      </c>
      <c r="AD9" s="114">
        <v>741</v>
      </c>
      <c r="AE9" s="114">
        <v>731</v>
      </c>
      <c r="AF9" s="114">
        <v>713.63499999999999</v>
      </c>
      <c r="AG9" s="114">
        <v>683</v>
      </c>
      <c r="AH9" s="114">
        <v>663.60599999999999</v>
      </c>
      <c r="AI9" s="114">
        <v>619.61599999999999</v>
      </c>
      <c r="AJ9" s="114">
        <v>558.39700000000005</v>
      </c>
      <c r="AK9" s="114">
        <v>505.67</v>
      </c>
      <c r="AL9" s="114">
        <v>454.78899999999999</v>
      </c>
      <c r="AM9" s="114">
        <v>396.56200000000001</v>
      </c>
      <c r="AN9" s="114">
        <v>344.84699999999998</v>
      </c>
      <c r="AO9" s="114">
        <v>304.42500000000001</v>
      </c>
      <c r="AP9" s="114">
        <v>244.78399999999999</v>
      </c>
      <c r="AQ9" s="114">
        <v>125.06399999999999</v>
      </c>
      <c r="AR9" s="114">
        <v>40.377000000000002</v>
      </c>
      <c r="AS9" s="114">
        <v>18.3</v>
      </c>
      <c r="AT9" s="114">
        <v>0</v>
      </c>
    </row>
    <row r="10" spans="1:50" s="159" customFormat="1" ht="15" customHeight="1" x14ac:dyDescent="0.3">
      <c r="A10" s="174" t="s">
        <v>107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</row>
    <row r="11" spans="1:50" s="159" customFormat="1" ht="15" customHeight="1" x14ac:dyDescent="0.3">
      <c r="A11" s="172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</row>
    <row r="12" spans="1:50" s="159" customFormat="1" ht="31.5" customHeight="1" x14ac:dyDescent="0.3">
      <c r="A12" s="173"/>
      <c r="B12" s="102">
        <v>2008</v>
      </c>
      <c r="C12" s="103"/>
      <c r="D12" s="103"/>
      <c r="E12" s="103"/>
      <c r="F12" s="8">
        <v>2009</v>
      </c>
      <c r="G12" s="98"/>
      <c r="H12" s="98"/>
      <c r="I12" s="98"/>
      <c r="J12" s="8">
        <v>2010</v>
      </c>
      <c r="K12" s="98"/>
      <c r="L12" s="98"/>
      <c r="M12" s="98"/>
      <c r="N12" s="8">
        <v>2011</v>
      </c>
      <c r="O12" s="98"/>
      <c r="P12" s="98"/>
      <c r="Q12" s="98"/>
      <c r="R12" s="8">
        <v>2012</v>
      </c>
      <c r="S12" s="116"/>
      <c r="T12" s="116"/>
      <c r="U12" s="116"/>
      <c r="V12" s="8">
        <v>2013</v>
      </c>
      <c r="W12" s="116"/>
      <c r="X12" s="116"/>
      <c r="Y12" s="116"/>
      <c r="Z12" s="8">
        <v>2014</v>
      </c>
      <c r="AA12" s="116"/>
      <c r="AB12" s="116"/>
      <c r="AC12" s="116"/>
      <c r="AD12" s="8">
        <v>2015</v>
      </c>
      <c r="AE12" s="10"/>
      <c r="AF12" s="10"/>
      <c r="AG12" s="10"/>
      <c r="AH12" s="8">
        <v>2016</v>
      </c>
      <c r="AI12"/>
      <c r="AJ12"/>
      <c r="AK12"/>
      <c r="AL12" s="8">
        <v>2017</v>
      </c>
      <c r="AM12"/>
      <c r="AN12"/>
      <c r="AO12"/>
      <c r="AP12" s="8">
        <v>2018</v>
      </c>
      <c r="AQ12" s="135"/>
      <c r="AR12" s="135"/>
      <c r="AS12" s="135"/>
      <c r="AT12" s="8">
        <v>2019</v>
      </c>
    </row>
    <row r="13" spans="1:50" s="159" customFormat="1" ht="31.5" customHeight="1" x14ac:dyDescent="0.3">
      <c r="A13" s="104" t="s">
        <v>63</v>
      </c>
      <c r="B13" s="105" t="s">
        <v>30</v>
      </c>
      <c r="C13" s="105" t="s">
        <v>31</v>
      </c>
      <c r="D13" s="105" t="s">
        <v>32</v>
      </c>
      <c r="E13" s="105" t="s">
        <v>33</v>
      </c>
      <c r="F13" s="106" t="s">
        <v>34</v>
      </c>
      <c r="G13" s="106" t="s">
        <v>35</v>
      </c>
      <c r="H13" s="14" t="s">
        <v>36</v>
      </c>
      <c r="I13" s="14" t="s">
        <v>37</v>
      </c>
      <c r="J13" s="14" t="s">
        <v>38</v>
      </c>
      <c r="K13" s="14" t="s">
        <v>39</v>
      </c>
      <c r="L13" s="14" t="s">
        <v>40</v>
      </c>
      <c r="M13" s="14" t="s">
        <v>41</v>
      </c>
      <c r="N13" s="14" t="s">
        <v>42</v>
      </c>
      <c r="O13" s="14" t="s">
        <v>43</v>
      </c>
      <c r="P13" s="14" t="s">
        <v>44</v>
      </c>
      <c r="Q13" s="14" t="s">
        <v>45</v>
      </c>
      <c r="R13" s="15" t="s">
        <v>46</v>
      </c>
      <c r="S13" s="15" t="s">
        <v>47</v>
      </c>
      <c r="T13" s="15" t="s">
        <v>48</v>
      </c>
      <c r="U13" s="15" t="s">
        <v>49</v>
      </c>
      <c r="V13" s="15" t="s">
        <v>50</v>
      </c>
      <c r="W13" s="15" t="s">
        <v>51</v>
      </c>
      <c r="X13" s="15" t="s">
        <v>52</v>
      </c>
      <c r="Y13" s="15" t="s">
        <v>53</v>
      </c>
      <c r="Z13" s="15" t="s">
        <v>54</v>
      </c>
      <c r="AA13" s="15" t="s">
        <v>55</v>
      </c>
      <c r="AB13" s="15" t="s">
        <v>56</v>
      </c>
      <c r="AC13" s="15" t="s">
        <v>57</v>
      </c>
      <c r="AD13" s="15" t="s">
        <v>82</v>
      </c>
      <c r="AE13" s="15" t="s">
        <v>83</v>
      </c>
      <c r="AF13" s="15" t="s">
        <v>84</v>
      </c>
      <c r="AG13" s="15" t="s">
        <v>85</v>
      </c>
      <c r="AH13" s="15" t="s">
        <v>77</v>
      </c>
      <c r="AI13" s="15" t="s">
        <v>81</v>
      </c>
      <c r="AJ13" s="15" t="s">
        <v>92</v>
      </c>
      <c r="AK13" s="15" t="s">
        <v>86</v>
      </c>
      <c r="AL13" s="107" t="s">
        <v>87</v>
      </c>
      <c r="AM13" s="107" t="s">
        <v>93</v>
      </c>
      <c r="AN13" s="107" t="s">
        <v>94</v>
      </c>
      <c r="AO13" s="107" t="s">
        <v>95</v>
      </c>
      <c r="AP13" s="15" t="s">
        <v>96</v>
      </c>
      <c r="AQ13" s="15" t="s">
        <v>97</v>
      </c>
      <c r="AR13" s="15" t="s">
        <v>98</v>
      </c>
      <c r="AS13" s="15" t="s">
        <v>99</v>
      </c>
      <c r="AT13" s="107" t="s">
        <v>100</v>
      </c>
    </row>
    <row r="14" spans="1:50" s="159" customFormat="1" ht="31.5" customHeight="1" x14ac:dyDescent="0.3">
      <c r="A14" s="117" t="s">
        <v>64</v>
      </c>
      <c r="B14" s="118">
        <v>13940.154</v>
      </c>
      <c r="C14" s="118">
        <v>14165.262000000001</v>
      </c>
      <c r="D14" s="118">
        <v>14258.546</v>
      </c>
      <c r="E14" s="118">
        <v>14365.233</v>
      </c>
      <c r="F14" s="118">
        <v>14547.344999999999</v>
      </c>
      <c r="G14" s="118">
        <v>14712.823</v>
      </c>
      <c r="H14" s="118">
        <v>14904.133</v>
      </c>
      <c r="I14" s="118">
        <v>15016.195</v>
      </c>
      <c r="J14" s="118">
        <v>15367.972</v>
      </c>
      <c r="K14" s="118">
        <v>15594.035</v>
      </c>
      <c r="L14" s="118">
        <v>15831.419</v>
      </c>
      <c r="M14" s="118">
        <v>16040.527</v>
      </c>
      <c r="N14" s="118">
        <v>16298.904</v>
      </c>
      <c r="O14" s="118">
        <v>16296.196</v>
      </c>
      <c r="P14" s="118">
        <v>16391.190999999999</v>
      </c>
      <c r="Q14" s="118">
        <v>16563.157999999999</v>
      </c>
      <c r="R14" s="118">
        <v>16598.771000000001</v>
      </c>
      <c r="S14" s="118">
        <v>16487.919999999998</v>
      </c>
      <c r="T14" s="118">
        <v>16480.089</v>
      </c>
      <c r="U14" s="118">
        <v>16501.638999999999</v>
      </c>
      <c r="V14" s="118">
        <v>16442.523000000001</v>
      </c>
      <c r="W14" s="118">
        <v>16439.187999999998</v>
      </c>
      <c r="X14" s="118">
        <v>16324.991</v>
      </c>
      <c r="Y14" s="118">
        <v>16454.313999999998</v>
      </c>
      <c r="Z14" s="118">
        <v>16471.292000000001</v>
      </c>
      <c r="AA14" s="118">
        <v>16771.989000000001</v>
      </c>
      <c r="AB14" s="118">
        <v>17181.617999999999</v>
      </c>
      <c r="AC14" s="118">
        <v>17300.083999999999</v>
      </c>
      <c r="AD14" s="118">
        <v>17437</v>
      </c>
      <c r="AE14" s="118">
        <v>17636.95</v>
      </c>
      <c r="AF14" s="118">
        <v>17800.572</v>
      </c>
      <c r="AG14" s="118">
        <v>18038</v>
      </c>
      <c r="AH14" s="118">
        <v>18179.772000000001</v>
      </c>
      <c r="AI14" s="118">
        <v>18377.731</v>
      </c>
      <c r="AJ14" s="118">
        <v>18677.947</v>
      </c>
      <c r="AK14" s="118">
        <v>18891.794000000002</v>
      </c>
      <c r="AL14" s="118">
        <v>19234.243999999999</v>
      </c>
      <c r="AM14" s="118">
        <v>19521.112000000001</v>
      </c>
      <c r="AN14" s="118">
        <v>19795.264999999999</v>
      </c>
      <c r="AO14" s="118">
        <v>20015.471000000001</v>
      </c>
      <c r="AP14" s="118">
        <v>20378.29</v>
      </c>
      <c r="AQ14" s="118">
        <v>20662.065999999999</v>
      </c>
      <c r="AR14" s="118">
        <v>20919.766</v>
      </c>
      <c r="AS14" s="118">
        <v>21120.17</v>
      </c>
      <c r="AT14" s="118">
        <v>21333.414000000001</v>
      </c>
    </row>
    <row r="15" spans="1:50" s="135" customFormat="1" ht="31.5" customHeight="1" x14ac:dyDescent="0.3">
      <c r="A15" s="119" t="s">
        <v>21</v>
      </c>
      <c r="B15" s="120">
        <v>2343</v>
      </c>
      <c r="C15" s="120">
        <v>2350</v>
      </c>
      <c r="D15" s="120">
        <v>1788</v>
      </c>
      <c r="E15" s="120">
        <v>1463</v>
      </c>
      <c r="F15" s="120">
        <v>1623</v>
      </c>
      <c r="G15" s="120">
        <v>2174</v>
      </c>
      <c r="H15" s="120">
        <v>1816</v>
      </c>
      <c r="I15" s="120">
        <v>1551</v>
      </c>
      <c r="J15" s="120">
        <v>1855</v>
      </c>
      <c r="K15" s="120">
        <v>1752</v>
      </c>
      <c r="L15" s="120">
        <v>2037</v>
      </c>
      <c r="M15" s="120">
        <v>1636</v>
      </c>
      <c r="N15" s="120">
        <v>1684</v>
      </c>
      <c r="O15" s="120">
        <v>1861</v>
      </c>
      <c r="P15" s="120">
        <v>1621</v>
      </c>
      <c r="Q15" s="120">
        <v>1808</v>
      </c>
      <c r="R15" s="120">
        <v>1422.7650000000001</v>
      </c>
      <c r="S15" s="120">
        <v>1270.857</v>
      </c>
      <c r="T15" s="120">
        <v>1501.575</v>
      </c>
      <c r="U15" s="120">
        <v>1280.1020000000001</v>
      </c>
      <c r="V15" s="120">
        <v>1272.5709999999999</v>
      </c>
      <c r="W15" s="120">
        <v>1223.7760000000001</v>
      </c>
      <c r="X15" s="120">
        <v>1080.4349999999999</v>
      </c>
      <c r="Y15" s="120">
        <v>1403.588</v>
      </c>
      <c r="Z15" s="120">
        <v>1476.758</v>
      </c>
      <c r="AA15" s="120">
        <v>1459.374</v>
      </c>
      <c r="AB15" s="120">
        <v>1792.8130000000001</v>
      </c>
      <c r="AC15" s="120">
        <v>1254.809</v>
      </c>
      <c r="AD15" s="120">
        <v>1393</v>
      </c>
      <c r="AE15" s="120">
        <v>1179</v>
      </c>
      <c r="AF15" s="120">
        <v>1115</v>
      </c>
      <c r="AG15" s="120">
        <v>1215</v>
      </c>
      <c r="AH15" s="120">
        <v>1144.5730000000001</v>
      </c>
      <c r="AI15" s="120">
        <v>1133.586</v>
      </c>
      <c r="AJ15" s="120">
        <v>1241.316</v>
      </c>
      <c r="AK15" s="120">
        <v>1243.9079999999999</v>
      </c>
      <c r="AL15" s="120">
        <v>1243.0150000000001</v>
      </c>
      <c r="AM15" s="120">
        <v>1224.7</v>
      </c>
      <c r="AN15" s="120">
        <v>1270.134</v>
      </c>
      <c r="AO15" s="120">
        <v>1263.645</v>
      </c>
      <c r="AP15" s="120">
        <v>1210.749</v>
      </c>
      <c r="AQ15" s="120">
        <v>1159.758</v>
      </c>
      <c r="AR15" s="120">
        <v>1199.6420000000001</v>
      </c>
      <c r="AS15" s="120">
        <v>1178.807</v>
      </c>
      <c r="AT15" s="120">
        <v>1180.921</v>
      </c>
      <c r="AV15" s="171"/>
      <c r="AW15" s="171"/>
      <c r="AX15" s="171"/>
    </row>
    <row r="16" spans="1:50" s="135" customFormat="1" ht="31.5" customHeight="1" x14ac:dyDescent="0.3">
      <c r="A16" s="119" t="s">
        <v>22</v>
      </c>
      <c r="B16" s="120">
        <v>2124</v>
      </c>
      <c r="C16" s="120">
        <v>2125</v>
      </c>
      <c r="D16" s="120">
        <v>1695</v>
      </c>
      <c r="E16" s="120">
        <v>1356</v>
      </c>
      <c r="F16" s="120">
        <v>1440</v>
      </c>
      <c r="G16" s="120">
        <v>2008</v>
      </c>
      <c r="H16" s="120">
        <v>1625</v>
      </c>
      <c r="I16" s="120">
        <v>1439</v>
      </c>
      <c r="J16" s="120">
        <v>1503</v>
      </c>
      <c r="K16" s="120">
        <v>1526</v>
      </c>
      <c r="L16" s="120">
        <v>1800</v>
      </c>
      <c r="M16" s="120">
        <v>1427</v>
      </c>
      <c r="N16" s="120">
        <v>1426</v>
      </c>
      <c r="O16" s="120">
        <v>1864</v>
      </c>
      <c r="P16" s="120">
        <v>1526</v>
      </c>
      <c r="Q16" s="120">
        <v>1636</v>
      </c>
      <c r="R16" s="120">
        <v>1387.152</v>
      </c>
      <c r="S16" s="120">
        <v>1381.7080000000001</v>
      </c>
      <c r="T16" s="120">
        <v>1509.4059999999999</v>
      </c>
      <c r="U16" s="120">
        <v>1258.5519999999999</v>
      </c>
      <c r="V16" s="120">
        <v>1331.6869999999999</v>
      </c>
      <c r="W16" s="120">
        <v>1227.1110000000001</v>
      </c>
      <c r="X16" s="121">
        <v>1194.6320000000001</v>
      </c>
      <c r="Y16" s="121">
        <v>1274.2650000000001</v>
      </c>
      <c r="Z16" s="121">
        <v>1457.693</v>
      </c>
      <c r="AA16" s="121">
        <v>1158.704</v>
      </c>
      <c r="AB16" s="121">
        <v>1382.8969999999999</v>
      </c>
      <c r="AC16" s="121">
        <v>1111.249</v>
      </c>
      <c r="AD16" s="121">
        <v>1219</v>
      </c>
      <c r="AE16" s="121">
        <v>940</v>
      </c>
      <c r="AF16" s="121">
        <v>938</v>
      </c>
      <c r="AG16" s="121">
        <v>958</v>
      </c>
      <c r="AH16" s="121">
        <v>1003</v>
      </c>
      <c r="AI16" s="121">
        <v>936</v>
      </c>
      <c r="AJ16" s="121">
        <v>941.1</v>
      </c>
      <c r="AK16" s="121">
        <v>1030.0830000000001</v>
      </c>
      <c r="AL16" s="121">
        <v>901</v>
      </c>
      <c r="AM16" s="121">
        <v>938</v>
      </c>
      <c r="AN16" s="121">
        <v>996</v>
      </c>
      <c r="AO16" s="121">
        <v>1043</v>
      </c>
      <c r="AP16" s="121">
        <v>848</v>
      </c>
      <c r="AQ16" s="121">
        <v>875.98199999999997</v>
      </c>
      <c r="AR16" s="121">
        <v>941.94200000000001</v>
      </c>
      <c r="AS16" s="121">
        <v>978.40300000000002</v>
      </c>
      <c r="AT16" s="121">
        <v>967.67700000000002</v>
      </c>
      <c r="AU16" s="171"/>
    </row>
    <row r="17" spans="1:46" s="135" customFormat="1" ht="31.5" hidden="1" customHeight="1" x14ac:dyDescent="0.3">
      <c r="A17" s="119" t="s">
        <v>23</v>
      </c>
      <c r="B17" s="122">
        <v>291</v>
      </c>
      <c r="C17" s="122">
        <v>288</v>
      </c>
      <c r="D17" s="122">
        <v>352</v>
      </c>
      <c r="E17" s="122">
        <v>243</v>
      </c>
      <c r="F17" s="120">
        <v>214</v>
      </c>
      <c r="G17" s="120">
        <v>229</v>
      </c>
      <c r="H17" s="120">
        <v>306</v>
      </c>
      <c r="I17" s="120">
        <v>217</v>
      </c>
      <c r="J17" s="120">
        <v>195</v>
      </c>
      <c r="K17" s="120">
        <v>141</v>
      </c>
      <c r="L17" s="120">
        <v>136</v>
      </c>
      <c r="M17" s="120">
        <v>64</v>
      </c>
      <c r="N17" s="120">
        <v>69</v>
      </c>
      <c r="O17" s="120">
        <v>210</v>
      </c>
      <c r="P17" s="120">
        <v>105</v>
      </c>
      <c r="Q17" s="120">
        <v>117</v>
      </c>
      <c r="R17" s="120">
        <v>45.597000000000001</v>
      </c>
      <c r="S17" s="123">
        <v>1.6910000000000001</v>
      </c>
      <c r="T17" s="120">
        <v>0.94199999999999995</v>
      </c>
      <c r="U17" s="120">
        <v>0.65800000000000003</v>
      </c>
      <c r="V17" s="120"/>
      <c r="W17" s="123">
        <v>0</v>
      </c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</row>
    <row r="18" spans="1:46" s="135" customFormat="1" ht="31.5" customHeight="1" x14ac:dyDescent="0.3">
      <c r="A18" s="124" t="s">
        <v>24</v>
      </c>
      <c r="B18" s="125">
        <v>219</v>
      </c>
      <c r="C18" s="125">
        <v>225</v>
      </c>
      <c r="D18" s="125">
        <v>93</v>
      </c>
      <c r="E18" s="125">
        <v>107</v>
      </c>
      <c r="F18" s="125">
        <v>182</v>
      </c>
      <c r="G18" s="125">
        <v>165</v>
      </c>
      <c r="H18" s="125">
        <v>191</v>
      </c>
      <c r="I18" s="125">
        <v>112</v>
      </c>
      <c r="J18" s="125">
        <v>352</v>
      </c>
      <c r="K18" s="125">
        <v>226</v>
      </c>
      <c r="L18" s="125">
        <v>237</v>
      </c>
      <c r="M18" s="125">
        <v>209</v>
      </c>
      <c r="N18" s="125">
        <v>258</v>
      </c>
      <c r="O18" s="125">
        <v>-2.7080000000005384</v>
      </c>
      <c r="P18" s="125">
        <v>94.994999999998981</v>
      </c>
      <c r="Q18" s="125">
        <v>171.96700000000055</v>
      </c>
      <c r="R18" s="125">
        <v>35.613</v>
      </c>
      <c r="S18" s="125">
        <v>-110.851</v>
      </c>
      <c r="T18" s="125">
        <v>-7.830999999998312</v>
      </c>
      <c r="U18" s="125">
        <v>21.550000000000182</v>
      </c>
      <c r="V18" s="125">
        <v>-59.115999999998166</v>
      </c>
      <c r="W18" s="125">
        <v>-3.335</v>
      </c>
      <c r="X18" s="125">
        <v>-114.197</v>
      </c>
      <c r="Y18" s="125">
        <f t="shared" ref="Y18:AF18" si="0">Y14-X14</f>
        <v>129.3229999999985</v>
      </c>
      <c r="Z18" s="125">
        <f t="shared" si="0"/>
        <v>16.978000000002794</v>
      </c>
      <c r="AA18" s="125">
        <f t="shared" si="0"/>
        <v>300.69700000000012</v>
      </c>
      <c r="AB18" s="125">
        <f t="shared" si="0"/>
        <v>409.62899999999718</v>
      </c>
      <c r="AC18" s="125">
        <f t="shared" si="0"/>
        <v>118.46600000000035</v>
      </c>
      <c r="AD18" s="125">
        <f t="shared" si="0"/>
        <v>136.91600000000108</v>
      </c>
      <c r="AE18" s="125">
        <f t="shared" si="0"/>
        <v>199.95000000000073</v>
      </c>
      <c r="AF18" s="125">
        <f t="shared" si="0"/>
        <v>163.62199999999939</v>
      </c>
      <c r="AG18" s="125">
        <f>AG14-AF14</f>
        <v>237.42799999999988</v>
      </c>
      <c r="AH18" s="125">
        <f>AH14-AG14</f>
        <v>141.77200000000084</v>
      </c>
      <c r="AI18" s="125">
        <f>AI14-AH14</f>
        <v>197.95899999999892</v>
      </c>
      <c r="AJ18" s="125">
        <f>AJ14-AI14</f>
        <v>300.21600000000035</v>
      </c>
      <c r="AK18" s="125">
        <f>AK14-AJ14</f>
        <v>213.84700000000157</v>
      </c>
      <c r="AL18" s="125">
        <v>342.45</v>
      </c>
      <c r="AM18" s="125">
        <v>286.86799999999999</v>
      </c>
      <c r="AN18" s="125">
        <v>274.15300000000002</v>
      </c>
      <c r="AO18" s="125">
        <v>220.20599999999999</v>
      </c>
      <c r="AP18" s="125">
        <v>362.81900000000002</v>
      </c>
      <c r="AQ18" s="125">
        <v>283.77600000000001</v>
      </c>
      <c r="AR18" s="125">
        <v>257.7</v>
      </c>
      <c r="AS18" s="125">
        <v>200</v>
      </c>
      <c r="AT18" s="125">
        <v>213.244</v>
      </c>
    </row>
    <row r="19" spans="1:46" s="178" customFormat="1" ht="23.25" customHeight="1" x14ac:dyDescent="0.3">
      <c r="A19" s="179" t="s">
        <v>104</v>
      </c>
      <c r="B19" s="175"/>
      <c r="C19" s="176"/>
      <c r="D19" s="176"/>
      <c r="E19" s="176"/>
      <c r="F19" s="176"/>
      <c r="G19" s="177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</row>
    <row r="20" spans="1:46" s="159" customFormat="1" ht="8.25" customHeight="1" x14ac:dyDescent="0.3">
      <c r="A20" s="127"/>
      <c r="B20" s="128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</row>
    <row r="21" spans="1:46" s="158" customFormat="1" ht="22.5" customHeight="1" x14ac:dyDescent="0.3">
      <c r="A21" s="130" t="s">
        <v>65</v>
      </c>
      <c r="B21" s="126">
        <v>4.3999999999999997E-2</v>
      </c>
      <c r="C21" s="126">
        <v>4.3999999999999997E-2</v>
      </c>
      <c r="D21" s="126">
        <v>3.2000000000000001E-2</v>
      </c>
      <c r="E21" s="126">
        <v>2.5999999999999999E-2</v>
      </c>
      <c r="F21" s="126">
        <v>2.8000000000000001E-2</v>
      </c>
      <c r="G21" s="126">
        <v>4.1000000000000002E-2</v>
      </c>
      <c r="H21" s="126">
        <v>0.03</v>
      </c>
      <c r="I21" s="126">
        <v>2.7E-2</v>
      </c>
      <c r="J21" s="126">
        <v>2.9000000000000001E-2</v>
      </c>
      <c r="K21" s="126">
        <v>0.03</v>
      </c>
      <c r="L21" s="126">
        <v>3.5000000000000003E-2</v>
      </c>
      <c r="M21" s="126">
        <v>2.9000000000000001E-2</v>
      </c>
      <c r="N21" s="126">
        <v>2.8000000000000001E-2</v>
      </c>
      <c r="O21" s="126">
        <v>3.4000000000000002E-2</v>
      </c>
      <c r="P21" s="126">
        <v>2.9000000000000001E-2</v>
      </c>
      <c r="Q21" s="126">
        <v>3.1E-2</v>
      </c>
      <c r="R21" s="126">
        <v>2.6663248735867368E-2</v>
      </c>
      <c r="S21" s="126">
        <v>2.757876650063151E-2</v>
      </c>
      <c r="T21" s="126">
        <v>3.0521776851747524E-2</v>
      </c>
      <c r="U21" s="126">
        <v>2.5000000000000001E-2</v>
      </c>
      <c r="V21" s="126">
        <v>2.7E-2</v>
      </c>
      <c r="W21" s="126">
        <v>2.4896691476263128E-2</v>
      </c>
      <c r="X21" s="126">
        <v>2.4312015742839848E-2</v>
      </c>
      <c r="Y21" s="126">
        <v>2.6296503944819381E-2</v>
      </c>
      <c r="Z21" s="126">
        <v>2.9466095281787591E-2</v>
      </c>
      <c r="AA21" s="126">
        <v>2.3E-2</v>
      </c>
      <c r="AB21" s="126">
        <v>2.7E-2</v>
      </c>
      <c r="AC21" s="126">
        <v>2.1445092682905939E-2</v>
      </c>
      <c r="AD21" s="126">
        <v>2.3E-2</v>
      </c>
      <c r="AE21" s="126">
        <v>1.7999999999999999E-2</v>
      </c>
      <c r="AF21" s="126">
        <v>1.7999999999999999E-2</v>
      </c>
      <c r="AG21" s="126">
        <v>1.7999999999999999E-2</v>
      </c>
      <c r="AH21" s="126">
        <v>1.7999999999999999E-2</v>
      </c>
      <c r="AI21" s="126">
        <v>1.7000000000000001E-2</v>
      </c>
      <c r="AJ21" s="126">
        <v>1.7000000000000001E-2</v>
      </c>
      <c r="AK21" s="126">
        <v>1.7999999999999999E-2</v>
      </c>
      <c r="AL21" s="126">
        <v>1.6E-2</v>
      </c>
      <c r="AM21" s="126">
        <v>1.6E-2</v>
      </c>
      <c r="AN21" s="126">
        <v>1.7000000000000001E-2</v>
      </c>
      <c r="AO21" s="126">
        <v>1.7000000000000001E-2</v>
      </c>
      <c r="AP21" s="126">
        <v>1.4E-2</v>
      </c>
      <c r="AQ21" s="126">
        <v>1.4E-2</v>
      </c>
      <c r="AR21" s="126">
        <v>1.4999999999999999E-2</v>
      </c>
      <c r="AS21" s="126">
        <v>1.6E-2</v>
      </c>
      <c r="AT21" s="126">
        <v>1.4999999999999999E-2</v>
      </c>
    </row>
    <row r="22" spans="1:46" s="135" customFormat="1" ht="8.25" customHeight="1" x14ac:dyDescent="0.3">
      <c r="A22" s="131"/>
      <c r="B22" s="132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</row>
    <row r="23" spans="1:46" s="135" customFormat="1" ht="24" customHeight="1" x14ac:dyDescent="0.3">
      <c r="A23" s="134"/>
      <c r="B23" s="99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</row>
    <row r="24" spans="1:46" s="135" customFormat="1" ht="31.5" customHeight="1" x14ac:dyDescent="0.3">
      <c r="A24" s="101" t="s">
        <v>66</v>
      </c>
      <c r="C24" s="136"/>
      <c r="E24" s="136"/>
      <c r="F24" s="8">
        <v>2009</v>
      </c>
      <c r="G24" s="98"/>
      <c r="H24" s="98"/>
      <c r="I24" s="98"/>
      <c r="J24" s="8">
        <v>2010</v>
      </c>
      <c r="K24" s="98"/>
      <c r="L24" s="98"/>
      <c r="M24" s="98"/>
      <c r="N24" s="8">
        <v>2011</v>
      </c>
      <c r="O24" s="98"/>
      <c r="P24" s="98"/>
      <c r="Q24" s="98"/>
      <c r="R24" s="8">
        <v>2012</v>
      </c>
      <c r="S24" s="98"/>
      <c r="T24" s="98"/>
      <c r="U24" s="98"/>
      <c r="V24" s="8">
        <v>2013</v>
      </c>
      <c r="W24" s="98"/>
      <c r="X24" s="98"/>
      <c r="Y24" s="98"/>
      <c r="Z24" s="8">
        <v>2014</v>
      </c>
      <c r="AA24" s="98"/>
      <c r="AB24" s="98"/>
      <c r="AC24" s="98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  <c r="AT24" s="8">
        <v>2019</v>
      </c>
    </row>
    <row r="25" spans="1:46" s="158" customFormat="1" ht="31.5" customHeight="1" x14ac:dyDescent="0.3">
      <c r="A25" s="137" t="s">
        <v>67</v>
      </c>
      <c r="B25" s="105" t="s">
        <v>30</v>
      </c>
      <c r="C25" s="105" t="s">
        <v>31</v>
      </c>
      <c r="D25" s="105" t="s">
        <v>32</v>
      </c>
      <c r="E25" s="105" t="s">
        <v>33</v>
      </c>
      <c r="F25" s="106" t="s">
        <v>34</v>
      </c>
      <c r="G25" s="106" t="s">
        <v>35</v>
      </c>
      <c r="H25" s="14" t="s">
        <v>36</v>
      </c>
      <c r="I25" s="14" t="s">
        <v>37</v>
      </c>
      <c r="J25" s="14" t="s">
        <v>38</v>
      </c>
      <c r="K25" s="14" t="s">
        <v>39</v>
      </c>
      <c r="L25" s="14" t="s">
        <v>40</v>
      </c>
      <c r="M25" s="14" t="s">
        <v>41</v>
      </c>
      <c r="N25" s="14" t="s">
        <v>42</v>
      </c>
      <c r="O25" s="14" t="s">
        <v>43</v>
      </c>
      <c r="P25" s="14" t="s">
        <v>44</v>
      </c>
      <c r="Q25" s="14" t="s">
        <v>45</v>
      </c>
      <c r="R25" s="15" t="s">
        <v>46</v>
      </c>
      <c r="S25" s="15" t="s">
        <v>47</v>
      </c>
      <c r="T25" s="15" t="s">
        <v>48</v>
      </c>
      <c r="U25" s="15" t="s">
        <v>49</v>
      </c>
      <c r="V25" s="15" t="s">
        <v>50</v>
      </c>
      <c r="W25" s="15" t="s">
        <v>51</v>
      </c>
      <c r="X25" s="15" t="s">
        <v>52</v>
      </c>
      <c r="Y25" s="15" t="s">
        <v>53</v>
      </c>
      <c r="Z25" s="15" t="s">
        <v>54</v>
      </c>
      <c r="AA25" s="15" t="s">
        <v>55</v>
      </c>
      <c r="AB25" s="15" t="s">
        <v>56</v>
      </c>
      <c r="AC25" s="15" t="s">
        <v>57</v>
      </c>
      <c r="AD25" s="15" t="s">
        <v>82</v>
      </c>
      <c r="AE25" s="15" t="s">
        <v>83</v>
      </c>
      <c r="AF25" s="15" t="s">
        <v>84</v>
      </c>
      <c r="AG25" s="15" t="s">
        <v>85</v>
      </c>
      <c r="AH25" s="15" t="s">
        <v>77</v>
      </c>
      <c r="AI25" s="15" t="s">
        <v>81</v>
      </c>
      <c r="AJ25" s="15" t="s">
        <v>92</v>
      </c>
      <c r="AK25" s="15" t="s">
        <v>86</v>
      </c>
      <c r="AL25" s="107" t="s">
        <v>87</v>
      </c>
      <c r="AM25" s="107" t="s">
        <v>93</v>
      </c>
      <c r="AN25" s="107" t="s">
        <v>94</v>
      </c>
      <c r="AO25" s="107" t="s">
        <v>95</v>
      </c>
      <c r="AP25" s="15" t="s">
        <v>96</v>
      </c>
      <c r="AQ25" s="15" t="s">
        <v>97</v>
      </c>
      <c r="AR25" s="15" t="s">
        <v>98</v>
      </c>
      <c r="AS25" s="15" t="s">
        <v>99</v>
      </c>
      <c r="AT25" s="107" t="s">
        <v>100</v>
      </c>
    </row>
    <row r="26" spans="1:46" s="135" customFormat="1" ht="31.5" hidden="1" customHeight="1" x14ac:dyDescent="0.3">
      <c r="A26" s="138" t="s">
        <v>68</v>
      </c>
      <c r="B26" s="139">
        <v>24144</v>
      </c>
      <c r="C26" s="139">
        <v>24804</v>
      </c>
      <c r="D26" s="139">
        <v>24482</v>
      </c>
      <c r="E26" s="139">
        <v>24609</v>
      </c>
      <c r="F26" s="139">
        <v>23612</v>
      </c>
      <c r="G26" s="139">
        <v>23967</v>
      </c>
      <c r="H26" s="139">
        <v>23983</v>
      </c>
      <c r="I26" s="139">
        <v>24272</v>
      </c>
      <c r="J26" s="139">
        <v>23828</v>
      </c>
      <c r="K26" s="139">
        <v>24100</v>
      </c>
      <c r="L26" s="139">
        <v>23527</v>
      </c>
      <c r="M26" s="139">
        <v>22456</v>
      </c>
      <c r="N26" s="139">
        <v>20424</v>
      </c>
      <c r="O26" s="139">
        <v>19688.828355795322</v>
      </c>
      <c r="P26" s="139">
        <v>18155</v>
      </c>
      <c r="Q26" s="139">
        <v>16574</v>
      </c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</row>
    <row r="27" spans="1:46" s="135" customFormat="1" ht="31.5" hidden="1" customHeight="1" x14ac:dyDescent="0.3">
      <c r="A27" s="140" t="s">
        <v>25</v>
      </c>
      <c r="B27" s="141">
        <v>13122</v>
      </c>
      <c r="C27" s="141">
        <v>12955</v>
      </c>
      <c r="D27" s="141">
        <v>12852</v>
      </c>
      <c r="E27" s="141">
        <v>12753</v>
      </c>
      <c r="F27" s="141">
        <v>12600</v>
      </c>
      <c r="G27" s="141">
        <v>12551</v>
      </c>
      <c r="H27" s="141">
        <v>12573</v>
      </c>
      <c r="I27" s="141">
        <v>13066</v>
      </c>
      <c r="J27" s="141">
        <v>13398</v>
      </c>
      <c r="K27" s="141">
        <v>13717</v>
      </c>
      <c r="L27" s="141">
        <v>13881</v>
      </c>
      <c r="M27" s="141">
        <v>13480</v>
      </c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</row>
    <row r="28" spans="1:46" s="135" customFormat="1" ht="31.5" hidden="1" customHeight="1" x14ac:dyDescent="0.3">
      <c r="A28" s="140" t="s">
        <v>26</v>
      </c>
      <c r="B28" s="141">
        <v>9531</v>
      </c>
      <c r="C28" s="141">
        <v>10354</v>
      </c>
      <c r="D28" s="141">
        <v>10128</v>
      </c>
      <c r="E28" s="141">
        <v>10321</v>
      </c>
      <c r="F28" s="141">
        <v>9481</v>
      </c>
      <c r="G28" s="141">
        <v>10040</v>
      </c>
      <c r="H28" s="141">
        <v>9970</v>
      </c>
      <c r="I28" s="141">
        <v>9874</v>
      </c>
      <c r="J28" s="141">
        <v>9228</v>
      </c>
      <c r="K28" s="141">
        <v>8931</v>
      </c>
      <c r="L28" s="141">
        <v>8184</v>
      </c>
      <c r="M28" s="141">
        <v>7633</v>
      </c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</row>
    <row r="29" spans="1:46" s="160" customFormat="1" ht="31.5" hidden="1" customHeight="1" x14ac:dyDescent="0.3">
      <c r="A29" s="140" t="s">
        <v>69</v>
      </c>
      <c r="B29" s="141">
        <v>1491</v>
      </c>
      <c r="C29" s="141">
        <v>1495</v>
      </c>
      <c r="D29" s="141">
        <v>1501</v>
      </c>
      <c r="E29" s="141">
        <v>1535</v>
      </c>
      <c r="F29" s="141">
        <v>1531</v>
      </c>
      <c r="G29" s="141">
        <v>1375</v>
      </c>
      <c r="H29" s="141">
        <v>1440</v>
      </c>
      <c r="I29" s="141">
        <v>1332</v>
      </c>
      <c r="J29" s="141">
        <v>1202</v>
      </c>
      <c r="K29" s="141">
        <v>1452</v>
      </c>
      <c r="L29" s="141">
        <v>1462</v>
      </c>
      <c r="M29" s="141">
        <v>1343</v>
      </c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</row>
    <row r="30" spans="1:46" s="135" customFormat="1" ht="31.5" hidden="1" customHeight="1" x14ac:dyDescent="0.3">
      <c r="A30" s="142" t="s">
        <v>70</v>
      </c>
      <c r="B30" s="141">
        <v>1491</v>
      </c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</row>
    <row r="31" spans="1:46" s="135" customFormat="1" ht="31.5" hidden="1" customHeight="1" x14ac:dyDescent="0.3">
      <c r="A31" s="138" t="s">
        <v>71</v>
      </c>
      <c r="B31" s="139">
        <v>6103</v>
      </c>
      <c r="C31" s="139">
        <v>6356</v>
      </c>
      <c r="D31" s="139">
        <v>6454</v>
      </c>
      <c r="E31" s="139">
        <v>6384</v>
      </c>
      <c r="F31" s="139">
        <v>6431</v>
      </c>
      <c r="G31" s="139">
        <v>6650</v>
      </c>
      <c r="H31" s="139">
        <v>6915</v>
      </c>
      <c r="I31" s="139">
        <v>7218</v>
      </c>
      <c r="J31" s="139">
        <v>7399</v>
      </c>
      <c r="K31" s="139">
        <v>7785</v>
      </c>
      <c r="L31" s="139">
        <v>8031</v>
      </c>
      <c r="M31" s="139">
        <v>8824</v>
      </c>
      <c r="N31" s="139">
        <v>9823</v>
      </c>
      <c r="O31" s="139">
        <v>10489.424934442295</v>
      </c>
      <c r="P31" s="139">
        <v>11454</v>
      </c>
      <c r="Q31" s="139">
        <v>12252</v>
      </c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</row>
    <row r="32" spans="1:46" s="135" customFormat="1" ht="31.5" hidden="1" customHeight="1" x14ac:dyDescent="0.3">
      <c r="A32" s="140" t="s">
        <v>27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</row>
    <row r="33" spans="1:46" s="135" customFormat="1" ht="31.5" hidden="1" customHeight="1" x14ac:dyDescent="0.3">
      <c r="A33" s="142" t="s">
        <v>28</v>
      </c>
      <c r="B33" s="144">
        <v>0</v>
      </c>
      <c r="C33" s="144">
        <v>0</v>
      </c>
      <c r="D33" s="144">
        <v>0</v>
      </c>
      <c r="E33" s="144">
        <v>0</v>
      </c>
      <c r="F33" s="144">
        <v>0</v>
      </c>
      <c r="G33" s="144">
        <v>0</v>
      </c>
      <c r="H33" s="144">
        <v>0</v>
      </c>
      <c r="I33" s="144">
        <v>0</v>
      </c>
      <c r="J33" s="144">
        <v>0</v>
      </c>
      <c r="K33" s="144">
        <v>0</v>
      </c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</row>
    <row r="34" spans="1:46" s="135" customFormat="1" ht="8.25" hidden="1" customHeight="1" x14ac:dyDescent="0.3">
      <c r="A34" s="145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</row>
    <row r="35" spans="1:46" s="135" customFormat="1" ht="22.5" hidden="1" customHeight="1" x14ac:dyDescent="0.3">
      <c r="A35" s="147" t="s">
        <v>72</v>
      </c>
      <c r="B35" s="148">
        <v>4569</v>
      </c>
      <c r="C35" s="148">
        <v>4794</v>
      </c>
      <c r="D35" s="148">
        <v>4701</v>
      </c>
      <c r="E35" s="148">
        <v>5256</v>
      </c>
      <c r="F35" s="148">
        <v>4627</v>
      </c>
      <c r="G35" s="148">
        <v>4737</v>
      </c>
      <c r="H35" s="148">
        <v>5077</v>
      </c>
      <c r="I35" s="148">
        <v>4859</v>
      </c>
      <c r="J35" s="148">
        <v>4734</v>
      </c>
      <c r="K35" s="148">
        <v>4921</v>
      </c>
      <c r="L35" s="148">
        <v>4957</v>
      </c>
      <c r="M35" s="148">
        <v>3743</v>
      </c>
      <c r="N35" s="148">
        <v>4014</v>
      </c>
      <c r="O35" s="148">
        <v>4117.6622793302331</v>
      </c>
      <c r="P35" s="148">
        <v>3961</v>
      </c>
      <c r="Q35" s="148">
        <v>3943</v>
      </c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</row>
    <row r="36" spans="1:46" s="135" customFormat="1" ht="22.5" hidden="1" customHeight="1" x14ac:dyDescent="0.3">
      <c r="A36" s="149" t="s">
        <v>73</v>
      </c>
      <c r="B36" s="150">
        <v>1034</v>
      </c>
      <c r="C36" s="150">
        <v>976</v>
      </c>
      <c r="D36" s="150">
        <v>685</v>
      </c>
      <c r="E36" s="150">
        <v>592</v>
      </c>
      <c r="F36" s="150">
        <v>631</v>
      </c>
      <c r="G36" s="150">
        <v>792</v>
      </c>
      <c r="H36" s="150">
        <v>659</v>
      </c>
      <c r="I36" s="150">
        <v>536</v>
      </c>
      <c r="J36" s="150">
        <v>698</v>
      </c>
      <c r="K36" s="150">
        <v>695</v>
      </c>
      <c r="L36" s="150">
        <v>805.23578791533646</v>
      </c>
      <c r="M36" s="150">
        <v>649</v>
      </c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</row>
    <row r="37" spans="1:46" s="135" customFormat="1" ht="31.5" customHeight="1" x14ac:dyDescent="0.3">
      <c r="A37" s="115" t="s">
        <v>74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</row>
    <row r="38" spans="1:46" s="161" customFormat="1" ht="31.5" customHeight="1" x14ac:dyDescent="0.3">
      <c r="A38" s="152" t="s">
        <v>75</v>
      </c>
      <c r="B38" s="139">
        <v>30247</v>
      </c>
      <c r="C38" s="139">
        <v>31160</v>
      </c>
      <c r="D38" s="139">
        <v>30936</v>
      </c>
      <c r="E38" s="139">
        <v>30993</v>
      </c>
      <c r="F38" s="139">
        <v>30042</v>
      </c>
      <c r="G38" s="139">
        <v>30617</v>
      </c>
      <c r="H38" s="139">
        <v>30898</v>
      </c>
      <c r="I38" s="139">
        <v>31490</v>
      </c>
      <c r="J38" s="139">
        <v>31227</v>
      </c>
      <c r="K38" s="139">
        <v>31885</v>
      </c>
      <c r="L38" s="139">
        <v>31559</v>
      </c>
      <c r="M38" s="139">
        <v>31281</v>
      </c>
      <c r="N38" s="139">
        <v>30247</v>
      </c>
      <c r="O38" s="139">
        <v>30178.253290237615</v>
      </c>
      <c r="P38" s="139">
        <v>29609</v>
      </c>
      <c r="Q38" s="139">
        <v>28826</v>
      </c>
      <c r="R38" s="139">
        <v>28721.8538639615</v>
      </c>
      <c r="S38" s="139">
        <v>29447.168376640533</v>
      </c>
      <c r="T38" s="139">
        <v>29969.879530835675</v>
      </c>
      <c r="U38" s="139">
        <v>30697</v>
      </c>
      <c r="V38" s="139">
        <v>31116</v>
      </c>
      <c r="W38" s="139">
        <v>31615.485824636093</v>
      </c>
      <c r="X38" s="153">
        <v>31332.085656704545</v>
      </c>
      <c r="Y38" s="153">
        <v>32160.352715576944</v>
      </c>
      <c r="Z38" s="153">
        <v>33621.579504909037</v>
      </c>
      <c r="AA38" s="154">
        <v>34504.23493915375</v>
      </c>
      <c r="AB38" s="154">
        <v>35759.946634758468</v>
      </c>
      <c r="AC38" s="154">
        <v>36284.956880718593</v>
      </c>
      <c r="AD38" s="154">
        <v>34796</v>
      </c>
      <c r="AE38" s="154">
        <v>35357</v>
      </c>
      <c r="AF38" s="154">
        <v>35422</v>
      </c>
      <c r="AG38" s="154">
        <v>35656</v>
      </c>
      <c r="AH38" s="154">
        <v>34969</v>
      </c>
      <c r="AI38" s="154">
        <v>35291</v>
      </c>
      <c r="AJ38" s="154">
        <v>35394</v>
      </c>
      <c r="AK38" s="154">
        <v>35062</v>
      </c>
      <c r="AL38" s="154">
        <v>34537</v>
      </c>
      <c r="AM38" s="154">
        <v>34554</v>
      </c>
      <c r="AN38" s="154">
        <v>34608</v>
      </c>
      <c r="AO38" s="154">
        <v>34077</v>
      </c>
      <c r="AP38" s="154">
        <v>32283</v>
      </c>
      <c r="AQ38" s="154">
        <v>32320</v>
      </c>
      <c r="AR38" s="154">
        <v>32028</v>
      </c>
      <c r="AS38" s="154">
        <v>31450</v>
      </c>
      <c r="AT38" s="154">
        <v>31496</v>
      </c>
    </row>
    <row r="39" spans="1:46" s="161" customFormat="1" ht="31.5" hidden="1" customHeight="1" x14ac:dyDescent="0.3">
      <c r="A39" s="152" t="s">
        <v>76</v>
      </c>
      <c r="B39" s="139">
        <v>35849</v>
      </c>
      <c r="C39" s="139">
        <v>36930</v>
      </c>
      <c r="D39" s="139">
        <v>36322</v>
      </c>
      <c r="E39" s="139">
        <v>36841</v>
      </c>
      <c r="F39" s="139">
        <v>35300</v>
      </c>
      <c r="G39" s="139">
        <v>36145</v>
      </c>
      <c r="H39" s="139">
        <v>36634</v>
      </c>
      <c r="I39" s="139">
        <v>36885</v>
      </c>
      <c r="J39" s="139">
        <v>36659</v>
      </c>
      <c r="K39" s="139">
        <v>37501</v>
      </c>
      <c r="L39" s="139">
        <v>37320.235787915335</v>
      </c>
      <c r="M39" s="139">
        <v>35673</v>
      </c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</row>
    <row r="40" spans="1:46" s="135" customFormat="1" ht="9" customHeight="1" x14ac:dyDescent="0.3">
      <c r="A40" s="155"/>
      <c r="B40" s="156"/>
      <c r="C40" s="156"/>
      <c r="D40" s="156"/>
      <c r="E40" s="156"/>
      <c r="F40" s="156"/>
      <c r="G40" s="157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</row>
    <row r="41" spans="1:46" ht="18.75" customHeight="1" x14ac:dyDescent="0.3">
      <c r="A41" s="179" t="s">
        <v>108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2019-07-17T08:52:15Z</dcterms:modified>
</cp:coreProperties>
</file>