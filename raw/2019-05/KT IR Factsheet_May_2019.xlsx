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'Fixed(M)'!$A$1:$FR$41</definedName>
    <definedName name="_xlnm.Print_Area" localSheetId="1">'Wireless(Q)'!$A$1:$AT$44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8" i="2" l="1"/>
  <c r="AJ18" i="2"/>
  <c r="AI18" i="2"/>
  <c r="AH18" i="2"/>
  <c r="AG18" i="2"/>
  <c r="AF18" i="2"/>
  <c r="AE18" i="2"/>
  <c r="AD18" i="2"/>
  <c r="AC18" i="2"/>
  <c r="AB18" i="2"/>
  <c r="AA18" i="2"/>
  <c r="Z18" i="2"/>
  <c r="Y18" i="2"/>
  <c r="AK5" i="2"/>
  <c r="AJ5" i="2"/>
</calcChain>
</file>

<file path=xl/sharedStrings.xml><?xml version="1.0" encoding="utf-8"?>
<sst xmlns="http://schemas.openxmlformats.org/spreadsheetml/2006/main" count="212" uniqueCount="120">
  <si>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</si>
  <si>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</si>
  <si>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</si>
  <si>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</si>
  <si>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</si>
  <si>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</si>
  <si>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</si>
  <si>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</si>
  <si>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</si>
  <si>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</si>
  <si>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</si>
  <si>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</si>
  <si>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</si>
  <si>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</si>
  <si>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</si>
  <si>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</si>
  <si>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</si>
  <si>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</si>
  <si>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</si>
  <si>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</si>
  <si>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</si>
  <si>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</si>
  <si>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</si>
  <si>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</si>
  <si>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</si>
  <si>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</si>
  <si>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</si>
  <si>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</si>
  <si>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</si>
  <si>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</si>
  <si>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</si>
  <si>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</si>
  <si>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</si>
  <si>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</si>
  <si>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</si>
  <si>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</si>
  <si>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</si>
  <si>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</si>
  <si>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</si>
  <si>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</si>
  <si>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</si>
  <si>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</si>
  <si>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</si>
  <si>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</si>
  <si>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</si>
  <si>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</si>
  <si>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</si>
  <si>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</si>
  <si>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</si>
  <si>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</si>
  <si>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</si>
  <si>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</si>
  <si>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</si>
  <si>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</si>
  <si>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</si>
  <si>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</si>
  <si>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</si>
  <si>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</si>
  <si>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</si>
  <si>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</si>
  <si>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</si>
  <si>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</si>
  <si>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</si>
  <si>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</si>
  <si>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</si>
  <si>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</si>
  <si>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</si>
  <si>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</si>
  <si>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</si>
  <si>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</si>
  <si>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</si>
  <si>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</si>
  <si>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</si>
  <si>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</si>
  <si>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</si>
  <si>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</si>
  <si>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</si>
  <si>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</si>
  <si>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</si>
  <si>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</si>
  <si>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</si>
  <si>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</si>
  <si>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</si>
  <si>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</si>
  <si>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</si>
  <si>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</si>
  <si>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</si>
  <si>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</si>
  <si>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</si>
  <si>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</si>
  <si>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</si>
  <si>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</si>
  <si>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</si>
  <si>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</si>
  <si>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</si>
  <si>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</si>
  <si>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</si>
  <si>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</si>
  <si>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</si>
  <si>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</si>
  <si>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</si>
  <si>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</si>
  <si>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</si>
  <si>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</si>
  <si>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</si>
  <si>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</si>
  <si>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</si>
  <si>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</si>
  <si>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</si>
  <si>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</si>
  <si>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</si>
  <si>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</si>
  <si>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</si>
  <si>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</si>
  <si>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</si>
  <si>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</si>
  <si>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</si>
  <si>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t xml:space="preserve">Note 3) Since 1Q 18, applied IFRS 15 to compute ARPU figures
</t>
    <phoneticPr fontId="5" type="noConversion"/>
  </si>
  <si>
    <t>*WiBro: Terminated WiBro service as of December 2018</t>
    <phoneticPr fontId="5" type="noConversion"/>
  </si>
  <si>
    <t>KT Monthly Factsheet (May 2019)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</si>
</sst>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  <font>
      <b/>
      <sz val="1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40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173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984866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33797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R48"/>
  <sheetViews>
    <sheetView showGridLines="0" tabSelected="1" view="pageBreakPreview" zoomScale="80" zoomScaleNormal="30" zoomScaleSheetLayoutView="80" workbookViewId="0">
      <pane xSplit="133" topLeftCell="EX1" activePane="topRight" state="frozen"/>
      <selection pane="topRight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4" width="10.875" style="6" customWidth="1"/>
    <col min="175" max="16384" width="9" style="6"/>
  </cols>
  <sheetData>
    <row r="1" spans="1:174" ht="44.25" customHeight="1" x14ac:dyDescent="0.3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4" ht="29.25" customHeight="1" x14ac:dyDescent="0.3">
      <c r="A2" s="6"/>
    </row>
    <row r="3" spans="1:174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</row>
    <row r="4" spans="1:174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21">
        <v>43466</v>
      </c>
      <c r="FO4" s="121">
        <v>43497</v>
      </c>
      <c r="FP4" s="121">
        <v>43525</v>
      </c>
      <c r="FQ4" s="121">
        <v>43556</v>
      </c>
      <c r="FR4" s="121">
        <v>43586</v>
      </c>
    </row>
    <row r="5" spans="1:174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</row>
    <row r="6" spans="1:174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</row>
    <row r="7" spans="1:174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</row>
    <row r="8" spans="1:174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</row>
    <row r="9" spans="1:174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</row>
    <row r="10" spans="1:174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</row>
    <row r="11" spans="1:174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</row>
    <row r="12" spans="1:174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</row>
    <row r="13" spans="1:174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4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4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</row>
    <row r="16" spans="1:174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21">
        <v>43466</v>
      </c>
      <c r="FO16" s="121">
        <v>43497</v>
      </c>
      <c r="FP16" s="121">
        <v>43525</v>
      </c>
      <c r="FQ16" s="121">
        <v>43556</v>
      </c>
      <c r="FR16" s="121">
        <v>43586</v>
      </c>
    </row>
    <row r="17" spans="1:174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</row>
    <row r="18" spans="1:174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</row>
    <row r="19" spans="1:174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</row>
    <row r="20" spans="1:174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</row>
    <row r="21" spans="1:174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</row>
    <row r="22" spans="1:174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</row>
    <row r="23" spans="1:174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60"/>
    </row>
    <row r="24" spans="1:174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>
        <v>0.40958179748302198</v>
      </c>
      <c r="FP24" s="66">
        <v>0.40937566194985442</v>
      </c>
      <c r="FQ24" s="66">
        <v>0.40946165833572484</v>
      </c>
      <c r="FR24" s="66"/>
    </row>
    <row r="25" spans="1:174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>
        <v>0.25429901657244891</v>
      </c>
      <c r="FP25" s="68">
        <v>0.25441837542961476</v>
      </c>
      <c r="FQ25" s="68">
        <v>0.25443835864677938</v>
      </c>
      <c r="FR25" s="68"/>
    </row>
    <row r="26" spans="1:174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>
        <v>0.19037033197941819</v>
      </c>
      <c r="FP26" s="68">
        <v>0.19098717047949781</v>
      </c>
      <c r="FQ26" s="68">
        <v>0.19144024141282906</v>
      </c>
      <c r="FR26" s="68"/>
    </row>
    <row r="27" spans="1:174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>
        <v>0.14574885396511092</v>
      </c>
      <c r="FP27" s="74">
        <v>0.14521879214103298</v>
      </c>
      <c r="FQ27" s="74">
        <v>0.14465974160466674</v>
      </c>
      <c r="FR27" s="74"/>
    </row>
    <row r="28" spans="1:174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4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4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74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8">
        <v>2019</v>
      </c>
      <c r="FO31" s="10"/>
      <c r="FP31" s="10"/>
      <c r="FQ31" s="10"/>
      <c r="FR31" s="10"/>
    </row>
    <row r="32" spans="1:174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  <c r="FN32" s="121">
        <v>43466</v>
      </c>
      <c r="FO32" s="121">
        <v>43497</v>
      </c>
      <c r="FP32" s="121">
        <v>43525</v>
      </c>
      <c r="FQ32" s="121">
        <v>43556</v>
      </c>
      <c r="FR32" s="121">
        <v>43586</v>
      </c>
    </row>
    <row r="33" spans="1:174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  <c r="FN33" s="20">
        <v>7890390</v>
      </c>
      <c r="FO33" s="20">
        <v>7920033</v>
      </c>
      <c r="FP33" s="20">
        <v>7965733</v>
      </c>
      <c r="FQ33" s="20">
        <v>8023369</v>
      </c>
      <c r="FR33" s="20">
        <v>8065312</v>
      </c>
    </row>
    <row r="34" spans="1:174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  <c r="FN34" s="24">
        <v>39201</v>
      </c>
      <c r="FO34" s="24">
        <v>29643</v>
      </c>
      <c r="FP34" s="24">
        <v>45700</v>
      </c>
      <c r="FQ34" s="24">
        <v>57636</v>
      </c>
      <c r="FR34" s="24">
        <v>41943</v>
      </c>
    </row>
    <row r="35" spans="1:174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 spans="1:174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>
        <v>0.47298456255553717</v>
      </c>
      <c r="FN36" s="88">
        <v>0.47185869768413152</v>
      </c>
      <c r="FO36" s="88">
        <v>0.47075192439850694</v>
      </c>
      <c r="FP36" s="88">
        <v>0.46959223513883203</v>
      </c>
      <c r="FQ36" s="88">
        <v>0.46928725487185563</v>
      </c>
      <c r="FR36" s="88"/>
    </row>
    <row r="37" spans="1:174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>
        <v>0.28490672771360154</v>
      </c>
      <c r="FN37" s="89">
        <v>0.28515828372483709</v>
      </c>
      <c r="FO37" s="89">
        <v>0.28542556925974211</v>
      </c>
      <c r="FP37" s="89">
        <v>0.28580573639759516</v>
      </c>
      <c r="FQ37" s="89">
        <v>0.2857550699906562</v>
      </c>
      <c r="FR37" s="89"/>
    </row>
    <row r="38" spans="1:174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>
        <v>0.24210870973086132</v>
      </c>
      <c r="FN38" s="93">
        <v>0.24298301859103139</v>
      </c>
      <c r="FO38" s="93">
        <v>0.24382250634175093</v>
      </c>
      <c r="FP38" s="93">
        <v>0.24460202846357251</v>
      </c>
      <c r="FQ38" s="93">
        <v>0.24495767513748817</v>
      </c>
      <c r="FR38" s="93"/>
    </row>
    <row r="39" spans="1:174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 spans="1:174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 spans="1:174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 spans="1:174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  <c r="FN42" s="95">
        <v>43466</v>
      </c>
      <c r="FO42" s="95">
        <v>43497</v>
      </c>
      <c r="FP42" s="95">
        <v>43525</v>
      </c>
      <c r="FQ42" s="95">
        <v>43556</v>
      </c>
      <c r="FR42" s="95">
        <v>43586</v>
      </c>
    </row>
    <row r="43" spans="1:174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51031851.666666664</v>
      </c>
      <c r="EE43" s="99">
        <v>51048756.333333328</v>
      </c>
      <c r="EF43" s="99">
        <v>51065660.999999993</v>
      </c>
      <c r="EG43" s="99">
        <v>51082565.666666657</v>
      </c>
      <c r="EH43" s="99">
        <v>51099470.333333321</v>
      </c>
      <c r="EI43" s="99">
        <v>51116374.999999985</v>
      </c>
      <c r="EJ43" s="99">
        <v>51133279.666666649</v>
      </c>
      <c r="EK43" s="99">
        <v>51150184.333333313</v>
      </c>
      <c r="EL43" s="99">
        <v>51167088.999999978</v>
      </c>
      <c r="EM43" s="99">
        <v>51183993.666666642</v>
      </c>
      <c r="EN43" s="99">
        <v>51200898.333333306</v>
      </c>
      <c r="EO43" s="99">
        <v>51217802.99999997</v>
      </c>
      <c r="EP43" s="99">
        <v>51229811.99999997</v>
      </c>
      <c r="EQ43" s="99">
        <v>51241820.99999997</v>
      </c>
      <c r="ER43" s="99">
        <v>51253829.99999997</v>
      </c>
      <c r="ES43" s="99">
        <v>51265838.99999997</v>
      </c>
      <c r="ET43" s="99">
        <v>51277847.99999997</v>
      </c>
      <c r="EU43" s="99">
        <v>51289856.99999997</v>
      </c>
      <c r="EV43" s="99">
        <v>51301865.99999997</v>
      </c>
      <c r="EW43" s="99">
        <v>51313874.99999997</v>
      </c>
      <c r="EX43" s="99">
        <v>51325883.99999997</v>
      </c>
      <c r="EY43" s="99">
        <v>51337892.99999997</v>
      </c>
      <c r="EZ43" s="99">
        <v>51349901.99999997</v>
      </c>
      <c r="FA43" s="99">
        <v>51361910.99999997</v>
      </c>
      <c r="FB43" s="99">
        <v>51382304.49999997</v>
      </c>
      <c r="FC43" s="99">
        <v>51402697.99999997</v>
      </c>
      <c r="FD43" s="99">
        <v>51423091.49999997</v>
      </c>
      <c r="FE43" s="99">
        <v>51443484.99999997</v>
      </c>
      <c r="FF43" s="99">
        <v>51463878.49999997</v>
      </c>
      <c r="FG43" s="99">
        <v>51484271.99999997</v>
      </c>
      <c r="FH43" s="99">
        <v>51504665.49999997</v>
      </c>
      <c r="FI43" s="99">
        <v>51525058.99999997</v>
      </c>
      <c r="FJ43" s="99">
        <v>51545452.49999997</v>
      </c>
      <c r="FK43" s="99">
        <v>51565845.99999997</v>
      </c>
      <c r="FL43" s="99">
        <v>51586239.49999997</v>
      </c>
      <c r="FM43" s="99">
        <v>51606632.99999997</v>
      </c>
      <c r="FN43" s="99">
        <v>51615171.74999997</v>
      </c>
      <c r="FO43" s="99">
        <v>51623710.49999997</v>
      </c>
      <c r="FP43" s="99">
        <v>51632249.24999997</v>
      </c>
      <c r="FQ43" s="99">
        <v>51640787.99999997</v>
      </c>
      <c r="FR43" s="99">
        <v>51649326.75</v>
      </c>
    </row>
    <row r="44" spans="1:174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19035543</v>
      </c>
      <c r="EE44" s="104">
        <v>19058191</v>
      </c>
      <c r="EF44" s="104">
        <v>19080839</v>
      </c>
      <c r="EG44" s="104">
        <v>19103487</v>
      </c>
      <c r="EH44" s="104">
        <v>19126135</v>
      </c>
      <c r="EI44" s="104">
        <v>19148783</v>
      </c>
      <c r="EJ44" s="104">
        <v>19171431</v>
      </c>
      <c r="EK44" s="104">
        <v>19194079</v>
      </c>
      <c r="EL44" s="104">
        <v>19216727</v>
      </c>
      <c r="EM44" s="104">
        <v>19239375</v>
      </c>
      <c r="EN44" s="104">
        <v>19262023</v>
      </c>
      <c r="EO44" s="104">
        <v>19284671</v>
      </c>
      <c r="EP44" s="104">
        <v>19304580.666666668</v>
      </c>
      <c r="EQ44" s="104">
        <v>19324490.333333336</v>
      </c>
      <c r="ER44" s="104">
        <v>19344400.000000004</v>
      </c>
      <c r="ES44" s="104">
        <v>19364309.666666672</v>
      </c>
      <c r="ET44" s="104">
        <v>19384219.33333334</v>
      </c>
      <c r="EU44" s="104">
        <v>19404129.000000007</v>
      </c>
      <c r="EV44" s="104">
        <v>19424038.666666675</v>
      </c>
      <c r="EW44" s="104">
        <v>19443948.333333343</v>
      </c>
      <c r="EX44" s="104">
        <v>19463858.000000011</v>
      </c>
      <c r="EY44" s="104">
        <v>19483767.666666679</v>
      </c>
      <c r="EZ44" s="104">
        <v>19503677.333333347</v>
      </c>
      <c r="FA44" s="104">
        <v>19523587.000000015</v>
      </c>
      <c r="FB44" s="104">
        <v>19542605.333333347</v>
      </c>
      <c r="FC44" s="104">
        <v>19561623.666666679</v>
      </c>
      <c r="FD44" s="104">
        <v>19580642.000000011</v>
      </c>
      <c r="FE44" s="104">
        <v>19599660.333333343</v>
      </c>
      <c r="FF44" s="104">
        <v>19618678.666666675</v>
      </c>
      <c r="FG44" s="104">
        <v>19637697.000000007</v>
      </c>
      <c r="FH44" s="104">
        <v>19656715.33333334</v>
      </c>
      <c r="FI44" s="104">
        <v>19675733.666666672</v>
      </c>
      <c r="FJ44" s="104">
        <v>19694752</v>
      </c>
      <c r="FK44" s="104">
        <v>19713770.333333336</v>
      </c>
      <c r="FL44" s="104">
        <v>19732788.666666668</v>
      </c>
      <c r="FM44" s="104">
        <v>19751807</v>
      </c>
      <c r="FN44" s="104">
        <v>19770103</v>
      </c>
      <c r="FO44" s="104">
        <v>19788399</v>
      </c>
      <c r="FP44" s="104">
        <v>19806695</v>
      </c>
      <c r="FQ44" s="104">
        <v>19824991</v>
      </c>
      <c r="FR44" s="104">
        <v>19843287</v>
      </c>
    </row>
    <row r="45" spans="1:174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74" ht="18.75" customHeight="1" x14ac:dyDescent="0.3">
      <c r="A46" s="182" t="s">
        <v>89</v>
      </c>
    </row>
    <row r="47" spans="1:174" ht="18.75" customHeight="1" x14ac:dyDescent="0.3">
      <c r="A47" s="185" t="s">
        <v>23</v>
      </c>
    </row>
    <row r="48" spans="1:174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X44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4" width="13.5" style="181" hidden="1" customWidth="1"/>
    <col min="35" max="35" width="12.875" style="181" hidden="1" customWidth="1"/>
    <col min="36" max="36" width="13.5" style="181" hidden="1" customWidth="1"/>
    <col min="37" max="37" width="13.625" style="181" hidden="1" customWidth="1"/>
    <col min="38" max="38" width="14" style="181" customWidth="1"/>
    <col min="39" max="39" width="14.5" style="181" customWidth="1"/>
    <col min="40" max="40" width="13.875" style="181" customWidth="1"/>
    <col min="41" max="41" width="14.375" style="181" customWidth="1"/>
    <col min="42" max="42" width="14.875" style="181" customWidth="1"/>
    <col min="43" max="43" width="15.125" style="181" customWidth="1"/>
    <col min="44" max="44" width="14.875" style="181" customWidth="1"/>
    <col min="45" max="46" width="15.125" style="181" customWidth="1"/>
    <col min="47" max="47" width="12.5" style="181" bestFit="1" customWidth="1"/>
    <col min="48" max="16384" width="9" style="181"/>
  </cols>
  <sheetData>
    <row r="1" spans="1:50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50" s="151" customFormat="1" ht="27.75" customHeight="1" x14ac:dyDescent="0.3">
      <c r="B2" s="184"/>
      <c r="C2" s="117"/>
      <c r="D2" s="117"/>
      <c r="E2" s="117"/>
      <c r="F2" s="117"/>
    </row>
    <row r="3" spans="1:50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</row>
    <row r="4" spans="1:50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  <c r="AS4" s="15" t="s">
        <v>114</v>
      </c>
      <c r="AT4" s="121" t="s">
        <v>116</v>
      </c>
    </row>
    <row r="5" spans="1:50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v>20623.074000000001</v>
      </c>
      <c r="AQ5" s="124">
        <v>20787.13</v>
      </c>
      <c r="AR5" s="124">
        <v>20960.143</v>
      </c>
      <c r="AS5" s="124">
        <v>21138.47</v>
      </c>
      <c r="AT5" s="124">
        <v>21333.414000000001</v>
      </c>
    </row>
    <row r="6" spans="1:50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</row>
    <row r="7" spans="1:50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v>4438.2840000000015</v>
      </c>
      <c r="AR7" s="190">
        <v>4308.1679999999978</v>
      </c>
      <c r="AS7" s="190">
        <v>4149.0349999999999</v>
      </c>
      <c r="AT7" s="126">
        <v>3940.6840000000002</v>
      </c>
    </row>
    <row r="8" spans="1:50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  <c r="AS8" s="126">
        <v>16971.134999999998</v>
      </c>
      <c r="AT8" s="126">
        <v>17392.73</v>
      </c>
    </row>
    <row r="9" spans="1:50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  <c r="AS9" s="128">
        <v>18.3</v>
      </c>
      <c r="AT9" s="128">
        <v>0</v>
      </c>
    </row>
    <row r="10" spans="1:50" s="177" customFormat="1" ht="15" customHeight="1" x14ac:dyDescent="0.3">
      <c r="A10" s="174" t="s">
        <v>118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</row>
    <row r="11" spans="1:50" s="177" customFormat="1" ht="15" customHeight="1" x14ac:dyDescent="0.3">
      <c r="A11" s="192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</row>
    <row r="12" spans="1:50" s="177" customFormat="1" ht="31.5" customHeight="1" x14ac:dyDescent="0.3">
      <c r="A12" s="193"/>
      <c r="B12" s="116">
        <v>2008</v>
      </c>
      <c r="C12" s="117"/>
      <c r="D12" s="117"/>
      <c r="E12" s="117"/>
      <c r="F12" s="8">
        <v>2009</v>
      </c>
      <c r="G12" s="112"/>
      <c r="H12" s="112"/>
      <c r="I12" s="112"/>
      <c r="J12" s="8">
        <v>2010</v>
      </c>
      <c r="K12" s="112"/>
      <c r="L12" s="112"/>
      <c r="M12" s="112"/>
      <c r="N12" s="8">
        <v>2011</v>
      </c>
      <c r="O12" s="112"/>
      <c r="P12" s="112"/>
      <c r="Q12" s="112"/>
      <c r="R12" s="8">
        <v>2012</v>
      </c>
      <c r="S12" s="130"/>
      <c r="T12" s="130"/>
      <c r="U12" s="130"/>
      <c r="V12" s="8">
        <v>2013</v>
      </c>
      <c r="W12" s="130"/>
      <c r="X12" s="130"/>
      <c r="Y12" s="130"/>
      <c r="Z12" s="8">
        <v>2014</v>
      </c>
      <c r="AA12" s="130"/>
      <c r="AB12" s="130"/>
      <c r="AC12" s="130"/>
      <c r="AD12" s="8">
        <v>2015</v>
      </c>
      <c r="AE12" s="10"/>
      <c r="AF12" s="10"/>
      <c r="AG12" s="10"/>
      <c r="AH12" s="8">
        <v>2016</v>
      </c>
      <c r="AI12"/>
      <c r="AJ12"/>
      <c r="AK12"/>
      <c r="AL12" s="8">
        <v>2017</v>
      </c>
      <c r="AM12"/>
      <c r="AN12"/>
      <c r="AO12"/>
      <c r="AP12" s="8">
        <v>2018</v>
      </c>
      <c r="AQ12" s="151"/>
      <c r="AR12" s="151"/>
      <c r="AS12" s="151"/>
      <c r="AT12" s="8">
        <v>2019</v>
      </c>
    </row>
    <row r="13" spans="1:50" s="177" customFormat="1" ht="31.5" customHeight="1" x14ac:dyDescent="0.3">
      <c r="A13" s="118" t="s">
        <v>70</v>
      </c>
      <c r="B13" s="119" t="s">
        <v>37</v>
      </c>
      <c r="C13" s="119" t="s">
        <v>38</v>
      </c>
      <c r="D13" s="119" t="s">
        <v>39</v>
      </c>
      <c r="E13" s="119" t="s">
        <v>40</v>
      </c>
      <c r="F13" s="120" t="s">
        <v>41</v>
      </c>
      <c r="G13" s="120" t="s">
        <v>42</v>
      </c>
      <c r="H13" s="14" t="s">
        <v>43</v>
      </c>
      <c r="I13" s="14" t="s">
        <v>44</v>
      </c>
      <c r="J13" s="14" t="s">
        <v>45</v>
      </c>
      <c r="K13" s="14" t="s">
        <v>46</v>
      </c>
      <c r="L13" s="14" t="s">
        <v>47</v>
      </c>
      <c r="M13" s="14" t="s">
        <v>48</v>
      </c>
      <c r="N13" s="14" t="s">
        <v>49</v>
      </c>
      <c r="O13" s="14" t="s">
        <v>50</v>
      </c>
      <c r="P13" s="14" t="s">
        <v>51</v>
      </c>
      <c r="Q13" s="14" t="s">
        <v>52</v>
      </c>
      <c r="R13" s="15" t="s">
        <v>53</v>
      </c>
      <c r="S13" s="15" t="s">
        <v>54</v>
      </c>
      <c r="T13" s="15" t="s">
        <v>55</v>
      </c>
      <c r="U13" s="15" t="s">
        <v>56</v>
      </c>
      <c r="V13" s="15" t="s">
        <v>57</v>
      </c>
      <c r="W13" s="15" t="s">
        <v>58</v>
      </c>
      <c r="X13" s="15" t="s">
        <v>59</v>
      </c>
      <c r="Y13" s="15" t="s">
        <v>60</v>
      </c>
      <c r="Z13" s="15" t="s">
        <v>61</v>
      </c>
      <c r="AA13" s="15" t="s">
        <v>62</v>
      </c>
      <c r="AB13" s="15" t="s">
        <v>63</v>
      </c>
      <c r="AC13" s="15" t="s">
        <v>64</v>
      </c>
      <c r="AD13" s="15" t="s">
        <v>90</v>
      </c>
      <c r="AE13" s="15" t="s">
        <v>91</v>
      </c>
      <c r="AF13" s="15" t="s">
        <v>92</v>
      </c>
      <c r="AG13" s="15" t="s">
        <v>93</v>
      </c>
      <c r="AH13" s="15" t="s">
        <v>84</v>
      </c>
      <c r="AI13" s="15" t="s">
        <v>88</v>
      </c>
      <c r="AJ13" s="15" t="s">
        <v>101</v>
      </c>
      <c r="AK13" s="15" t="s">
        <v>95</v>
      </c>
      <c r="AL13" s="121" t="s">
        <v>96</v>
      </c>
      <c r="AM13" s="121" t="s">
        <v>102</v>
      </c>
      <c r="AN13" s="121" t="s">
        <v>103</v>
      </c>
      <c r="AO13" s="121" t="s">
        <v>105</v>
      </c>
      <c r="AP13" s="15" t="s">
        <v>106</v>
      </c>
      <c r="AQ13" s="15" t="s">
        <v>112</v>
      </c>
      <c r="AR13" s="15" t="s">
        <v>113</v>
      </c>
      <c r="AS13" s="15" t="s">
        <v>114</v>
      </c>
      <c r="AT13" s="121" t="s">
        <v>115</v>
      </c>
    </row>
    <row r="14" spans="1:50" s="177" customFormat="1" ht="31.5" customHeight="1" x14ac:dyDescent="0.3">
      <c r="A14" s="131" t="s">
        <v>71</v>
      </c>
      <c r="B14" s="132">
        <v>13940.154</v>
      </c>
      <c r="C14" s="132">
        <v>14165.262000000001</v>
      </c>
      <c r="D14" s="132">
        <v>14258.546</v>
      </c>
      <c r="E14" s="132">
        <v>14365.233</v>
      </c>
      <c r="F14" s="132">
        <v>14547.344999999999</v>
      </c>
      <c r="G14" s="132">
        <v>14712.823</v>
      </c>
      <c r="H14" s="132">
        <v>14904.133</v>
      </c>
      <c r="I14" s="132">
        <v>15016.195</v>
      </c>
      <c r="J14" s="132">
        <v>15367.972</v>
      </c>
      <c r="K14" s="132">
        <v>15594.035</v>
      </c>
      <c r="L14" s="132">
        <v>15831.419</v>
      </c>
      <c r="M14" s="132">
        <v>16040.527</v>
      </c>
      <c r="N14" s="132">
        <v>16298.904</v>
      </c>
      <c r="O14" s="132">
        <v>16296.196</v>
      </c>
      <c r="P14" s="132">
        <v>16391.190999999999</v>
      </c>
      <c r="Q14" s="132">
        <v>16563.157999999999</v>
      </c>
      <c r="R14" s="132">
        <v>16598.771000000001</v>
      </c>
      <c r="S14" s="132">
        <v>16487.919999999998</v>
      </c>
      <c r="T14" s="132">
        <v>16480.089</v>
      </c>
      <c r="U14" s="132">
        <v>16501.638999999999</v>
      </c>
      <c r="V14" s="132">
        <v>16442.523000000001</v>
      </c>
      <c r="W14" s="132">
        <v>16439.187999999998</v>
      </c>
      <c r="X14" s="132">
        <v>16324.991</v>
      </c>
      <c r="Y14" s="132">
        <v>16454.313999999998</v>
      </c>
      <c r="Z14" s="132">
        <v>16471.292000000001</v>
      </c>
      <c r="AA14" s="132">
        <v>16771.989000000001</v>
      </c>
      <c r="AB14" s="132">
        <v>17181.617999999999</v>
      </c>
      <c r="AC14" s="132">
        <v>17300.083999999999</v>
      </c>
      <c r="AD14" s="132">
        <v>17437</v>
      </c>
      <c r="AE14" s="132">
        <v>17636.95</v>
      </c>
      <c r="AF14" s="132">
        <v>17800.572</v>
      </c>
      <c r="AG14" s="132">
        <v>18038</v>
      </c>
      <c r="AH14" s="132">
        <v>18179.772000000001</v>
      </c>
      <c r="AI14" s="132">
        <v>18377.731</v>
      </c>
      <c r="AJ14" s="132">
        <v>18677.947</v>
      </c>
      <c r="AK14" s="132">
        <v>18891.794000000002</v>
      </c>
      <c r="AL14" s="132">
        <v>19234.243999999999</v>
      </c>
      <c r="AM14" s="132">
        <v>19521.112000000001</v>
      </c>
      <c r="AN14" s="132">
        <v>19795.264999999999</v>
      </c>
      <c r="AO14" s="132">
        <v>20015.471000000001</v>
      </c>
      <c r="AP14" s="132">
        <v>20378.29</v>
      </c>
      <c r="AQ14" s="132">
        <v>20662.065999999999</v>
      </c>
      <c r="AR14" s="132">
        <v>20919.766</v>
      </c>
      <c r="AS14" s="132">
        <v>21120.17</v>
      </c>
      <c r="AT14" s="132">
        <v>21333.414000000001</v>
      </c>
    </row>
    <row r="15" spans="1:50" s="151" customFormat="1" ht="31.5" customHeight="1" x14ac:dyDescent="0.3">
      <c r="A15" s="133" t="s">
        <v>27</v>
      </c>
      <c r="B15" s="134">
        <v>2343</v>
      </c>
      <c r="C15" s="134">
        <v>2350</v>
      </c>
      <c r="D15" s="134">
        <v>1788</v>
      </c>
      <c r="E15" s="134">
        <v>1463</v>
      </c>
      <c r="F15" s="134">
        <v>1623</v>
      </c>
      <c r="G15" s="134">
        <v>2174</v>
      </c>
      <c r="H15" s="134">
        <v>1816</v>
      </c>
      <c r="I15" s="134">
        <v>1551</v>
      </c>
      <c r="J15" s="134">
        <v>1855</v>
      </c>
      <c r="K15" s="134">
        <v>1752</v>
      </c>
      <c r="L15" s="134">
        <v>2037</v>
      </c>
      <c r="M15" s="134">
        <v>1636</v>
      </c>
      <c r="N15" s="134">
        <v>1684</v>
      </c>
      <c r="O15" s="134">
        <v>1861</v>
      </c>
      <c r="P15" s="134">
        <v>1621</v>
      </c>
      <c r="Q15" s="134">
        <v>1808</v>
      </c>
      <c r="R15" s="134">
        <v>1422.7650000000001</v>
      </c>
      <c r="S15" s="134">
        <v>1270.857</v>
      </c>
      <c r="T15" s="134">
        <v>1501.575</v>
      </c>
      <c r="U15" s="134">
        <v>1280.1020000000001</v>
      </c>
      <c r="V15" s="134">
        <v>1272.5709999999999</v>
      </c>
      <c r="W15" s="134">
        <v>1223.7760000000001</v>
      </c>
      <c r="X15" s="134">
        <v>1080.4349999999999</v>
      </c>
      <c r="Y15" s="134">
        <v>1403.588</v>
      </c>
      <c r="Z15" s="134">
        <v>1476.758</v>
      </c>
      <c r="AA15" s="134">
        <v>1459.374</v>
      </c>
      <c r="AB15" s="134">
        <v>1792.8130000000001</v>
      </c>
      <c r="AC15" s="134">
        <v>1254.809</v>
      </c>
      <c r="AD15" s="134">
        <v>1393</v>
      </c>
      <c r="AE15" s="134">
        <v>1179</v>
      </c>
      <c r="AF15" s="134">
        <v>1115</v>
      </c>
      <c r="AG15" s="134">
        <v>1215</v>
      </c>
      <c r="AH15" s="134">
        <v>1144.5730000000001</v>
      </c>
      <c r="AI15" s="134">
        <v>1133.586</v>
      </c>
      <c r="AJ15" s="134">
        <v>1241.316</v>
      </c>
      <c r="AK15" s="134">
        <v>1243.9079999999999</v>
      </c>
      <c r="AL15" s="134">
        <v>1243.0150000000001</v>
      </c>
      <c r="AM15" s="134">
        <v>1224.7</v>
      </c>
      <c r="AN15" s="134">
        <v>1270.134</v>
      </c>
      <c r="AO15" s="134">
        <v>1263.645</v>
      </c>
      <c r="AP15" s="134">
        <v>1210.749</v>
      </c>
      <c r="AQ15" s="134">
        <v>1159.758</v>
      </c>
      <c r="AR15" s="134">
        <v>1199.6420000000001</v>
      </c>
      <c r="AS15" s="134">
        <v>1178.807</v>
      </c>
      <c r="AT15" s="134">
        <v>1180.921</v>
      </c>
      <c r="AV15" s="191"/>
      <c r="AW15" s="191"/>
      <c r="AX15" s="191"/>
    </row>
    <row r="16" spans="1:50" s="151" customFormat="1" ht="31.5" customHeight="1" x14ac:dyDescent="0.3">
      <c r="A16" s="133" t="s">
        <v>28</v>
      </c>
      <c r="B16" s="134">
        <v>2124</v>
      </c>
      <c r="C16" s="134">
        <v>2125</v>
      </c>
      <c r="D16" s="134">
        <v>1695</v>
      </c>
      <c r="E16" s="134">
        <v>1356</v>
      </c>
      <c r="F16" s="134">
        <v>1440</v>
      </c>
      <c r="G16" s="134">
        <v>2008</v>
      </c>
      <c r="H16" s="134">
        <v>1625</v>
      </c>
      <c r="I16" s="134">
        <v>1439</v>
      </c>
      <c r="J16" s="134">
        <v>1503</v>
      </c>
      <c r="K16" s="134">
        <v>1526</v>
      </c>
      <c r="L16" s="134">
        <v>1800</v>
      </c>
      <c r="M16" s="134">
        <v>1427</v>
      </c>
      <c r="N16" s="134">
        <v>1426</v>
      </c>
      <c r="O16" s="134">
        <v>1864</v>
      </c>
      <c r="P16" s="134">
        <v>1526</v>
      </c>
      <c r="Q16" s="134">
        <v>1636</v>
      </c>
      <c r="R16" s="134">
        <v>1387.152</v>
      </c>
      <c r="S16" s="134">
        <v>1381.7080000000001</v>
      </c>
      <c r="T16" s="134">
        <v>1509.4059999999999</v>
      </c>
      <c r="U16" s="134">
        <v>1258.5519999999999</v>
      </c>
      <c r="V16" s="134">
        <v>1331.6869999999999</v>
      </c>
      <c r="W16" s="134">
        <v>1227.1110000000001</v>
      </c>
      <c r="X16" s="135">
        <v>1194.6320000000001</v>
      </c>
      <c r="Y16" s="135">
        <v>1274.2650000000001</v>
      </c>
      <c r="Z16" s="135">
        <v>1457.693</v>
      </c>
      <c r="AA16" s="135">
        <v>1158.704</v>
      </c>
      <c r="AB16" s="135">
        <v>1382.8969999999999</v>
      </c>
      <c r="AC16" s="135">
        <v>1111.249</v>
      </c>
      <c r="AD16" s="135">
        <v>1219</v>
      </c>
      <c r="AE16" s="135">
        <v>940</v>
      </c>
      <c r="AF16" s="135">
        <v>938</v>
      </c>
      <c r="AG16" s="135">
        <v>958</v>
      </c>
      <c r="AH16" s="135">
        <v>1003</v>
      </c>
      <c r="AI16" s="135">
        <v>936</v>
      </c>
      <c r="AJ16" s="135">
        <v>941.1</v>
      </c>
      <c r="AK16" s="135">
        <v>1030.0830000000001</v>
      </c>
      <c r="AL16" s="135">
        <v>901</v>
      </c>
      <c r="AM16" s="135">
        <v>938</v>
      </c>
      <c r="AN16" s="135">
        <v>996</v>
      </c>
      <c r="AO16" s="135">
        <v>1043</v>
      </c>
      <c r="AP16" s="135">
        <v>848</v>
      </c>
      <c r="AQ16" s="135">
        <v>875.98199999999997</v>
      </c>
      <c r="AR16" s="135">
        <v>941.94200000000001</v>
      </c>
      <c r="AS16" s="135">
        <v>978.40300000000002</v>
      </c>
      <c r="AT16" s="135">
        <v>967.67700000000002</v>
      </c>
      <c r="AU16" s="191"/>
    </row>
    <row r="17" spans="1:46" s="151" customFormat="1" ht="31.5" hidden="1" customHeight="1" x14ac:dyDescent="0.3">
      <c r="A17" s="133" t="s">
        <v>29</v>
      </c>
      <c r="B17" s="136">
        <v>291</v>
      </c>
      <c r="C17" s="136">
        <v>288</v>
      </c>
      <c r="D17" s="136">
        <v>352</v>
      </c>
      <c r="E17" s="136">
        <v>243</v>
      </c>
      <c r="F17" s="134">
        <v>214</v>
      </c>
      <c r="G17" s="134">
        <v>229</v>
      </c>
      <c r="H17" s="134">
        <v>306</v>
      </c>
      <c r="I17" s="134">
        <v>217</v>
      </c>
      <c r="J17" s="134">
        <v>195</v>
      </c>
      <c r="K17" s="134">
        <v>141</v>
      </c>
      <c r="L17" s="134">
        <v>136</v>
      </c>
      <c r="M17" s="134">
        <v>64</v>
      </c>
      <c r="N17" s="134">
        <v>69</v>
      </c>
      <c r="O17" s="134">
        <v>210</v>
      </c>
      <c r="P17" s="134">
        <v>105</v>
      </c>
      <c r="Q17" s="134">
        <v>117</v>
      </c>
      <c r="R17" s="134">
        <v>45.597000000000001</v>
      </c>
      <c r="S17" s="137">
        <v>1.6910000000000001</v>
      </c>
      <c r="T17" s="134">
        <v>0.94199999999999995</v>
      </c>
      <c r="U17" s="134">
        <v>0.65800000000000003</v>
      </c>
      <c r="V17" s="134"/>
      <c r="W17" s="137">
        <v>0</v>
      </c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</row>
    <row r="18" spans="1:46" s="151" customFormat="1" ht="31.5" customHeight="1" x14ac:dyDescent="0.3">
      <c r="A18" s="138" t="s">
        <v>30</v>
      </c>
      <c r="B18" s="139">
        <v>219</v>
      </c>
      <c r="C18" s="139">
        <v>225</v>
      </c>
      <c r="D18" s="139">
        <v>93</v>
      </c>
      <c r="E18" s="139">
        <v>107</v>
      </c>
      <c r="F18" s="139">
        <v>182</v>
      </c>
      <c r="G18" s="139">
        <v>165</v>
      </c>
      <c r="H18" s="139">
        <v>191</v>
      </c>
      <c r="I18" s="139">
        <v>112</v>
      </c>
      <c r="J18" s="139">
        <v>352</v>
      </c>
      <c r="K18" s="139">
        <v>226</v>
      </c>
      <c r="L18" s="139">
        <v>237</v>
      </c>
      <c r="M18" s="139">
        <v>209</v>
      </c>
      <c r="N18" s="139">
        <v>258</v>
      </c>
      <c r="O18" s="139">
        <v>-2.7080000000005384</v>
      </c>
      <c r="P18" s="139">
        <v>94.994999999998981</v>
      </c>
      <c r="Q18" s="139">
        <v>171.96700000000055</v>
      </c>
      <c r="R18" s="139">
        <v>35.613</v>
      </c>
      <c r="S18" s="139">
        <v>-110.851</v>
      </c>
      <c r="T18" s="139">
        <v>-7.830999999998312</v>
      </c>
      <c r="U18" s="139">
        <v>21.550000000000182</v>
      </c>
      <c r="V18" s="139">
        <v>-59.115999999998166</v>
      </c>
      <c r="W18" s="139">
        <v>-3.335</v>
      </c>
      <c r="X18" s="139">
        <v>-114.197</v>
      </c>
      <c r="Y18" s="139">
        <f t="shared" ref="Y18:AF18" si="0">Y14-X14</f>
        <v>129.3229999999985</v>
      </c>
      <c r="Z18" s="139">
        <f t="shared" si="0"/>
        <v>16.978000000002794</v>
      </c>
      <c r="AA18" s="139">
        <f t="shared" si="0"/>
        <v>300.69700000000012</v>
      </c>
      <c r="AB18" s="139">
        <f t="shared" si="0"/>
        <v>409.62899999999718</v>
      </c>
      <c r="AC18" s="139">
        <f t="shared" si="0"/>
        <v>118.46600000000035</v>
      </c>
      <c r="AD18" s="139">
        <f t="shared" si="0"/>
        <v>136.91600000000108</v>
      </c>
      <c r="AE18" s="139">
        <f t="shared" si="0"/>
        <v>199.95000000000073</v>
      </c>
      <c r="AF18" s="139">
        <f t="shared" si="0"/>
        <v>163.62199999999939</v>
      </c>
      <c r="AG18" s="139">
        <f>AG14-AF14</f>
        <v>237.42799999999988</v>
      </c>
      <c r="AH18" s="139">
        <f>AH14-AG14</f>
        <v>141.77200000000084</v>
      </c>
      <c r="AI18" s="139">
        <f>AI14-AH14</f>
        <v>197.95899999999892</v>
      </c>
      <c r="AJ18" s="139">
        <f>AJ14-AI14</f>
        <v>300.21600000000035</v>
      </c>
      <c r="AK18" s="139">
        <f>AK14-AJ14</f>
        <v>213.84700000000157</v>
      </c>
      <c r="AL18" s="139">
        <v>342.45</v>
      </c>
      <c r="AM18" s="139">
        <v>286.86799999999999</v>
      </c>
      <c r="AN18" s="139">
        <v>274.15300000000002</v>
      </c>
      <c r="AO18" s="139">
        <v>220.20599999999999</v>
      </c>
      <c r="AP18" s="139">
        <v>362.81900000000002</v>
      </c>
      <c r="AQ18" s="139">
        <v>283.77600000000001</v>
      </c>
      <c r="AR18" s="139">
        <v>257.7</v>
      </c>
      <c r="AS18" s="139">
        <v>200</v>
      </c>
      <c r="AT18" s="139">
        <v>213.244</v>
      </c>
    </row>
    <row r="19" spans="1:46" s="151" customFormat="1" ht="23.25" customHeight="1" x14ac:dyDescent="0.3">
      <c r="A19" s="140" t="s">
        <v>31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</row>
    <row r="20" spans="1:46" s="151" customFormat="1" ht="23.25" customHeight="1" x14ac:dyDescent="0.3">
      <c r="A20" s="140" t="s">
        <v>94</v>
      </c>
      <c r="B20" s="141"/>
      <c r="C20" s="130"/>
      <c r="D20" s="130"/>
      <c r="E20" s="130"/>
      <c r="F20" s="130"/>
      <c r="G20" s="142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</row>
    <row r="21" spans="1:46" s="177" customFormat="1" ht="8.25" customHeight="1" x14ac:dyDescent="0.3">
      <c r="A21" s="143"/>
      <c r="B21" s="144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</row>
    <row r="22" spans="1:46" s="176" customFormat="1" ht="22.5" customHeight="1" x14ac:dyDescent="0.3">
      <c r="A22" s="146" t="s">
        <v>72</v>
      </c>
      <c r="B22" s="142">
        <v>4.3999999999999997E-2</v>
      </c>
      <c r="C22" s="142">
        <v>4.3999999999999997E-2</v>
      </c>
      <c r="D22" s="142">
        <v>3.2000000000000001E-2</v>
      </c>
      <c r="E22" s="142">
        <v>2.5999999999999999E-2</v>
      </c>
      <c r="F22" s="142">
        <v>2.8000000000000001E-2</v>
      </c>
      <c r="G22" s="142">
        <v>4.1000000000000002E-2</v>
      </c>
      <c r="H22" s="142">
        <v>0.03</v>
      </c>
      <c r="I22" s="142">
        <v>2.7E-2</v>
      </c>
      <c r="J22" s="142">
        <v>2.9000000000000001E-2</v>
      </c>
      <c r="K22" s="142">
        <v>0.03</v>
      </c>
      <c r="L22" s="142">
        <v>3.5000000000000003E-2</v>
      </c>
      <c r="M22" s="142">
        <v>2.9000000000000001E-2</v>
      </c>
      <c r="N22" s="142">
        <v>2.8000000000000001E-2</v>
      </c>
      <c r="O22" s="142">
        <v>3.4000000000000002E-2</v>
      </c>
      <c r="P22" s="142">
        <v>2.9000000000000001E-2</v>
      </c>
      <c r="Q22" s="142">
        <v>3.1E-2</v>
      </c>
      <c r="R22" s="142">
        <v>2.6663248735867368E-2</v>
      </c>
      <c r="S22" s="142">
        <v>2.757876650063151E-2</v>
      </c>
      <c r="T22" s="142">
        <v>3.0521776851747524E-2</v>
      </c>
      <c r="U22" s="142">
        <v>2.5000000000000001E-2</v>
      </c>
      <c r="V22" s="142">
        <v>2.7E-2</v>
      </c>
      <c r="W22" s="142">
        <v>2.4896691476263128E-2</v>
      </c>
      <c r="X22" s="142">
        <v>2.4312015742839848E-2</v>
      </c>
      <c r="Y22" s="142">
        <v>2.6296503944819381E-2</v>
      </c>
      <c r="Z22" s="142">
        <v>2.9466095281787591E-2</v>
      </c>
      <c r="AA22" s="142">
        <v>2.3E-2</v>
      </c>
      <c r="AB22" s="142">
        <v>2.7E-2</v>
      </c>
      <c r="AC22" s="142">
        <v>2.1445092682905939E-2</v>
      </c>
      <c r="AD22" s="142">
        <v>2.3E-2</v>
      </c>
      <c r="AE22" s="142">
        <v>1.7999999999999999E-2</v>
      </c>
      <c r="AF22" s="142">
        <v>1.7999999999999999E-2</v>
      </c>
      <c r="AG22" s="142">
        <v>1.7999999999999999E-2</v>
      </c>
      <c r="AH22" s="142">
        <v>1.7999999999999999E-2</v>
      </c>
      <c r="AI22" s="142">
        <v>1.7000000000000001E-2</v>
      </c>
      <c r="AJ22" s="142">
        <v>1.7000000000000001E-2</v>
      </c>
      <c r="AK22" s="142">
        <v>1.7999999999999999E-2</v>
      </c>
      <c r="AL22" s="142">
        <v>1.6E-2</v>
      </c>
      <c r="AM22" s="142">
        <v>1.6E-2</v>
      </c>
      <c r="AN22" s="142">
        <v>1.7000000000000001E-2</v>
      </c>
      <c r="AO22" s="142">
        <v>1.7000000000000001E-2</v>
      </c>
      <c r="AP22" s="142">
        <v>1.4E-2</v>
      </c>
      <c r="AQ22" s="142">
        <v>1.4E-2</v>
      </c>
      <c r="AR22" s="142">
        <v>1.4999999999999999E-2</v>
      </c>
      <c r="AS22" s="142">
        <v>1.6E-2</v>
      </c>
      <c r="AT22" s="142">
        <v>1.4999999999999999E-2</v>
      </c>
    </row>
    <row r="23" spans="1:46" s="151" customFormat="1" ht="8.25" customHeight="1" x14ac:dyDescent="0.3">
      <c r="A23" s="147"/>
      <c r="B23" s="14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</row>
    <row r="24" spans="1:46" s="151" customFormat="1" ht="24" customHeight="1" x14ac:dyDescent="0.3">
      <c r="A24" s="150"/>
      <c r="B24" s="113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</row>
    <row r="25" spans="1:46" s="151" customFormat="1" ht="31.5" customHeight="1" x14ac:dyDescent="0.3">
      <c r="A25" s="115" t="s">
        <v>73</v>
      </c>
      <c r="C25" s="152"/>
      <c r="E25" s="152"/>
      <c r="F25" s="8">
        <v>2009</v>
      </c>
      <c r="G25" s="112"/>
      <c r="H25" s="112"/>
      <c r="I25" s="112"/>
      <c r="J25" s="8">
        <v>2010</v>
      </c>
      <c r="K25" s="112"/>
      <c r="L25" s="112"/>
      <c r="M25" s="112"/>
      <c r="N25" s="8">
        <v>2011</v>
      </c>
      <c r="O25" s="112"/>
      <c r="P25" s="112"/>
      <c r="Q25" s="112"/>
      <c r="R25" s="8">
        <v>2012</v>
      </c>
      <c r="S25" s="112"/>
      <c r="T25" s="112"/>
      <c r="U25" s="112"/>
      <c r="V25" s="8">
        <v>2013</v>
      </c>
      <c r="W25" s="112"/>
      <c r="X25" s="112"/>
      <c r="Y25" s="112"/>
      <c r="Z25" s="8">
        <v>2014</v>
      </c>
      <c r="AA25" s="112"/>
      <c r="AB25" s="112"/>
      <c r="AC25" s="11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</row>
    <row r="26" spans="1:46" s="176" customFormat="1" ht="31.5" customHeight="1" x14ac:dyDescent="0.3">
      <c r="A26" s="153" t="s">
        <v>74</v>
      </c>
      <c r="B26" s="119" t="s">
        <v>37</v>
      </c>
      <c r="C26" s="119" t="s">
        <v>38</v>
      </c>
      <c r="D26" s="119" t="s">
        <v>39</v>
      </c>
      <c r="E26" s="119" t="s">
        <v>40</v>
      </c>
      <c r="F26" s="120" t="s">
        <v>41</v>
      </c>
      <c r="G26" s="120" t="s">
        <v>42</v>
      </c>
      <c r="H26" s="14" t="s">
        <v>43</v>
      </c>
      <c r="I26" s="14" t="s">
        <v>44</v>
      </c>
      <c r="J26" s="14" t="s">
        <v>45</v>
      </c>
      <c r="K26" s="14" t="s">
        <v>46</v>
      </c>
      <c r="L26" s="14" t="s">
        <v>47</v>
      </c>
      <c r="M26" s="14" t="s">
        <v>48</v>
      </c>
      <c r="N26" s="14" t="s">
        <v>49</v>
      </c>
      <c r="O26" s="14" t="s">
        <v>50</v>
      </c>
      <c r="P26" s="14" t="s">
        <v>51</v>
      </c>
      <c r="Q26" s="14" t="s">
        <v>52</v>
      </c>
      <c r="R26" s="15" t="s">
        <v>53</v>
      </c>
      <c r="S26" s="15" t="s">
        <v>54</v>
      </c>
      <c r="T26" s="15" t="s">
        <v>55</v>
      </c>
      <c r="U26" s="15" t="s">
        <v>56</v>
      </c>
      <c r="V26" s="15" t="s">
        <v>57</v>
      </c>
      <c r="W26" s="15" t="s">
        <v>58</v>
      </c>
      <c r="X26" s="15" t="s">
        <v>59</v>
      </c>
      <c r="Y26" s="15" t="s">
        <v>60</v>
      </c>
      <c r="Z26" s="15" t="s">
        <v>61</v>
      </c>
      <c r="AA26" s="15" t="s">
        <v>62</v>
      </c>
      <c r="AB26" s="15" t="s">
        <v>63</v>
      </c>
      <c r="AC26" s="15" t="s">
        <v>64</v>
      </c>
      <c r="AD26" s="15" t="s">
        <v>90</v>
      </c>
      <c r="AE26" s="15" t="s">
        <v>91</v>
      </c>
      <c r="AF26" s="15" t="s">
        <v>92</v>
      </c>
      <c r="AG26" s="15" t="s">
        <v>93</v>
      </c>
      <c r="AH26" s="15" t="s">
        <v>84</v>
      </c>
      <c r="AI26" s="15" t="s">
        <v>88</v>
      </c>
      <c r="AJ26" s="15" t="s">
        <v>101</v>
      </c>
      <c r="AK26" s="15" t="s">
        <v>95</v>
      </c>
      <c r="AL26" s="121" t="s">
        <v>96</v>
      </c>
      <c r="AM26" s="121" t="s">
        <v>102</v>
      </c>
      <c r="AN26" s="121" t="s">
        <v>103</v>
      </c>
      <c r="AO26" s="121" t="s">
        <v>105</v>
      </c>
      <c r="AP26" s="15" t="s">
        <v>106</v>
      </c>
      <c r="AQ26" s="15" t="s">
        <v>112</v>
      </c>
      <c r="AR26" s="15" t="s">
        <v>113</v>
      </c>
      <c r="AS26" s="15" t="s">
        <v>114</v>
      </c>
      <c r="AT26" s="121" t="s">
        <v>115</v>
      </c>
    </row>
    <row r="27" spans="1:46" s="151" customFormat="1" ht="31.5" hidden="1" customHeight="1" x14ac:dyDescent="0.3">
      <c r="A27" s="154" t="s">
        <v>75</v>
      </c>
      <c r="B27" s="155">
        <v>24144</v>
      </c>
      <c r="C27" s="155">
        <v>24804</v>
      </c>
      <c r="D27" s="155">
        <v>24482</v>
      </c>
      <c r="E27" s="155">
        <v>24609</v>
      </c>
      <c r="F27" s="155">
        <v>23612</v>
      </c>
      <c r="G27" s="155">
        <v>23967</v>
      </c>
      <c r="H27" s="155">
        <v>23983</v>
      </c>
      <c r="I27" s="155">
        <v>24272</v>
      </c>
      <c r="J27" s="155">
        <v>23828</v>
      </c>
      <c r="K27" s="155">
        <v>24100</v>
      </c>
      <c r="L27" s="155">
        <v>23527</v>
      </c>
      <c r="M27" s="155">
        <v>22456</v>
      </c>
      <c r="N27" s="155">
        <v>20424</v>
      </c>
      <c r="O27" s="155">
        <v>19688.828355795322</v>
      </c>
      <c r="P27" s="155">
        <v>18155</v>
      </c>
      <c r="Q27" s="155">
        <v>16574</v>
      </c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</row>
    <row r="28" spans="1:46" s="151" customFormat="1" ht="31.5" hidden="1" customHeight="1" x14ac:dyDescent="0.3">
      <c r="A28" s="156" t="s">
        <v>32</v>
      </c>
      <c r="B28" s="157">
        <v>13122</v>
      </c>
      <c r="C28" s="157">
        <v>12955</v>
      </c>
      <c r="D28" s="157">
        <v>12852</v>
      </c>
      <c r="E28" s="157">
        <v>12753</v>
      </c>
      <c r="F28" s="157">
        <v>12600</v>
      </c>
      <c r="G28" s="157">
        <v>12551</v>
      </c>
      <c r="H28" s="157">
        <v>12573</v>
      </c>
      <c r="I28" s="157">
        <v>13066</v>
      </c>
      <c r="J28" s="157">
        <v>13398</v>
      </c>
      <c r="K28" s="157">
        <v>13717</v>
      </c>
      <c r="L28" s="157">
        <v>13881</v>
      </c>
      <c r="M28" s="157">
        <v>13480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</row>
    <row r="29" spans="1:46" s="151" customFormat="1" ht="31.5" hidden="1" customHeight="1" x14ac:dyDescent="0.3">
      <c r="A29" s="156" t="s">
        <v>33</v>
      </c>
      <c r="B29" s="157">
        <v>9531</v>
      </c>
      <c r="C29" s="157">
        <v>10354</v>
      </c>
      <c r="D29" s="157">
        <v>10128</v>
      </c>
      <c r="E29" s="157">
        <v>10321</v>
      </c>
      <c r="F29" s="157">
        <v>9481</v>
      </c>
      <c r="G29" s="157">
        <v>10040</v>
      </c>
      <c r="H29" s="157">
        <v>9970</v>
      </c>
      <c r="I29" s="157">
        <v>9874</v>
      </c>
      <c r="J29" s="157">
        <v>9228</v>
      </c>
      <c r="K29" s="157">
        <v>8931</v>
      </c>
      <c r="L29" s="157">
        <v>8184</v>
      </c>
      <c r="M29" s="157">
        <v>7633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</row>
    <row r="30" spans="1:46" s="178" customFormat="1" ht="31.5" hidden="1" customHeight="1" x14ac:dyDescent="0.3">
      <c r="A30" s="156" t="s">
        <v>76</v>
      </c>
      <c r="B30" s="157">
        <v>1491</v>
      </c>
      <c r="C30" s="157">
        <v>1495</v>
      </c>
      <c r="D30" s="157">
        <v>1501</v>
      </c>
      <c r="E30" s="157">
        <v>1535</v>
      </c>
      <c r="F30" s="157">
        <v>1531</v>
      </c>
      <c r="G30" s="157">
        <v>1375</v>
      </c>
      <c r="H30" s="157">
        <v>1440</v>
      </c>
      <c r="I30" s="157">
        <v>1332</v>
      </c>
      <c r="J30" s="157">
        <v>1202</v>
      </c>
      <c r="K30" s="157">
        <v>1452</v>
      </c>
      <c r="L30" s="157">
        <v>1462</v>
      </c>
      <c r="M30" s="157">
        <v>1343</v>
      </c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</row>
    <row r="31" spans="1:46" s="151" customFormat="1" ht="31.5" hidden="1" customHeight="1" x14ac:dyDescent="0.3">
      <c r="A31" s="158" t="s">
        <v>77</v>
      </c>
      <c r="B31" s="157">
        <v>1491</v>
      </c>
      <c r="C31" s="159">
        <v>0</v>
      </c>
      <c r="D31" s="159">
        <v>0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</row>
    <row r="32" spans="1:46" s="151" customFormat="1" ht="31.5" hidden="1" customHeight="1" x14ac:dyDescent="0.3">
      <c r="A32" s="154" t="s">
        <v>78</v>
      </c>
      <c r="B32" s="155">
        <v>6103</v>
      </c>
      <c r="C32" s="155">
        <v>6356</v>
      </c>
      <c r="D32" s="155">
        <v>6454</v>
      </c>
      <c r="E32" s="155">
        <v>6384</v>
      </c>
      <c r="F32" s="155">
        <v>6431</v>
      </c>
      <c r="G32" s="155">
        <v>6650</v>
      </c>
      <c r="H32" s="155">
        <v>6915</v>
      </c>
      <c r="I32" s="155">
        <v>7218</v>
      </c>
      <c r="J32" s="155">
        <v>7399</v>
      </c>
      <c r="K32" s="155">
        <v>7785</v>
      </c>
      <c r="L32" s="155">
        <v>8031</v>
      </c>
      <c r="M32" s="155">
        <v>8824</v>
      </c>
      <c r="N32" s="155">
        <v>9823</v>
      </c>
      <c r="O32" s="155">
        <v>10489.424934442295</v>
      </c>
      <c r="P32" s="155">
        <v>11454</v>
      </c>
      <c r="Q32" s="155">
        <v>12252</v>
      </c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</row>
    <row r="33" spans="1:46" s="151" customFormat="1" ht="31.5" hidden="1" customHeight="1" x14ac:dyDescent="0.3">
      <c r="A33" s="156" t="s">
        <v>34</v>
      </c>
      <c r="B33" s="157">
        <v>0</v>
      </c>
      <c r="C33" s="157">
        <v>0</v>
      </c>
      <c r="D33" s="157">
        <v>0</v>
      </c>
      <c r="E33" s="157">
        <v>0</v>
      </c>
      <c r="F33" s="157">
        <v>0</v>
      </c>
      <c r="G33" s="157">
        <v>0</v>
      </c>
      <c r="H33" s="157">
        <v>0</v>
      </c>
      <c r="I33" s="157">
        <v>0</v>
      </c>
      <c r="J33" s="157">
        <v>0</v>
      </c>
      <c r="K33" s="157">
        <v>0</v>
      </c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</row>
    <row r="34" spans="1:46" s="151" customFormat="1" ht="31.5" hidden="1" customHeight="1" x14ac:dyDescent="0.3">
      <c r="A34" s="158" t="s">
        <v>35</v>
      </c>
      <c r="B34" s="160">
        <v>0</v>
      </c>
      <c r="C34" s="160">
        <v>0</v>
      </c>
      <c r="D34" s="160">
        <v>0</v>
      </c>
      <c r="E34" s="160">
        <v>0</v>
      </c>
      <c r="F34" s="160">
        <v>0</v>
      </c>
      <c r="G34" s="160">
        <v>0</v>
      </c>
      <c r="H34" s="160">
        <v>0</v>
      </c>
      <c r="I34" s="160">
        <v>0</v>
      </c>
      <c r="J34" s="160">
        <v>0</v>
      </c>
      <c r="K34" s="160">
        <v>0</v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</row>
    <row r="35" spans="1:46" s="151" customFormat="1" ht="8.25" hidden="1" customHeigh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</row>
    <row r="36" spans="1:46" s="151" customFormat="1" ht="22.5" hidden="1" customHeight="1" x14ac:dyDescent="0.3">
      <c r="A36" s="163" t="s">
        <v>79</v>
      </c>
      <c r="B36" s="164">
        <v>4569</v>
      </c>
      <c r="C36" s="164">
        <v>4794</v>
      </c>
      <c r="D36" s="164">
        <v>4701</v>
      </c>
      <c r="E36" s="164">
        <v>5256</v>
      </c>
      <c r="F36" s="164">
        <v>4627</v>
      </c>
      <c r="G36" s="164">
        <v>4737</v>
      </c>
      <c r="H36" s="164">
        <v>5077</v>
      </c>
      <c r="I36" s="164">
        <v>4859</v>
      </c>
      <c r="J36" s="164">
        <v>4734</v>
      </c>
      <c r="K36" s="164">
        <v>4921</v>
      </c>
      <c r="L36" s="164">
        <v>4957</v>
      </c>
      <c r="M36" s="164">
        <v>3743</v>
      </c>
      <c r="N36" s="164">
        <v>4014</v>
      </c>
      <c r="O36" s="164">
        <v>4117.6622793302331</v>
      </c>
      <c r="P36" s="164">
        <v>3961</v>
      </c>
      <c r="Q36" s="164">
        <v>3943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</row>
    <row r="37" spans="1:46" s="151" customFormat="1" ht="22.5" hidden="1" customHeight="1" x14ac:dyDescent="0.3">
      <c r="A37" s="165" t="s">
        <v>80</v>
      </c>
      <c r="B37" s="166">
        <v>1034</v>
      </c>
      <c r="C37" s="166">
        <v>976</v>
      </c>
      <c r="D37" s="166">
        <v>685</v>
      </c>
      <c r="E37" s="166">
        <v>592</v>
      </c>
      <c r="F37" s="166">
        <v>631</v>
      </c>
      <c r="G37" s="166">
        <v>792</v>
      </c>
      <c r="H37" s="166">
        <v>659</v>
      </c>
      <c r="I37" s="166">
        <v>536</v>
      </c>
      <c r="J37" s="166">
        <v>698</v>
      </c>
      <c r="K37" s="166">
        <v>695</v>
      </c>
      <c r="L37" s="166">
        <v>805.23578791533646</v>
      </c>
      <c r="M37" s="166">
        <v>649</v>
      </c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</row>
    <row r="38" spans="1:46" s="151" customFormat="1" ht="31.5" customHeight="1" x14ac:dyDescent="0.3">
      <c r="A38" s="129" t="s">
        <v>81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</row>
    <row r="39" spans="1:46" s="179" customFormat="1" ht="31.5" customHeight="1" x14ac:dyDescent="0.3">
      <c r="A39" s="168" t="s">
        <v>82</v>
      </c>
      <c r="B39" s="155">
        <v>30247</v>
      </c>
      <c r="C39" s="155">
        <v>31160</v>
      </c>
      <c r="D39" s="155">
        <v>30936</v>
      </c>
      <c r="E39" s="155">
        <v>30993</v>
      </c>
      <c r="F39" s="155">
        <v>30042</v>
      </c>
      <c r="G39" s="155">
        <v>30617</v>
      </c>
      <c r="H39" s="155">
        <v>30898</v>
      </c>
      <c r="I39" s="155">
        <v>31490</v>
      </c>
      <c r="J39" s="155">
        <v>31227</v>
      </c>
      <c r="K39" s="155">
        <v>31885</v>
      </c>
      <c r="L39" s="155">
        <v>31559</v>
      </c>
      <c r="M39" s="155">
        <v>31281</v>
      </c>
      <c r="N39" s="155">
        <v>30247</v>
      </c>
      <c r="O39" s="155">
        <v>30178.253290237615</v>
      </c>
      <c r="P39" s="155">
        <v>29609</v>
      </c>
      <c r="Q39" s="155">
        <v>28826</v>
      </c>
      <c r="R39" s="155">
        <v>28721.8538639615</v>
      </c>
      <c r="S39" s="155">
        <v>29447.168376640533</v>
      </c>
      <c r="T39" s="155">
        <v>29969.879530835675</v>
      </c>
      <c r="U39" s="155">
        <v>30697</v>
      </c>
      <c r="V39" s="155">
        <v>31116</v>
      </c>
      <c r="W39" s="155">
        <v>31615.485824636093</v>
      </c>
      <c r="X39" s="169">
        <v>31332.085656704545</v>
      </c>
      <c r="Y39" s="169">
        <v>32160.352715576944</v>
      </c>
      <c r="Z39" s="169">
        <v>33621.579504909037</v>
      </c>
      <c r="AA39" s="170">
        <v>34504.23493915375</v>
      </c>
      <c r="AB39" s="170">
        <v>35759.946634758468</v>
      </c>
      <c r="AC39" s="170">
        <v>36284.956880718593</v>
      </c>
      <c r="AD39" s="170">
        <v>34796</v>
      </c>
      <c r="AE39" s="170">
        <v>35357</v>
      </c>
      <c r="AF39" s="170">
        <v>35422</v>
      </c>
      <c r="AG39" s="170">
        <v>35656</v>
      </c>
      <c r="AH39" s="170">
        <v>34969</v>
      </c>
      <c r="AI39" s="170">
        <v>35291</v>
      </c>
      <c r="AJ39" s="170">
        <v>35394</v>
      </c>
      <c r="AK39" s="170">
        <v>35062</v>
      </c>
      <c r="AL39" s="170">
        <v>34537</v>
      </c>
      <c r="AM39" s="170">
        <v>34554</v>
      </c>
      <c r="AN39" s="170">
        <v>34608</v>
      </c>
      <c r="AO39" s="170">
        <v>34077</v>
      </c>
      <c r="AP39" s="170">
        <v>32283</v>
      </c>
      <c r="AQ39" s="170">
        <v>32320</v>
      </c>
      <c r="AR39" s="170">
        <v>32028</v>
      </c>
      <c r="AS39" s="170">
        <v>31450</v>
      </c>
      <c r="AT39" s="170">
        <v>31496</v>
      </c>
    </row>
    <row r="40" spans="1:46" s="179" customFormat="1" ht="31.5" hidden="1" customHeight="1" x14ac:dyDescent="0.3">
      <c r="A40" s="168" t="s">
        <v>83</v>
      </c>
      <c r="B40" s="155">
        <v>35849</v>
      </c>
      <c r="C40" s="155">
        <v>36930</v>
      </c>
      <c r="D40" s="155">
        <v>36322</v>
      </c>
      <c r="E40" s="155">
        <v>36841</v>
      </c>
      <c r="F40" s="155">
        <v>35300</v>
      </c>
      <c r="G40" s="155">
        <v>36145</v>
      </c>
      <c r="H40" s="155">
        <v>36634</v>
      </c>
      <c r="I40" s="155">
        <v>36885</v>
      </c>
      <c r="J40" s="155">
        <v>36659</v>
      </c>
      <c r="K40" s="155">
        <v>37501</v>
      </c>
      <c r="L40" s="155">
        <v>37320.235787915335</v>
      </c>
      <c r="M40" s="155">
        <v>35673</v>
      </c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</row>
    <row r="41" spans="1:46" s="151" customFormat="1" ht="9" customHeight="1" x14ac:dyDescent="0.3">
      <c r="A41" s="171"/>
      <c r="B41" s="172"/>
      <c r="C41" s="172"/>
      <c r="D41" s="172"/>
      <c r="E41" s="172"/>
      <c r="F41" s="172"/>
      <c r="G41" s="173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</row>
    <row r="42" spans="1:46" s="151" customFormat="1" ht="18" customHeight="1" x14ac:dyDescent="0.3">
      <c r="A42" s="174" t="s">
        <v>111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</row>
    <row r="43" spans="1:46" s="180" customFormat="1" ht="18.75" customHeight="1" x14ac:dyDescent="0.3">
      <c r="A43" s="174" t="s">
        <v>107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</row>
    <row r="44" spans="1:46" ht="18.75" customHeight="1" x14ac:dyDescent="0.3">
      <c r="A44" s="174" t="s">
        <v>117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2019-06-14T08:11:46Z</dcterms:modified>
</cp:coreProperties>
</file>