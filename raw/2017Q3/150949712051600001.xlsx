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\IR담당\실적발표\173Q\"/>
    </mc:Choice>
  </mc:AlternateContent>
  <bookViews>
    <workbookView xWindow="210" yWindow="285" windowWidth="14085" windowHeight="11835"/>
  </bookViews>
  <sheets>
    <sheet name="KT Only" sheetId="1" r:id="rId1"/>
    <sheet name="Consolidated" sheetId="4" r:id="rId2"/>
  </sheets>
  <definedNames>
    <definedName name="_xlnm.Print_Area" localSheetId="1">Consolidated!$A$1:$M$28</definedName>
    <definedName name="_xlnm.Print_Area" localSheetId="0">'KT Only'!$A$1:$J$52</definedName>
  </definedNames>
  <calcPr calcId="152511"/>
</workbook>
</file>

<file path=xl/calcChain.xml><?xml version="1.0" encoding="utf-8"?>
<calcChain xmlns="http://schemas.openxmlformats.org/spreadsheetml/2006/main">
  <c r="J29" i="1" l="1"/>
  <c r="J18" i="4" l="1"/>
  <c r="I18" i="4"/>
  <c r="I29" i="1" l="1"/>
</calcChain>
</file>

<file path=xl/sharedStrings.xml><?xml version="1.0" encoding="utf-8"?>
<sst xmlns="http://schemas.openxmlformats.org/spreadsheetml/2006/main" count="112" uniqueCount="60">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</sst>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 tint="-0.3499862666707357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theme="1" tint="0.499984740745262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41" fontId="2" fillId="0" borderId="0" xfId="1" applyFont="1">
      <alignment vertical="center"/>
    </xf>
    <xf numFmtId="176" fontId="2" fillId="0" borderId="0" xfId="2" applyNumberFormat="1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41" fontId="14" fillId="0" borderId="0" xfId="1" applyFont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1"/>
  <sheetViews>
    <sheetView showGridLines="0" tabSelected="1" view="pageBreakPreview" zoomScale="80" zoomScaleNormal="80" zoomScaleSheetLayoutView="80" workbookViewId="0">
      <selection activeCell="O18" sqref="O18"/>
    </sheetView>
  </sheetViews>
  <sheetFormatPr defaultColWidth="9" defaultRowHeight="16.5"/>
  <cols>
    <col min="1" max="1" width="3.75" style="1" customWidth="1"/>
    <col min="2" max="2" width="27" style="1" customWidth="1"/>
    <col min="3" max="5" width="10" style="1" hidden="1" customWidth="1"/>
    <col min="6" max="10" width="10" style="1" customWidth="1"/>
    <col min="11" max="11" width="9.25" style="1" customWidth="1"/>
    <col min="12" max="12" width="9" style="1"/>
    <col min="13" max="13" width="13" style="1" bestFit="1" customWidth="1"/>
    <col min="14" max="15" width="9" style="1"/>
    <col min="16" max="16" width="10.5" style="1" bestFit="1" customWidth="1"/>
    <col min="17" max="16384" width="9" style="1"/>
  </cols>
  <sheetData>
    <row r="2" spans="1:11" ht="20.25">
      <c r="B2" s="10" t="s">
        <v>3</v>
      </c>
    </row>
    <row r="3" spans="1:11">
      <c r="B3" s="12" t="s">
        <v>44</v>
      </c>
      <c r="C3" s="27"/>
      <c r="D3" s="27"/>
      <c r="E3" s="27"/>
      <c r="F3" s="27"/>
      <c r="G3" s="27"/>
    </row>
    <row r="4" spans="1:11" ht="13.5" customHeight="1">
      <c r="C4" s="50" t="s">
        <v>38</v>
      </c>
      <c r="D4" s="50" t="s">
        <v>38</v>
      </c>
      <c r="E4" s="50" t="s">
        <v>51</v>
      </c>
      <c r="F4" s="50" t="s">
        <v>38</v>
      </c>
      <c r="G4" s="50" t="s">
        <v>38</v>
      </c>
      <c r="H4" s="50" t="s">
        <v>38</v>
      </c>
      <c r="I4" s="50" t="s">
        <v>38</v>
      </c>
      <c r="J4" s="50" t="s">
        <v>38</v>
      </c>
      <c r="K4" s="50"/>
    </row>
    <row r="5" spans="1:11" ht="18" thickBot="1">
      <c r="A5" s="3" t="s">
        <v>22</v>
      </c>
      <c r="B5" s="2" t="s">
        <v>4</v>
      </c>
      <c r="C5" s="18">
        <v>2012</v>
      </c>
      <c r="D5" s="18">
        <v>2013</v>
      </c>
      <c r="E5" s="18">
        <v>2014</v>
      </c>
      <c r="F5" s="18">
        <v>2015</v>
      </c>
      <c r="G5" s="18">
        <v>2016</v>
      </c>
      <c r="H5" s="49" t="s">
        <v>56</v>
      </c>
      <c r="I5" s="49" t="s">
        <v>57</v>
      </c>
      <c r="J5" s="49" t="s">
        <v>59</v>
      </c>
      <c r="K5" s="64"/>
    </row>
    <row r="6" spans="1:11">
      <c r="B6" s="8" t="s">
        <v>5</v>
      </c>
      <c r="C6" s="25">
        <v>18863.2</v>
      </c>
      <c r="D6" s="42">
        <v>17937.106937488003</v>
      </c>
      <c r="E6" s="35">
        <v>17435.841517526002</v>
      </c>
      <c r="F6" s="35">
        <v>16942.357363793999</v>
      </c>
      <c r="G6" s="51">
        <v>17028868.258023001</v>
      </c>
      <c r="H6" s="51">
        <v>4161418.1788269999</v>
      </c>
      <c r="I6" s="51">
        <v>4292581.6685520001</v>
      </c>
      <c r="J6" s="51">
        <v>4312022.8533739997</v>
      </c>
      <c r="K6" s="51"/>
    </row>
    <row r="7" spans="1:11">
      <c r="B7" s="5" t="s">
        <v>6</v>
      </c>
      <c r="C7" s="25">
        <v>14462.7</v>
      </c>
      <c r="D7" s="42">
        <v>14259.439439397998</v>
      </c>
      <c r="E7" s="35">
        <v>14202.131489762</v>
      </c>
      <c r="F7" s="35">
        <v>14300.901332555</v>
      </c>
      <c r="G7" s="51">
        <v>14527209.48734</v>
      </c>
      <c r="H7" s="51">
        <v>3541301.1199849998</v>
      </c>
      <c r="I7" s="51">
        <v>3588203.464430898</v>
      </c>
      <c r="J7" s="51">
        <v>3607483.408812183</v>
      </c>
      <c r="K7" s="51"/>
    </row>
    <row r="8" spans="1:11">
      <c r="B8" s="5" t="s">
        <v>28</v>
      </c>
      <c r="C8" s="25">
        <v>4400.5</v>
      </c>
      <c r="D8" s="42">
        <v>3677.6674980899998</v>
      </c>
      <c r="E8" s="35">
        <v>3233.7100277640002</v>
      </c>
      <c r="F8" s="35">
        <v>2641.4560312390004</v>
      </c>
      <c r="G8" s="51">
        <v>2501658.7706830003</v>
      </c>
      <c r="H8" s="51">
        <v>620117.05884200009</v>
      </c>
      <c r="I8" s="51">
        <v>704378.20412110176</v>
      </c>
      <c r="J8" s="51">
        <v>704539.44456181698</v>
      </c>
      <c r="K8" s="51"/>
    </row>
    <row r="9" spans="1:11">
      <c r="B9" s="5" t="s">
        <v>8</v>
      </c>
      <c r="C9" s="25">
        <v>1060.8498675009989</v>
      </c>
      <c r="D9" s="42">
        <v>309.9784002909991</v>
      </c>
      <c r="E9" s="35">
        <v>-719.45150063900132</v>
      </c>
      <c r="F9" s="35">
        <v>863.86014390800005</v>
      </c>
      <c r="G9" s="51">
        <v>1059591.5356589998</v>
      </c>
      <c r="H9" s="51">
        <v>318922.79874200001</v>
      </c>
      <c r="I9" s="51">
        <v>301426.87260600086</v>
      </c>
      <c r="J9" s="51">
        <v>271443.82884799922</v>
      </c>
      <c r="K9" s="51"/>
    </row>
    <row r="10" spans="1:11">
      <c r="B10" s="6" t="s">
        <v>9</v>
      </c>
      <c r="C10" s="26">
        <v>708.90795008299892</v>
      </c>
      <c r="D10" s="44">
        <v>-392.28345023300085</v>
      </c>
      <c r="E10" s="48">
        <v>-1141.8511413170015</v>
      </c>
      <c r="F10" s="48">
        <v>770.3235053010003</v>
      </c>
      <c r="G10" s="52">
        <v>809329.56328699982</v>
      </c>
      <c r="H10" s="52">
        <v>284584.63549499999</v>
      </c>
      <c r="I10" s="52">
        <v>160723.42912900087</v>
      </c>
      <c r="J10" s="52">
        <v>148013.38820299925</v>
      </c>
      <c r="K10" s="51"/>
    </row>
    <row r="11" spans="1:11">
      <c r="B11" s="13" t="s">
        <v>10</v>
      </c>
      <c r="C11" s="35">
        <v>3986.4549561889985</v>
      </c>
      <c r="D11" s="42">
        <v>3241.5574033339985</v>
      </c>
      <c r="E11" s="35">
        <v>2303.9569433849983</v>
      </c>
      <c r="F11" s="35">
        <v>3874.0394650519997</v>
      </c>
      <c r="G11" s="51">
        <v>4064974.2498790002</v>
      </c>
      <c r="H11" s="51">
        <v>1083767.860653</v>
      </c>
      <c r="I11" s="51">
        <v>1057444.1382050007</v>
      </c>
      <c r="J11" s="51">
        <v>1021812.1448399993</v>
      </c>
      <c r="K11" s="51"/>
    </row>
    <row r="12" spans="1:11" ht="17.25" thickBot="1">
      <c r="B12" s="36" t="s">
        <v>48</v>
      </c>
      <c r="C12" s="33">
        <v>0.21133473695203317</v>
      </c>
      <c r="D12" s="33">
        <v>0.18071796163288983</v>
      </c>
      <c r="E12" s="33">
        <v>0.13213913082824982</v>
      </c>
      <c r="F12" s="33">
        <v>0.22866000178528073</v>
      </c>
      <c r="G12" s="33">
        <v>0.23871076975205463</v>
      </c>
      <c r="H12" s="33">
        <v>0.26043233678536176</v>
      </c>
      <c r="I12" s="33">
        <v>0.24634222942150899</v>
      </c>
      <c r="J12" s="33">
        <v>0.23696816542622651</v>
      </c>
      <c r="K12" s="38"/>
    </row>
    <row r="13" spans="1:11">
      <c r="C13" s="24"/>
      <c r="D13" s="24"/>
      <c r="E13" s="24"/>
      <c r="F13" s="24"/>
      <c r="G13" s="24"/>
      <c r="H13" s="24"/>
    </row>
    <row r="14" spans="1:11" ht="18" thickBot="1">
      <c r="A14" s="3" t="s">
        <v>22</v>
      </c>
      <c r="B14" s="2" t="s">
        <v>2</v>
      </c>
      <c r="C14" s="18">
        <v>2012</v>
      </c>
      <c r="D14" s="18">
        <v>2013</v>
      </c>
      <c r="E14" s="18">
        <v>2014</v>
      </c>
      <c r="F14" s="18">
        <v>2015</v>
      </c>
      <c r="G14" s="18">
        <v>2016</v>
      </c>
      <c r="H14" s="49" t="s">
        <v>56</v>
      </c>
      <c r="I14" s="49" t="s">
        <v>57</v>
      </c>
      <c r="J14" s="49" t="s">
        <v>59</v>
      </c>
      <c r="K14" s="64"/>
    </row>
    <row r="15" spans="1:11">
      <c r="B15" s="8" t="s">
        <v>11</v>
      </c>
      <c r="C15" s="25">
        <v>3710.6</v>
      </c>
      <c r="D15" s="35">
        <v>3312.5</v>
      </c>
      <c r="E15" s="35">
        <v>2514.1</v>
      </c>
      <c r="F15" s="35">
        <v>2397</v>
      </c>
      <c r="G15" s="35">
        <v>2359</v>
      </c>
      <c r="H15" s="35">
        <v>312.89999999999998</v>
      </c>
      <c r="I15" s="35">
        <v>375.7</v>
      </c>
      <c r="J15" s="35">
        <v>647.90000000000009</v>
      </c>
      <c r="K15" s="35"/>
    </row>
    <row r="16" spans="1:11">
      <c r="B16" s="5" t="s">
        <v>52</v>
      </c>
      <c r="C16" s="25">
        <v>2474.6</v>
      </c>
      <c r="D16" s="35">
        <v>1869.8</v>
      </c>
      <c r="E16" s="35">
        <v>1361.6999999999998</v>
      </c>
      <c r="F16" s="35">
        <v>1316.1999999999998</v>
      </c>
      <c r="G16" s="35">
        <v>1132.5999999999999</v>
      </c>
      <c r="H16" s="35">
        <v>200.89999999999998</v>
      </c>
      <c r="I16" s="35">
        <v>239.89999999999998</v>
      </c>
      <c r="J16" s="35">
        <v>332.20000000000005</v>
      </c>
      <c r="K16" s="35"/>
    </row>
    <row r="17" spans="1:13">
      <c r="B17" s="5" t="s">
        <v>53</v>
      </c>
      <c r="C17" s="25">
        <v>475.9</v>
      </c>
      <c r="D17" s="35">
        <v>465.9</v>
      </c>
      <c r="E17" s="35">
        <v>428</v>
      </c>
      <c r="F17" s="35">
        <v>492.2</v>
      </c>
      <c r="G17" s="35">
        <v>452.09999999999997</v>
      </c>
      <c r="H17" s="35">
        <v>42.2</v>
      </c>
      <c r="I17" s="35">
        <v>68</v>
      </c>
      <c r="J17" s="35">
        <v>113.5</v>
      </c>
      <c r="K17" s="35"/>
    </row>
    <row r="18" spans="1:13">
      <c r="B18" s="5" t="s">
        <v>54</v>
      </c>
      <c r="C18" s="25">
        <v>260.89999999999998</v>
      </c>
      <c r="D18" s="35">
        <v>240.59999999999997</v>
      </c>
      <c r="E18" s="35">
        <v>394.00000000000006</v>
      </c>
      <c r="F18" s="35">
        <v>361.8</v>
      </c>
      <c r="G18" s="35">
        <v>516.6</v>
      </c>
      <c r="H18" s="35">
        <v>25.6</v>
      </c>
      <c r="I18" s="35">
        <v>39.300000000000004</v>
      </c>
      <c r="J18" s="35">
        <v>94.9</v>
      </c>
      <c r="K18" s="35"/>
    </row>
    <row r="19" spans="1:13">
      <c r="B19" s="6" t="s">
        <v>7</v>
      </c>
      <c r="C19" s="26">
        <v>499.2</v>
      </c>
      <c r="D19" s="48">
        <v>736.2</v>
      </c>
      <c r="E19" s="48">
        <v>330.4</v>
      </c>
      <c r="F19" s="48">
        <v>226.79999999999998</v>
      </c>
      <c r="G19" s="48">
        <v>257.7</v>
      </c>
      <c r="H19" s="48">
        <v>155.6</v>
      </c>
      <c r="I19" s="48">
        <v>28.5</v>
      </c>
      <c r="J19" s="48">
        <v>107.30000000000001</v>
      </c>
      <c r="K19" s="35"/>
    </row>
    <row r="20" spans="1:13" ht="17.25" thickBot="1">
      <c r="B20" s="9" t="s">
        <v>12</v>
      </c>
      <c r="C20" s="30">
        <v>2925.6</v>
      </c>
      <c r="D20" s="46">
        <v>2931.5790030429998</v>
      </c>
      <c r="E20" s="46">
        <v>3023.4084440240003</v>
      </c>
      <c r="F20" s="46">
        <v>3010.1793211439999</v>
      </c>
      <c r="G20" s="57">
        <v>3005382.71422</v>
      </c>
      <c r="H20" s="57">
        <v>764845.06191099994</v>
      </c>
      <c r="I20" s="57">
        <v>756017.2655989998</v>
      </c>
      <c r="J20" s="57">
        <v>750368.31599200005</v>
      </c>
      <c r="K20" s="51"/>
    </row>
    <row r="22" spans="1:13" ht="18" thickBot="1">
      <c r="A22" s="3" t="s">
        <v>22</v>
      </c>
      <c r="B22" s="2" t="s">
        <v>29</v>
      </c>
      <c r="C22" s="18">
        <v>2012</v>
      </c>
      <c r="D22" s="18">
        <v>2013</v>
      </c>
      <c r="E22" s="18">
        <v>2014</v>
      </c>
      <c r="F22" s="18">
        <v>2015</v>
      </c>
      <c r="G22" s="18">
        <v>2016</v>
      </c>
      <c r="H22" s="49" t="s">
        <v>56</v>
      </c>
      <c r="I22" s="49" t="s">
        <v>57</v>
      </c>
      <c r="J22" s="49" t="s">
        <v>59</v>
      </c>
      <c r="K22" s="64"/>
    </row>
    <row r="23" spans="1:13">
      <c r="B23" s="8" t="s">
        <v>13</v>
      </c>
      <c r="C23" s="25">
        <v>7566.18294599</v>
      </c>
      <c r="D23" s="35">
        <v>7285.8315816309996</v>
      </c>
      <c r="E23" s="35">
        <v>8995.5397544999996</v>
      </c>
      <c r="F23" s="35">
        <v>8119.5977289840002</v>
      </c>
      <c r="G23" s="51">
        <v>7569046.745468</v>
      </c>
      <c r="H23" s="51">
        <v>6804061.6979589993</v>
      </c>
      <c r="I23" s="51">
        <v>5990818.0244369991</v>
      </c>
      <c r="J23" s="51">
        <v>6343272.6904450003</v>
      </c>
      <c r="K23" s="51"/>
    </row>
    <row r="24" spans="1:13">
      <c r="B24" s="6" t="s">
        <v>46</v>
      </c>
      <c r="C24" s="26">
        <v>6393.2022996509995</v>
      </c>
      <c r="D24" s="48">
        <v>6261.8860732189996</v>
      </c>
      <c r="E24" s="48">
        <v>8526.2850266219994</v>
      </c>
      <c r="F24" s="48">
        <v>6992.6069505470005</v>
      </c>
      <c r="G24" s="52">
        <v>5966649.5446920004</v>
      </c>
      <c r="H24" s="52">
        <v>5701481.9739059992</v>
      </c>
      <c r="I24" s="52">
        <v>5079168.4118069988</v>
      </c>
      <c r="J24" s="52">
        <v>5019519.6872240007</v>
      </c>
      <c r="K24" s="51"/>
    </row>
    <row r="25" spans="1:13">
      <c r="B25" s="5" t="s">
        <v>14</v>
      </c>
      <c r="C25" s="29">
        <v>0.53854748659905727</v>
      </c>
      <c r="D25" s="38">
        <v>0.56699149039334584</v>
      </c>
      <c r="E25" s="38">
        <v>0.88761343192103404</v>
      </c>
      <c r="F25" s="38">
        <v>0.67340492029390175</v>
      </c>
      <c r="G25" s="38">
        <v>0.53828676657565888</v>
      </c>
      <c r="H25" s="38">
        <v>0.50973450779343865</v>
      </c>
      <c r="I25" s="38">
        <v>0.44758760790973801</v>
      </c>
      <c r="J25" s="38">
        <v>0.43635725183542451</v>
      </c>
      <c r="K25" s="38"/>
    </row>
    <row r="26" spans="1:13" ht="17.25" thickBot="1">
      <c r="B26" s="9" t="s">
        <v>36</v>
      </c>
      <c r="C26" s="30">
        <v>1.6037312273466202</v>
      </c>
      <c r="D26" s="46">
        <v>1.9317523320051466</v>
      </c>
      <c r="E26" s="46">
        <v>3.7007137008797946</v>
      </c>
      <c r="F26" s="46">
        <v>1.8049911503555478</v>
      </c>
      <c r="G26" s="46">
        <v>1.4678197641398607</v>
      </c>
      <c r="H26" s="46"/>
      <c r="I26" s="46"/>
      <c r="J26" s="46"/>
      <c r="K26" s="35"/>
    </row>
    <row r="27" spans="1:13">
      <c r="D27" s="43"/>
      <c r="E27" s="43"/>
      <c r="F27" s="43"/>
      <c r="G27" s="58"/>
      <c r="H27" s="58"/>
    </row>
    <row r="28" spans="1:13" ht="18" thickBot="1">
      <c r="A28" s="3" t="s">
        <v>22</v>
      </c>
      <c r="B28" s="2" t="s">
        <v>0</v>
      </c>
      <c r="C28" s="18">
        <v>2012</v>
      </c>
      <c r="D28" s="18">
        <v>2013</v>
      </c>
      <c r="E28" s="18">
        <v>2014</v>
      </c>
      <c r="F28" s="18">
        <v>2015</v>
      </c>
      <c r="G28" s="18">
        <v>2016</v>
      </c>
      <c r="H28" s="49" t="s">
        <v>56</v>
      </c>
      <c r="I28" s="49" t="s">
        <v>57</v>
      </c>
      <c r="J28" s="49" t="s">
        <v>59</v>
      </c>
      <c r="K28" s="64"/>
      <c r="M28" s="62"/>
    </row>
    <row r="29" spans="1:13">
      <c r="B29" s="8" t="s">
        <v>40</v>
      </c>
      <c r="C29" s="19">
        <v>243722.391</v>
      </c>
      <c r="D29" s="19">
        <v>243890.23300000001</v>
      </c>
      <c r="E29" s="19">
        <v>244862.70800000001</v>
      </c>
      <c r="F29" s="19">
        <v>244849.8</v>
      </c>
      <c r="G29" s="37">
        <v>244971.64300000001</v>
      </c>
      <c r="H29" s="37">
        <v>244971.64300000001</v>
      </c>
      <c r="I29" s="37">
        <f>M29-I30</f>
        <v>244974.897</v>
      </c>
      <c r="J29" s="37">
        <f>$M$29-J30</f>
        <v>245097.05499999999</v>
      </c>
      <c r="K29" s="37"/>
      <c r="M29" s="66">
        <v>261111.80799999999</v>
      </c>
    </row>
    <row r="30" spans="1:13">
      <c r="B30" s="5" t="s">
        <v>41</v>
      </c>
      <c r="C30" s="19">
        <v>17389.417000000001</v>
      </c>
      <c r="D30" s="19">
        <v>17221.575000000001</v>
      </c>
      <c r="E30" s="19">
        <v>16249.1</v>
      </c>
      <c r="F30" s="19">
        <v>16262.008</v>
      </c>
      <c r="G30" s="37">
        <v>16140.165000000001</v>
      </c>
      <c r="H30" s="37">
        <v>16140.165000000001</v>
      </c>
      <c r="I30" s="37">
        <v>16136.911</v>
      </c>
      <c r="J30" s="37">
        <v>16014.753000000001</v>
      </c>
      <c r="K30" s="37"/>
    </row>
    <row r="31" spans="1:13">
      <c r="B31" s="6" t="s">
        <v>27</v>
      </c>
      <c r="C31" s="20">
        <v>35500</v>
      </c>
      <c r="D31" s="20">
        <v>31550</v>
      </c>
      <c r="E31" s="20">
        <v>31250</v>
      </c>
      <c r="F31" s="20">
        <v>28250</v>
      </c>
      <c r="G31" s="59">
        <v>29400</v>
      </c>
      <c r="H31" s="59">
        <v>31900</v>
      </c>
      <c r="I31" s="59">
        <v>32600</v>
      </c>
      <c r="J31" s="59">
        <v>29150</v>
      </c>
      <c r="K31" s="37"/>
    </row>
    <row r="32" spans="1:13">
      <c r="B32" s="5" t="s">
        <v>15</v>
      </c>
      <c r="C32" s="19">
        <v>2000</v>
      </c>
      <c r="D32" s="19">
        <v>800</v>
      </c>
      <c r="E32" s="19">
        <v>0</v>
      </c>
      <c r="F32" s="19">
        <v>500</v>
      </c>
      <c r="G32" s="37">
        <v>800</v>
      </c>
      <c r="H32" s="37"/>
      <c r="I32" s="37"/>
      <c r="J32" s="37"/>
      <c r="K32" s="37"/>
    </row>
    <row r="33" spans="1:11">
      <c r="B33" s="4" t="s">
        <v>32</v>
      </c>
      <c r="C33" s="31">
        <v>487.44478200000003</v>
      </c>
      <c r="D33" s="31">
        <v>195.11218640000001</v>
      </c>
      <c r="E33" s="31">
        <v>0</v>
      </c>
      <c r="F33" s="31">
        <v>122.43135400000001</v>
      </c>
      <c r="G33" s="60">
        <v>195.97731440000001</v>
      </c>
      <c r="H33" s="60"/>
      <c r="I33" s="60"/>
      <c r="J33" s="60"/>
      <c r="K33" s="35"/>
    </row>
    <row r="34" spans="1:11">
      <c r="B34" s="5" t="s">
        <v>42</v>
      </c>
      <c r="C34" s="25">
        <v>487.44478200000003</v>
      </c>
      <c r="D34" s="25">
        <v>195.11218640000001</v>
      </c>
      <c r="E34" s="25">
        <v>0</v>
      </c>
      <c r="F34" s="25">
        <v>122.43135400000001</v>
      </c>
      <c r="G34" s="35">
        <v>195.97731440000001</v>
      </c>
      <c r="H34" s="35"/>
      <c r="I34" s="35"/>
      <c r="J34" s="35"/>
      <c r="K34" s="35"/>
    </row>
    <row r="35" spans="1:11">
      <c r="B35" s="6" t="s">
        <v>43</v>
      </c>
      <c r="C35" s="20">
        <v>0</v>
      </c>
      <c r="D35" s="20">
        <v>0</v>
      </c>
      <c r="E35" s="20">
        <v>0</v>
      </c>
      <c r="F35" s="20"/>
      <c r="G35" s="59"/>
      <c r="H35" s="59"/>
      <c r="I35" s="59"/>
      <c r="J35" s="59"/>
      <c r="K35" s="37"/>
    </row>
    <row r="36" spans="1:11" ht="17.25" thickBot="1">
      <c r="B36" s="9" t="s">
        <v>16</v>
      </c>
      <c r="C36" s="33">
        <v>0.68759954228603304</v>
      </c>
      <c r="D36" s="33">
        <v>-0.49735454091256692</v>
      </c>
      <c r="E36" s="33">
        <v>0</v>
      </c>
      <c r="F36" s="33">
        <v>0.15893498401319137</v>
      </c>
      <c r="G36" s="33">
        <v>0.24201662522309392</v>
      </c>
      <c r="H36" s="33"/>
      <c r="I36" s="33"/>
      <c r="J36" s="33"/>
      <c r="K36" s="38"/>
    </row>
    <row r="37" spans="1:11">
      <c r="G37" s="47"/>
    </row>
    <row r="38" spans="1:11" ht="18" thickBot="1">
      <c r="A38" s="3" t="s">
        <v>22</v>
      </c>
      <c r="B38" s="2" t="s">
        <v>1</v>
      </c>
      <c r="C38" s="18">
        <v>2012</v>
      </c>
      <c r="D38" s="18">
        <v>2013</v>
      </c>
      <c r="E38" s="18">
        <v>2014</v>
      </c>
      <c r="F38" s="18">
        <v>2015</v>
      </c>
      <c r="G38" s="18">
        <v>2016</v>
      </c>
    </row>
    <row r="39" spans="1:11">
      <c r="B39" s="8" t="s">
        <v>17</v>
      </c>
      <c r="C39" s="19">
        <v>2951.3086468940805</v>
      </c>
      <c r="D39" s="19">
        <v>-1608.9962848582882</v>
      </c>
      <c r="E39" s="19">
        <v>-4669.0885336155998</v>
      </c>
      <c r="F39" s="19">
        <v>3146.1063284552424</v>
      </c>
      <c r="G39" s="19">
        <v>3305.398083090251</v>
      </c>
    </row>
    <row r="40" spans="1:11">
      <c r="B40" s="5" t="s">
        <v>18</v>
      </c>
      <c r="C40" s="25">
        <v>12.028562325177255</v>
      </c>
      <c r="D40" s="25">
        <v>-19.608497730483421</v>
      </c>
      <c r="E40" s="25">
        <v>-6.692955118544508</v>
      </c>
      <c r="F40" s="25">
        <v>8.9793532228997872</v>
      </c>
      <c r="G40" s="25">
        <v>8.8945413717048059</v>
      </c>
    </row>
    <row r="41" spans="1:11">
      <c r="B41" s="5" t="s">
        <v>19</v>
      </c>
      <c r="C41" s="25">
        <v>4.0296900692448068</v>
      </c>
      <c r="D41" s="25">
        <v>4.7303628711174373</v>
      </c>
      <c r="E41" s="25">
        <v>7.2419726894235836</v>
      </c>
      <c r="F41" s="25">
        <v>3.7090524389777042</v>
      </c>
      <c r="G41" s="25">
        <v>3.3563156520113537</v>
      </c>
    </row>
    <row r="42" spans="1:11">
      <c r="B42" s="5" t="s">
        <v>20</v>
      </c>
      <c r="C42" s="29">
        <v>6.059204588784068E-2</v>
      </c>
      <c r="D42" s="29">
        <v>-3.4237760599942692E-2</v>
      </c>
      <c r="E42" s="29">
        <v>-0.11050597013995321</v>
      </c>
      <c r="F42" s="29">
        <v>7.7071619199248709E-2</v>
      </c>
      <c r="G42" s="29">
        <v>7.5397026928796837E-2</v>
      </c>
    </row>
    <row r="43" spans="1:11" ht="17.25" thickBot="1">
      <c r="B43" s="9" t="s">
        <v>21</v>
      </c>
      <c r="C43" s="23">
        <v>2.7134410346011561E-2</v>
      </c>
      <c r="D43" s="23">
        <v>-1.5029248475776941E-2</v>
      </c>
      <c r="E43" s="23">
        <v>-4.508603320779711E-2</v>
      </c>
      <c r="F43" s="23">
        <v>3.1350417389766537E-2</v>
      </c>
      <c r="G43" s="23">
        <v>3.3085965686571954E-2</v>
      </c>
    </row>
    <row r="44" spans="1:11">
      <c r="C44" s="40"/>
      <c r="D44" s="40"/>
      <c r="E44" s="40"/>
      <c r="F44" s="40"/>
    </row>
    <row r="46" spans="1:11">
      <c r="B46" s="11" t="s">
        <v>23</v>
      </c>
      <c r="C46" s="11"/>
      <c r="D46" s="11"/>
      <c r="E46" s="11"/>
      <c r="F46" s="11"/>
      <c r="G46" s="11"/>
    </row>
    <row r="47" spans="1:11">
      <c r="B47" s="11" t="s">
        <v>24</v>
      </c>
      <c r="C47" s="11"/>
      <c r="D47" s="11"/>
      <c r="E47" s="11"/>
      <c r="F47" s="11"/>
      <c r="G47" s="11"/>
    </row>
    <row r="48" spans="1:11">
      <c r="B48" s="11" t="s">
        <v>25</v>
      </c>
      <c r="C48" s="11"/>
      <c r="D48" s="11"/>
      <c r="E48" s="11"/>
      <c r="F48" s="11"/>
      <c r="G48" s="11"/>
    </row>
    <row r="49" spans="2:7">
      <c r="B49" s="11" t="s">
        <v>26</v>
      </c>
      <c r="C49" s="11"/>
      <c r="D49" s="11"/>
      <c r="E49" s="11"/>
      <c r="F49" s="11"/>
      <c r="G49" s="11"/>
    </row>
    <row r="50" spans="2:7">
      <c r="B50" s="11" t="s">
        <v>58</v>
      </c>
      <c r="C50" s="11"/>
      <c r="D50" s="11"/>
      <c r="E50" s="11"/>
      <c r="F50" s="11"/>
      <c r="G50" s="11"/>
    </row>
    <row r="51" spans="2:7">
      <c r="B51" s="11" t="s">
        <v>30</v>
      </c>
      <c r="C51" s="11"/>
      <c r="D51" s="11"/>
      <c r="E51" s="11"/>
      <c r="F51" s="11"/>
      <c r="G51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showGridLines="0" view="pageBreakPreview" zoomScale="90" zoomScaleNormal="80" zoomScaleSheetLayoutView="90" workbookViewId="0">
      <selection activeCell="N7" sqref="N7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8" width="9.25" style="1" hidden="1" customWidth="1"/>
    <col min="9" max="13" width="9.25" style="1" customWidth="1"/>
    <col min="14" max="16384" width="9" style="1"/>
  </cols>
  <sheetData>
    <row r="2" spans="1:13" ht="20.25">
      <c r="B2" s="10" t="s">
        <v>31</v>
      </c>
      <c r="F2" s="34"/>
      <c r="G2" s="34"/>
      <c r="H2" s="34"/>
      <c r="I2" s="34"/>
    </row>
    <row r="3" spans="1:13">
      <c r="B3" s="12" t="s">
        <v>44</v>
      </c>
    </row>
    <row r="4" spans="1:13">
      <c r="B4" s="7"/>
      <c r="C4" s="28" t="s">
        <v>37</v>
      </c>
      <c r="D4" s="28" t="s">
        <v>37</v>
      </c>
      <c r="E4" s="28" t="s">
        <v>37</v>
      </c>
      <c r="F4" s="50" t="s">
        <v>38</v>
      </c>
      <c r="G4" s="50" t="s">
        <v>38</v>
      </c>
      <c r="H4" s="50" t="s">
        <v>38</v>
      </c>
      <c r="I4" s="50" t="s">
        <v>38</v>
      </c>
      <c r="J4" s="50" t="s">
        <v>38</v>
      </c>
      <c r="K4" s="50" t="s">
        <v>55</v>
      </c>
      <c r="L4" s="50" t="s">
        <v>38</v>
      </c>
      <c r="M4" s="50" t="s">
        <v>38</v>
      </c>
    </row>
    <row r="5" spans="1:13" ht="18" thickBot="1">
      <c r="A5" s="3" t="s">
        <v>22</v>
      </c>
      <c r="B5" s="2" t="s">
        <v>4</v>
      </c>
      <c r="C5" s="22">
        <v>2008</v>
      </c>
      <c r="D5" s="22">
        <v>2009</v>
      </c>
      <c r="E5" s="22">
        <v>2010</v>
      </c>
      <c r="F5" s="18">
        <v>2012</v>
      </c>
      <c r="G5" s="18">
        <v>2013</v>
      </c>
      <c r="H5" s="18">
        <v>2014</v>
      </c>
      <c r="I5" s="18">
        <v>2015</v>
      </c>
      <c r="J5" s="18">
        <v>2016</v>
      </c>
      <c r="K5" s="49" t="s">
        <v>56</v>
      </c>
      <c r="L5" s="49" t="s">
        <v>57</v>
      </c>
      <c r="M5" s="49" t="s">
        <v>59</v>
      </c>
    </row>
    <row r="6" spans="1:13">
      <c r="B6" s="8" t="s">
        <v>5</v>
      </c>
      <c r="C6" s="19"/>
      <c r="D6" s="19"/>
      <c r="E6" s="19"/>
      <c r="F6" s="42">
        <v>23790.290116847067</v>
      </c>
      <c r="G6" s="42">
        <v>23810.622761016464</v>
      </c>
      <c r="H6" s="42">
        <v>22311.665789525701</v>
      </c>
      <c r="I6" s="42">
        <v>22281.220684719898</v>
      </c>
      <c r="J6" s="51">
        <v>22743664.718357198</v>
      </c>
      <c r="K6" s="51">
        <v>5611677.4489428494</v>
      </c>
      <c r="L6" s="51">
        <v>5842473.8877294511</v>
      </c>
      <c r="M6" s="53">
        <v>5826564.437973002</v>
      </c>
    </row>
    <row r="7" spans="1:13">
      <c r="B7" s="5" t="s">
        <v>6</v>
      </c>
      <c r="C7" s="19"/>
      <c r="D7" s="19"/>
      <c r="E7" s="19"/>
      <c r="F7" s="42">
        <v>19189.366962295324</v>
      </c>
      <c r="G7" s="42">
        <v>19844.129803369469</v>
      </c>
      <c r="H7" s="42">
        <v>19061.205701698698</v>
      </c>
      <c r="I7" s="42">
        <v>19513.776370722899</v>
      </c>
      <c r="J7" s="51">
        <v>20007021.037470199</v>
      </c>
      <c r="K7" s="51">
        <v>4948534.1043068487</v>
      </c>
      <c r="L7" s="51">
        <v>5069148.4738923488</v>
      </c>
      <c r="M7" s="53">
        <v>5047230.4720071852</v>
      </c>
    </row>
    <row r="8" spans="1:13">
      <c r="B8" s="5" t="s">
        <v>28</v>
      </c>
      <c r="C8" s="19"/>
      <c r="D8" s="19"/>
      <c r="E8" s="19"/>
      <c r="F8" s="42">
        <v>4600.9231545517505</v>
      </c>
      <c r="G8" s="42">
        <v>3966.4929576470004</v>
      </c>
      <c r="H8" s="42">
        <v>3250.4600878269998</v>
      </c>
      <c r="I8" s="42">
        <v>2767.4443139970003</v>
      </c>
      <c r="J8" s="51">
        <v>2736643.6808870006</v>
      </c>
      <c r="K8" s="51">
        <v>663143.34463600023</v>
      </c>
      <c r="L8" s="51">
        <v>773325.41383710178</v>
      </c>
      <c r="M8" s="53">
        <v>779333.96596581698</v>
      </c>
    </row>
    <row r="9" spans="1:13">
      <c r="B9" s="5" t="s">
        <v>8</v>
      </c>
      <c r="C9" s="19"/>
      <c r="D9" s="19"/>
      <c r="E9" s="19"/>
      <c r="F9" s="42">
        <v>1213.9110888681523</v>
      </c>
      <c r="G9" s="42">
        <v>839.36704830344956</v>
      </c>
      <c r="H9" s="42">
        <v>-406.59070870383403</v>
      </c>
      <c r="I9" s="42">
        <v>1292.9437060352705</v>
      </c>
      <c r="J9" s="51">
        <v>1439978.4750245782</v>
      </c>
      <c r="K9" s="51">
        <v>416991.18058216944</v>
      </c>
      <c r="L9" s="51">
        <v>447281.00783663057</v>
      </c>
      <c r="M9" s="53">
        <v>377270.47298530303</v>
      </c>
    </row>
    <row r="10" spans="1:13">
      <c r="B10" s="15" t="s">
        <v>35</v>
      </c>
      <c r="C10" s="19"/>
      <c r="D10" s="19"/>
      <c r="E10" s="19"/>
      <c r="F10" s="42">
        <v>1143.0914745201123</v>
      </c>
      <c r="G10" s="42">
        <v>-60.227228844630361</v>
      </c>
      <c r="H10" s="42">
        <v>-1052.57603529569</v>
      </c>
      <c r="I10" s="42">
        <v>490.21284556873053</v>
      </c>
      <c r="J10" s="51">
        <v>797843.87679478817</v>
      </c>
      <c r="K10" s="51">
        <v>224342.1825891195</v>
      </c>
      <c r="L10" s="51">
        <v>258077.9507556305</v>
      </c>
      <c r="M10" s="53">
        <v>202608.20024473307</v>
      </c>
    </row>
    <row r="11" spans="1:13">
      <c r="B11" s="13" t="s">
        <v>34</v>
      </c>
      <c r="C11" s="19"/>
      <c r="D11" s="19"/>
      <c r="E11" s="19"/>
      <c r="F11" s="42">
        <v>-31.533871472999998</v>
      </c>
      <c r="G11" s="42">
        <v>0</v>
      </c>
      <c r="H11" s="42">
        <v>86.399856218099998</v>
      </c>
      <c r="I11" s="42">
        <v>141.07507613829</v>
      </c>
      <c r="J11" s="51">
        <v>0</v>
      </c>
      <c r="K11" s="51">
        <v>1</v>
      </c>
      <c r="L11" s="51">
        <v>0</v>
      </c>
      <c r="M11" s="53">
        <v>0</v>
      </c>
    </row>
    <row r="12" spans="1:13">
      <c r="B12" s="5" t="s">
        <v>9</v>
      </c>
      <c r="C12" s="19"/>
      <c r="D12" s="19"/>
      <c r="E12" s="19"/>
      <c r="F12" s="42">
        <v>1111.5576030471125</v>
      </c>
      <c r="G12" s="42">
        <v>-60.227228844630361</v>
      </c>
      <c r="H12" s="42">
        <v>-966.17617907759404</v>
      </c>
      <c r="I12" s="42">
        <v>631.28792170702059</v>
      </c>
      <c r="J12" s="51">
        <v>797843.87679478817</v>
      </c>
      <c r="K12" s="51">
        <v>224342.1825891195</v>
      </c>
      <c r="L12" s="51">
        <v>258077.9507556305</v>
      </c>
      <c r="M12" s="53">
        <v>202608.20024473307</v>
      </c>
    </row>
    <row r="13" spans="1:13">
      <c r="B13" s="14" t="s">
        <v>33</v>
      </c>
      <c r="C13" s="20"/>
      <c r="D13" s="20"/>
      <c r="E13" s="20"/>
      <c r="F13" s="44">
        <v>1057.12265397242</v>
      </c>
      <c r="G13" s="44">
        <v>-162.43703460525001</v>
      </c>
      <c r="H13" s="44">
        <v>-1055.0029405502501</v>
      </c>
      <c r="I13" s="44">
        <v>552.96370933727997</v>
      </c>
      <c r="J13" s="52">
        <v>711088.50304683996</v>
      </c>
      <c r="K13" s="52">
        <v>200752.62690154999</v>
      </c>
      <c r="L13" s="52">
        <v>222199.14378278004</v>
      </c>
      <c r="M13" s="54">
        <v>179870.90283010993</v>
      </c>
    </row>
    <row r="14" spans="1:13" ht="17.25" thickBot="1">
      <c r="B14" s="17" t="s">
        <v>10</v>
      </c>
      <c r="C14" s="32"/>
      <c r="D14" s="32"/>
      <c r="E14" s="32"/>
      <c r="F14" s="45">
        <v>4481.7024203536921</v>
      </c>
      <c r="G14" s="45">
        <v>4405.5416345658296</v>
      </c>
      <c r="H14" s="45">
        <v>2919.10345495911</v>
      </c>
      <c r="I14" s="45">
        <v>4631.5414508119002</v>
      </c>
      <c r="J14" s="61">
        <v>4785244.5363275278</v>
      </c>
      <c r="K14" s="61">
        <v>1267647.5950522793</v>
      </c>
      <c r="L14" s="61">
        <v>1288267.5686635706</v>
      </c>
      <c r="M14" s="55">
        <v>1215066.7624055331</v>
      </c>
    </row>
    <row r="15" spans="1:13">
      <c r="F15" s="47"/>
      <c r="G15" s="47"/>
      <c r="H15" s="47"/>
      <c r="I15" s="63"/>
      <c r="J15" s="63"/>
      <c r="K15" s="63"/>
      <c r="L15" s="63"/>
      <c r="M15" s="63"/>
    </row>
    <row r="16" spans="1:13">
      <c r="F16" s="47"/>
      <c r="G16" s="47"/>
      <c r="H16" s="47"/>
      <c r="I16" s="47"/>
      <c r="J16" s="47"/>
    </row>
    <row r="17" spans="1:14" ht="18" thickBot="1">
      <c r="A17" s="3" t="s">
        <v>22</v>
      </c>
      <c r="B17" s="16" t="s">
        <v>39</v>
      </c>
      <c r="C17" s="22">
        <v>2008</v>
      </c>
      <c r="D17" s="22">
        <v>2009</v>
      </c>
      <c r="E17" s="22">
        <v>2010</v>
      </c>
      <c r="F17" s="18">
        <v>2012</v>
      </c>
      <c r="G17" s="18">
        <v>2013</v>
      </c>
      <c r="H17" s="18">
        <v>2014</v>
      </c>
      <c r="I17" s="18">
        <v>2015</v>
      </c>
      <c r="J17" s="18">
        <v>2016</v>
      </c>
      <c r="K17" s="49" t="s">
        <v>56</v>
      </c>
      <c r="L17" s="49" t="s">
        <v>57</v>
      </c>
      <c r="M17" s="49" t="s">
        <v>59</v>
      </c>
    </row>
    <row r="18" spans="1:14">
      <c r="B18" s="13" t="s">
        <v>47</v>
      </c>
      <c r="C18" s="37"/>
      <c r="D18" s="37"/>
      <c r="E18" s="37"/>
      <c r="F18" s="38">
        <v>5.102131546553073E-2</v>
      </c>
      <c r="G18" s="38">
        <v>3.5251788948489363E-2</v>
      </c>
      <c r="H18" s="38">
        <v>-1.7999999999999999E-2</v>
      </c>
      <c r="I18" s="38">
        <f>I9/I6</f>
        <v>5.8028405370175722E-2</v>
      </c>
      <c r="J18" s="38">
        <f>J9/J6</f>
        <v>6.3313388271254364E-2</v>
      </c>
      <c r="K18" s="38">
        <v>7.4307759912452545E-2</v>
      </c>
      <c r="L18" s="38">
        <v>7.655678338178358E-2</v>
      </c>
      <c r="M18" s="41">
        <v>6.4750073049316736E-2</v>
      </c>
    </row>
    <row r="19" spans="1:14">
      <c r="B19" s="13" t="s">
        <v>48</v>
      </c>
      <c r="C19" s="37"/>
      <c r="D19" s="37"/>
      <c r="E19" s="37"/>
      <c r="F19" s="38">
        <v>0.18837951141167672</v>
      </c>
      <c r="G19" s="38">
        <v>0.18502420868129191</v>
      </c>
      <c r="H19" s="38">
        <v>0.13100000000000001</v>
      </c>
      <c r="I19" s="38">
        <v>0.20786749147851385</v>
      </c>
      <c r="J19" s="38">
        <v>0.21039900981591553</v>
      </c>
      <c r="K19" s="38">
        <v>0.22589459329867292</v>
      </c>
      <c r="L19" s="38">
        <v>0.22050035540068583</v>
      </c>
      <c r="M19" s="41">
        <v>0.20853914435180287</v>
      </c>
    </row>
    <row r="20" spans="1:14" ht="17.25" thickBot="1">
      <c r="B20" s="9" t="s">
        <v>49</v>
      </c>
      <c r="C20" s="21"/>
      <c r="D20" s="21"/>
      <c r="E20" s="21"/>
      <c r="F20" s="33">
        <v>0.19645292762703448</v>
      </c>
      <c r="G20" s="33">
        <v>-10.50704343214036</v>
      </c>
      <c r="H20" s="33">
        <v>0.20799999999999999</v>
      </c>
      <c r="I20" s="33">
        <v>0.31862995762537738</v>
      </c>
      <c r="J20" s="33">
        <v>0.29208175558466071</v>
      </c>
      <c r="K20" s="33">
        <v>0.29442777578317669</v>
      </c>
      <c r="L20" s="33">
        <v>0.18309620858117956</v>
      </c>
      <c r="M20" s="56">
        <v>0.36034782340538074</v>
      </c>
      <c r="N20" s="65"/>
    </row>
    <row r="21" spans="1:14">
      <c r="J21" s="47"/>
      <c r="K21" s="47"/>
      <c r="L21" s="47"/>
    </row>
    <row r="22" spans="1:14">
      <c r="J22" s="47"/>
      <c r="K22" s="47"/>
      <c r="L22" s="47"/>
    </row>
    <row r="23" spans="1:14" ht="18" thickBot="1">
      <c r="A23" s="3" t="s">
        <v>22</v>
      </c>
      <c r="B23" s="2" t="s">
        <v>29</v>
      </c>
      <c r="C23" s="22">
        <v>2008</v>
      </c>
      <c r="D23" s="22">
        <v>2009</v>
      </c>
      <c r="E23" s="22">
        <v>2010</v>
      </c>
      <c r="F23" s="18">
        <v>2012</v>
      </c>
      <c r="G23" s="18">
        <v>2013</v>
      </c>
      <c r="H23" s="18">
        <v>2014</v>
      </c>
      <c r="I23" s="18">
        <v>2015</v>
      </c>
      <c r="J23" s="18">
        <v>2016</v>
      </c>
      <c r="K23" s="49" t="s">
        <v>56</v>
      </c>
      <c r="L23" s="49" t="s">
        <v>57</v>
      </c>
      <c r="M23" s="49" t="s">
        <v>59</v>
      </c>
    </row>
    <row r="24" spans="1:14">
      <c r="B24" s="8" t="s">
        <v>50</v>
      </c>
      <c r="C24" s="19"/>
      <c r="D24" s="19"/>
      <c r="E24" s="19"/>
      <c r="F24" s="42">
        <v>11436.119569464041</v>
      </c>
      <c r="G24" s="42">
        <v>11482.0569611923</v>
      </c>
      <c r="H24" s="51">
        <v>12815384.9654596</v>
      </c>
      <c r="I24" s="51">
        <v>8634896.888975</v>
      </c>
      <c r="J24" s="51">
        <v>8120791.1801779997</v>
      </c>
      <c r="K24" s="51">
        <v>7345229.2592050005</v>
      </c>
      <c r="L24" s="51">
        <v>6524948.295713</v>
      </c>
      <c r="M24" s="53">
        <v>6848198.3460316695</v>
      </c>
    </row>
    <row r="25" spans="1:14">
      <c r="B25" s="6" t="s">
        <v>46</v>
      </c>
      <c r="C25" s="20"/>
      <c r="D25" s="20"/>
      <c r="E25" s="20"/>
      <c r="F25" s="44">
        <v>9378.5062390619314</v>
      </c>
      <c r="G25" s="44">
        <v>9411.188165191692</v>
      </c>
      <c r="H25" s="52">
        <v>10926721.782440681</v>
      </c>
      <c r="I25" s="52">
        <v>6075432.4377010297</v>
      </c>
      <c r="J25" s="52">
        <v>5220480.1657609101</v>
      </c>
      <c r="K25" s="52">
        <v>5343097.1256435206</v>
      </c>
      <c r="L25" s="52">
        <v>4868486.5445884401</v>
      </c>
      <c r="M25" s="54">
        <v>4679623.0154975196</v>
      </c>
    </row>
    <row r="26" spans="1:14">
      <c r="B26" s="5" t="s">
        <v>14</v>
      </c>
      <c r="C26" s="19"/>
      <c r="D26" s="19"/>
      <c r="E26" s="19"/>
      <c r="F26" s="38">
        <v>0.70952673929099574</v>
      </c>
      <c r="G26" s="38">
        <v>0.73153934588005409</v>
      </c>
      <c r="H26" s="38">
        <v>0.92675610859611657</v>
      </c>
      <c r="I26" s="38">
        <v>0.49939991308916354</v>
      </c>
      <c r="J26" s="38">
        <v>0.40801644690334493</v>
      </c>
      <c r="K26" s="38">
        <v>0.41797364763094219</v>
      </c>
      <c r="L26" s="38">
        <v>0.37293968223899621</v>
      </c>
      <c r="M26" s="41">
        <v>0.35219394226990447</v>
      </c>
    </row>
    <row r="27" spans="1:14" ht="17.25" thickBot="1">
      <c r="B27" s="9" t="s">
        <v>45</v>
      </c>
      <c r="C27" s="21"/>
      <c r="D27" s="21"/>
      <c r="E27" s="21"/>
      <c r="F27" s="46">
        <v>2.0926213655929855</v>
      </c>
      <c r="G27" s="46">
        <v>2.136215917550663</v>
      </c>
      <c r="H27" s="46">
        <v>3.7</v>
      </c>
      <c r="I27" s="46">
        <v>1.3117517142453767</v>
      </c>
      <c r="J27" s="46">
        <v>1.090953686092583</v>
      </c>
      <c r="K27" s="46"/>
      <c r="L27" s="46"/>
      <c r="M27" s="39"/>
    </row>
    <row r="28" spans="1:14">
      <c r="J28" s="47"/>
      <c r="K28" s="47"/>
      <c r="L28" s="47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2017-10-30T09:00:13Z</dcterms:modified>
</cp:coreProperties>
</file>