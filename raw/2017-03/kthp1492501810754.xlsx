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'Fixed(M)'!$A$1:$ER$46</definedName>
    <definedName name="_xlnm.Print_Area" localSheetId="1">'Wireless(Q)'!$A$1:$AK$44</definedName>
  </definedNames>
  <calcPr calcId="152511"/>
</workbook>
</file>

<file path=xl/calcChain.xml><?xml version="1.0" encoding="utf-8"?>
<calcChain xmlns="http://schemas.openxmlformats.org/spreadsheetml/2006/main">
  <c r="AK17" i="2" l="1"/>
  <c r="AK5" i="2"/>
  <c r="AJ5" i="2" l="1"/>
  <c r="AI17" i="2"/>
  <c r="AJ17" i="2"/>
  <c r="AG17" i="2" l="1"/>
  <c r="AH17" i="2"/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<sst xmlns="http://schemas.openxmlformats.org/spreadsheetml/2006/main" count="201" uniqueCount="121">
  <si>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</si>
  <si>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</si>
  <si>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</si>
  <si>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</si>
  <si>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</si>
  <si>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</si>
  <si>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</si>
  <si>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</si>
  <si>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</si>
  <si>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</si>
  <si>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</si>
  <si>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</si>
  <si>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</si>
  <si>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</si>
  <si>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</si>
  <si>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</si>
  <si>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</si>
  <si>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</si>
  <si>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</si>
  <si>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</si>
  <si>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</si>
  <si>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</si>
  <si>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</si>
  <si>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</si>
  <si>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</si>
  <si>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</si>
  <si>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</si>
  <si>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</si>
  <si>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</si>
  <si>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</si>
  <si>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</si>
  <si>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</si>
  <si>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</si>
  <si>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</si>
  <si>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</si>
  <si>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</si>
  <si>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</si>
  <si>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</si>
  <si>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</si>
  <si>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</si>
  <si>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</si>
  <si>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</si>
  <si>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</si>
  <si>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</si>
  <si>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</si>
  <si>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</si>
  <si>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</si>
  <si>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</si>
  <si>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</si>
  <si>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</si>
  <si>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</si>
  <si>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</si>
  <si>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</si>
  <si>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</si>
  <si>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</si>
  <si>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</si>
  <si>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</si>
  <si>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</si>
  <si>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</si>
  <si>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</si>
  <si>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</si>
  <si>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</si>
  <si>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</si>
  <si>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</si>
  <si>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</si>
  <si>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</si>
  <si>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</si>
  <si>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</si>
  <si>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</si>
  <si>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</si>
  <si>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</si>
  <si>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</si>
  <si>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</si>
  <si>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</si>
  <si>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</si>
  <si>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</si>
  <si>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</si>
  <si>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</si>
  <si>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</si>
  <si>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</si>
  <si>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</si>
  <si>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</si>
  <si>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</si>
  <si>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</si>
  <si>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</si>
  <si>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</si>
  <si>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</si>
  <si>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</si>
  <si>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</si>
  <si>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</si>
  <si>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</si>
  <si>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</si>
  <si>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</si>
  <si>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</si>
  <si>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</si>
  <si>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</si>
  <si>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</si>
  <si>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</si>
  <si>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</si>
  <si>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</si>
  <si>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</si>
  <si>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</si>
  <si>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</si>
  <si>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</si>
  <si>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</si>
  <si>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</si>
  <si>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</si>
  <si>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</si>
  <si>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</si>
  <si>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</si>
  <si>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</si>
  <si>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</si>
  <si>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</si>
  <si>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</si>
  <si>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</si>
  <si>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</si>
  <si>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</si>
  <si>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3Q 16</t>
    <phoneticPr fontId="5" type="noConversion"/>
  </si>
  <si>
    <t>4Q 16</t>
    <phoneticPr fontId="5" type="noConversion"/>
  </si>
  <si>
    <t>Note 2) ARPU : Calculation based on billed subscribers (Retroactively applied from 1Q14). Handset insurance revenue retroactively adjusted from 1Q15.</t>
    <phoneticPr fontId="5" type="noConversion"/>
  </si>
  <si>
    <t>KT Monthly Factsheet (March 2017)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</si>
</sst>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1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147</xdr:col>
      <xdr:colOff>168839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429375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38</xdr:col>
      <xdr:colOff>463550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36</xdr:col>
      <xdr:colOff>190501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811376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67"/>
  <sheetViews>
    <sheetView showGridLines="0" tabSelected="1" view="pageBreakPreview" zoomScale="60" zoomScaleNormal="30" workbookViewId="0">
      <pane xSplit="133" topLeftCell="ED1" activePane="topRight" state="frozen"/>
      <selection pane="topRight" activeCell="ER36" sqref="ER36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6384" width="9" style="6"/>
  </cols>
  <sheetData>
    <row r="1" spans="1:148" ht="44.25" customHeight="1" x14ac:dyDescent="0.3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8" ht="29.25" customHeight="1" x14ac:dyDescent="0.3">
      <c r="A2" s="6"/>
    </row>
    <row r="3" spans="1:148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48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</row>
    <row r="5" spans="1:148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</row>
    <row r="6" spans="1:148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</row>
    <row r="7" spans="1:148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</row>
    <row r="8" spans="1:148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</row>
    <row r="9" spans="1:148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</row>
    <row r="10" spans="1:148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</row>
    <row r="11" spans="1:148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</row>
    <row r="12" spans="1:148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</row>
    <row r="13" spans="1:148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  <c r="EN13" s="36">
        <v>11600095</v>
      </c>
      <c r="EO13" s="36">
        <v>11547312</v>
      </c>
      <c r="EP13" s="36">
        <v>11496617</v>
      </c>
      <c r="EQ13" s="36">
        <v>11460947</v>
      </c>
      <c r="ER13" s="36">
        <v>11422602</v>
      </c>
    </row>
    <row r="14" spans="1:148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</row>
    <row r="15" spans="1:148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</row>
    <row r="16" spans="1:148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</row>
    <row r="17" spans="1:148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</row>
    <row r="18" spans="1:148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</row>
    <row r="19" spans="1:148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</row>
    <row r="20" spans="1:148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</row>
    <row r="21" spans="1:148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</row>
    <row r="22" spans="1:148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</row>
    <row r="23" spans="1:148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</row>
    <row r="24" spans="1:148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>
        <v>0.414989</v>
      </c>
      <c r="EN24" s="69">
        <v>0.41473500000000002</v>
      </c>
      <c r="EO24" s="69">
        <v>0.4143135</v>
      </c>
      <c r="EP24" s="69">
        <v>0.41379595000000002</v>
      </c>
      <c r="EQ24" s="69">
        <v>0.41240796299999999</v>
      </c>
      <c r="ER24" s="69"/>
    </row>
    <row r="25" spans="1:148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>
        <v>0.2538299</v>
      </c>
      <c r="EN25" s="71">
        <v>0.25355240000000001</v>
      </c>
      <c r="EO25" s="71">
        <v>0.25333600000000001</v>
      </c>
      <c r="EP25" s="71">
        <v>0.25313282999999998</v>
      </c>
      <c r="EQ25" s="71">
        <v>0.25542105900000001</v>
      </c>
      <c r="ER25" s="71"/>
    </row>
    <row r="26" spans="1:148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>
        <v>0.17489759999999999</v>
      </c>
      <c r="EN26" s="71">
        <v>0.1753034</v>
      </c>
      <c r="EO26" s="71">
        <v>0.1756789</v>
      </c>
      <c r="EP26" s="71">
        <v>0.17624574000000001</v>
      </c>
      <c r="EQ26" s="71">
        <v>0.17624392699999999</v>
      </c>
      <c r="ER26" s="71"/>
    </row>
    <row r="27" spans="1:148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>
        <v>0.15628339999999999</v>
      </c>
      <c r="EN27" s="77">
        <v>0.1564091</v>
      </c>
      <c r="EO27" s="77">
        <v>0.1566717</v>
      </c>
      <c r="EP27" s="77">
        <v>0.15682547999999999</v>
      </c>
      <c r="EQ27" s="77">
        <v>0.15592705200000001</v>
      </c>
      <c r="ER27" s="77"/>
    </row>
    <row r="28" spans="1:148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</row>
    <row r="29" spans="1:148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</row>
    <row r="30" spans="1:148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</row>
    <row r="31" spans="1:148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</row>
    <row r="32" spans="1:148" s="44" customFormat="1" ht="29.25" customHeight="1" x14ac:dyDescent="0.3">
      <c r="A32" s="13" t="s">
        <v>95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</row>
    <row r="33" spans="1:148" s="46" customFormat="1" ht="29.25" customHeight="1" x14ac:dyDescent="0.3">
      <c r="A33" s="45" t="s">
        <v>96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</row>
    <row r="34" spans="1:148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</row>
    <row r="35" spans="1:148" s="46" customFormat="1" ht="29.25" customHeight="1" x14ac:dyDescent="0.3">
      <c r="A35" s="86" t="s">
        <v>97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</row>
    <row r="36" spans="1:148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0.52874950011183941</v>
      </c>
      <c r="EF36" s="91">
        <v>0.52723301446290127</v>
      </c>
      <c r="EG36" s="91">
        <v>0.52612463396707287</v>
      </c>
      <c r="EH36" s="91">
        <v>0.52520511703839645</v>
      </c>
      <c r="EI36" s="91">
        <v>0.52418792912578605</v>
      </c>
      <c r="EJ36" s="91">
        <v>0.52284228445809122</v>
      </c>
      <c r="EK36" s="91">
        <v>0.52217000000000002</v>
      </c>
      <c r="EL36" s="91">
        <v>0.52164999999999995</v>
      </c>
      <c r="EM36" s="91">
        <v>0.52098999999999995</v>
      </c>
      <c r="EN36" s="91">
        <v>0.52007000000000003</v>
      </c>
      <c r="EO36" s="91">
        <v>0.51898</v>
      </c>
      <c r="EP36" s="91">
        <v>0.51768365999999999</v>
      </c>
      <c r="EQ36" s="91">
        <v>0.51660185300000006</v>
      </c>
      <c r="ER36" s="91"/>
    </row>
    <row r="37" spans="1:148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0.28524609249934513</v>
      </c>
      <c r="EF37" s="92">
        <v>0.28678870200357626</v>
      </c>
      <c r="EG37" s="92">
        <v>0.28789204954173969</v>
      </c>
      <c r="EH37" s="92">
        <v>0.28882435274308377</v>
      </c>
      <c r="EI37" s="92">
        <v>0.28975110127345466</v>
      </c>
      <c r="EJ37" s="92">
        <v>0.29093355914373831</v>
      </c>
      <c r="EK37" s="92">
        <v>0.29171000000000002</v>
      </c>
      <c r="EL37" s="92">
        <v>0.29204000000000002</v>
      </c>
      <c r="EM37" s="92">
        <v>0.29225000000000001</v>
      </c>
      <c r="EN37" s="92">
        <v>0.2923</v>
      </c>
      <c r="EO37" s="92">
        <v>0.29241</v>
      </c>
      <c r="EP37" s="92">
        <v>0.29262687999999998</v>
      </c>
      <c r="EQ37" s="92">
        <v>0.29290378500000003</v>
      </c>
      <c r="ER37" s="92"/>
    </row>
    <row r="38" spans="1:148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0.18600440738881549</v>
      </c>
      <c r="EF38" s="96">
        <v>0.18597828353352247</v>
      </c>
      <c r="EG38" s="96">
        <v>0.18598331649118743</v>
      </c>
      <c r="EH38" s="96">
        <v>0.18597053021851981</v>
      </c>
      <c r="EI38" s="96">
        <v>0.18606096960075932</v>
      </c>
      <c r="EJ38" s="96">
        <v>0.18622415639817044</v>
      </c>
      <c r="EK38" s="96">
        <v>0.18612000000000001</v>
      </c>
      <c r="EL38" s="96">
        <v>0.18631</v>
      </c>
      <c r="EM38" s="96">
        <v>0.18675</v>
      </c>
      <c r="EN38" s="96">
        <v>0.18756</v>
      </c>
      <c r="EO38" s="96">
        <v>0.18861</v>
      </c>
      <c r="EP38" s="96">
        <v>0.18968945000000001</v>
      </c>
      <c r="EQ38" s="96">
        <v>0.190494362</v>
      </c>
      <c r="ER38" s="96"/>
    </row>
    <row r="39" spans="1:148" s="46" customFormat="1" ht="24.75" customHeight="1" x14ac:dyDescent="0.3">
      <c r="A39" s="204" t="s">
        <v>99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</row>
    <row r="40" spans="1:148" s="46" customFormat="1" ht="24.75" customHeight="1" x14ac:dyDescent="0.3">
      <c r="A40" s="204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</row>
    <row r="41" spans="1:148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8">
        <v>2017</v>
      </c>
      <c r="EQ41"/>
      <c r="ER41"/>
    </row>
    <row r="42" spans="1:148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5">
        <v>42370</v>
      </c>
      <c r="EE42" s="15">
        <v>42401</v>
      </c>
      <c r="EF42" s="15">
        <v>42430</v>
      </c>
      <c r="EG42" s="15">
        <v>42461</v>
      </c>
      <c r="EH42" s="15">
        <v>42491</v>
      </c>
      <c r="EI42" s="15">
        <v>42522</v>
      </c>
      <c r="EJ42" s="15">
        <v>42552</v>
      </c>
      <c r="EK42" s="15">
        <v>42583</v>
      </c>
      <c r="EL42" s="15">
        <v>42614</v>
      </c>
      <c r="EM42" s="15">
        <v>42644</v>
      </c>
      <c r="EN42" s="15">
        <v>42675</v>
      </c>
      <c r="EO42" s="15">
        <v>42705</v>
      </c>
      <c r="EP42" s="16">
        <v>42736</v>
      </c>
      <c r="EQ42" s="16">
        <v>42767</v>
      </c>
      <c r="ER42" s="16">
        <v>42795</v>
      </c>
    </row>
    <row r="43" spans="1:148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  <c r="EJ43" s="98">
        <v>95869</v>
      </c>
      <c r="EK43" s="98">
        <v>91276</v>
      </c>
      <c r="EL43" s="98">
        <v>90319</v>
      </c>
      <c r="EM43" s="98">
        <v>89329</v>
      </c>
      <c r="EN43" s="98">
        <v>88270</v>
      </c>
      <c r="EO43" s="98">
        <v>85680</v>
      </c>
      <c r="EP43" s="98">
        <v>84461</v>
      </c>
      <c r="EQ43" s="98">
        <v>83463</v>
      </c>
      <c r="ER43" s="98">
        <v>82373</v>
      </c>
    </row>
    <row r="44" spans="1:148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  <c r="EJ44" s="27">
        <v>-1133</v>
      </c>
      <c r="EK44" s="27">
        <v>-4593</v>
      </c>
      <c r="EL44" s="27">
        <v>-957</v>
      </c>
      <c r="EM44" s="27">
        <v>-990</v>
      </c>
      <c r="EN44" s="27">
        <v>-1059</v>
      </c>
      <c r="EO44" s="27">
        <v>-2590</v>
      </c>
      <c r="EP44" s="27">
        <v>-1219</v>
      </c>
      <c r="EQ44" s="27">
        <v>-998</v>
      </c>
      <c r="ER44" s="27">
        <v>-1090</v>
      </c>
    </row>
    <row r="45" spans="1:148" s="46" customFormat="1" ht="29.25" customHeight="1" x14ac:dyDescent="0.3">
      <c r="A45" s="93" t="s">
        <v>98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  <c r="EJ45" s="102">
        <v>114318</v>
      </c>
      <c r="EK45" s="102">
        <v>114318</v>
      </c>
      <c r="EL45" s="102">
        <v>106725</v>
      </c>
      <c r="EM45" s="102">
        <v>106725</v>
      </c>
      <c r="EN45" s="102">
        <v>106725</v>
      </c>
      <c r="EO45" s="102">
        <v>106725</v>
      </c>
      <c r="EP45" s="102">
        <v>106725</v>
      </c>
      <c r="EQ45" s="102">
        <v>106725</v>
      </c>
      <c r="ER45" s="102">
        <v>106725</v>
      </c>
    </row>
    <row r="46" spans="1:148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</row>
    <row r="47" spans="1:148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  <c r="EJ47" s="107">
        <v>42552</v>
      </c>
      <c r="EK47" s="107">
        <v>42583</v>
      </c>
      <c r="EL47" s="107">
        <v>42614</v>
      </c>
      <c r="EM47" s="107">
        <v>42644</v>
      </c>
      <c r="EN47" s="107">
        <v>42675</v>
      </c>
      <c r="EO47" s="107">
        <v>42705</v>
      </c>
      <c r="EP47" s="107">
        <v>42736</v>
      </c>
      <c r="EQ47" s="107">
        <v>42767</v>
      </c>
      <c r="ER47" s="107">
        <v>42795</v>
      </c>
    </row>
    <row r="48" spans="1:148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  <c r="EJ48" s="111">
        <v>50729680.800000101</v>
      </c>
      <c r="EK48" s="111">
        <v>50745771.600000203</v>
      </c>
      <c r="EL48" s="111">
        <v>50761862.400000297</v>
      </c>
      <c r="EM48" s="111">
        <v>50777953.200000398</v>
      </c>
      <c r="EN48" s="111">
        <v>50794044.000000499</v>
      </c>
      <c r="EO48" s="111">
        <v>50810134.800000601</v>
      </c>
      <c r="EP48" s="111">
        <v>50826225.600000702</v>
      </c>
      <c r="EQ48" s="111">
        <v>50842316.400000803</v>
      </c>
      <c r="ER48" s="111">
        <v>50858407.200000897</v>
      </c>
    </row>
    <row r="49" spans="1:148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  <c r="EJ49" s="116">
        <v>18849306.699999999</v>
      </c>
      <c r="EK49" s="116">
        <v>18869921.399999999</v>
      </c>
      <c r="EL49" s="116">
        <v>18890536.100000001</v>
      </c>
      <c r="EM49" s="116">
        <v>18911150.800000001</v>
      </c>
      <c r="EN49" s="116">
        <v>18931765.5</v>
      </c>
      <c r="EO49" s="116">
        <v>18952380.199999999</v>
      </c>
      <c r="EP49" s="116">
        <v>18972994.899999999</v>
      </c>
      <c r="EQ49" s="116">
        <v>18993609.600000001</v>
      </c>
      <c r="ER49" s="116">
        <v>19014224.300000001</v>
      </c>
    </row>
    <row r="50" spans="1:148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48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48" s="126" customFormat="1" ht="18.75" customHeight="1" x14ac:dyDescent="0.3">
      <c r="A52" s="204" t="s">
        <v>101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48" s="112" customFormat="1" ht="18.75" customHeight="1" x14ac:dyDescent="0.3">
      <c r="A53" s="207" t="s">
        <v>102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29"/>
      <c r="AN53" s="129"/>
      <c r="AO53" s="129"/>
    </row>
    <row r="54" spans="1:148" s="112" customFormat="1" ht="18.75" customHeight="1" x14ac:dyDescent="0.3">
      <c r="A54" s="207" t="s">
        <v>103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8" s="112" customFormat="1" ht="18.75" customHeight="1" x14ac:dyDescent="0.3">
      <c r="A55" s="207" t="s">
        <v>104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8" s="112" customFormat="1" ht="18.75" customHeight="1" x14ac:dyDescent="0.3">
      <c r="A56" s="207" t="s">
        <v>27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8" ht="18.75" customHeight="1" x14ac:dyDescent="0.3">
      <c r="A57" s="204" t="s">
        <v>105</v>
      </c>
    </row>
    <row r="58" spans="1:148" ht="18.75" customHeight="1" x14ac:dyDescent="0.3">
      <c r="A58" s="208" t="s">
        <v>106</v>
      </c>
      <c r="BT58" s="6" t="s">
        <v>28</v>
      </c>
    </row>
    <row r="59" spans="1:148" ht="18.75" customHeight="1" x14ac:dyDescent="0.3">
      <c r="A59" s="208" t="s">
        <v>107</v>
      </c>
    </row>
    <row r="60" spans="1:148" ht="18.75" customHeight="1" x14ac:dyDescent="0.3">
      <c r="A60" s="208" t="s">
        <v>29</v>
      </c>
    </row>
    <row r="61" spans="1:148" ht="18.75" customHeight="1" x14ac:dyDescent="0.3">
      <c r="A61" s="208" t="s">
        <v>30</v>
      </c>
    </row>
    <row r="62" spans="1:148" ht="18.75" customHeight="1" x14ac:dyDescent="0.3">
      <c r="A62" s="209" t="s">
        <v>108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48" ht="18.75" customHeight="1" x14ac:dyDescent="0.3">
      <c r="A63" s="210" t="s">
        <v>109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8" ht="18.75" customHeight="1" x14ac:dyDescent="0.3">
      <c r="A64" s="210" t="s">
        <v>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0" t="s">
        <v>110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0" t="s">
        <v>111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0" t="s">
        <v>32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4"/>
  <sheetViews>
    <sheetView showGridLines="0" view="pageBreakPreview" zoomScale="60" zoomScaleNormal="60" workbookViewId="0">
      <pane xSplit="29" topLeftCell="AD1" activePane="topRight" state="frozen"/>
      <selection pane="topRight" activeCell="AP37" sqref="AP37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29" width="13.375" style="203" hidden="1" customWidth="1"/>
    <col min="30" max="33" width="13.375" style="203" bestFit="1" customWidth="1"/>
    <col min="34" max="36" width="14.625" style="203" customWidth="1"/>
    <col min="37" max="37" width="15.625" style="203" bestFit="1" customWidth="1"/>
    <col min="38" max="16384" width="9" style="203"/>
  </cols>
  <sheetData>
    <row r="1" spans="1:37" s="205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7" s="173" customFormat="1" ht="27.75" customHeight="1" x14ac:dyDescent="0.3">
      <c r="B2" s="206"/>
      <c r="C2" s="139"/>
      <c r="D2" s="139"/>
      <c r="E2" s="139"/>
      <c r="F2" s="139"/>
    </row>
    <row r="3" spans="1:37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</row>
    <row r="4" spans="1:37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112</v>
      </c>
      <c r="AE4" s="15" t="s">
        <v>113</v>
      </c>
      <c r="AF4" s="15" t="s">
        <v>114</v>
      </c>
      <c r="AG4" s="15" t="s">
        <v>115</v>
      </c>
      <c r="AH4" s="143" t="s">
        <v>94</v>
      </c>
      <c r="AI4" s="143" t="s">
        <v>100</v>
      </c>
      <c r="AJ4" s="143" t="s">
        <v>117</v>
      </c>
      <c r="AK4" s="143" t="s">
        <v>118</v>
      </c>
    </row>
    <row r="5" spans="1:37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  <c r="AK5" s="146">
        <f>SUM(AK7:AK9)</f>
        <v>19397.464</v>
      </c>
    </row>
    <row r="6" spans="1:37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</row>
    <row r="7" spans="1:37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  <c r="AK7" s="148">
        <v>4630.2849999999999</v>
      </c>
    </row>
    <row r="8" spans="1:37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  <c r="AK8" s="148">
        <v>14261.509</v>
      </c>
    </row>
    <row r="9" spans="1:37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  <c r="AK9" s="150">
        <v>505.67</v>
      </c>
    </row>
    <row r="10" spans="1:37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</row>
    <row r="11" spans="1:37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  <c r="AK11"/>
    </row>
    <row r="12" spans="1:37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112</v>
      </c>
      <c r="AE12" s="15" t="s">
        <v>113</v>
      </c>
      <c r="AF12" s="15" t="s">
        <v>114</v>
      </c>
      <c r="AG12" s="15" t="s">
        <v>115</v>
      </c>
      <c r="AH12" s="143" t="s">
        <v>94</v>
      </c>
      <c r="AI12" s="143" t="s">
        <v>100</v>
      </c>
      <c r="AJ12" s="143" t="s">
        <v>117</v>
      </c>
      <c r="AK12" s="143" t="s">
        <v>118</v>
      </c>
    </row>
    <row r="13" spans="1:37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  <c r="AK13" s="154">
        <v>18891.794000000002</v>
      </c>
    </row>
    <row r="14" spans="1:37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  <c r="AK14" s="156">
        <v>1243.9079999999999</v>
      </c>
    </row>
    <row r="15" spans="1:37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  <c r="AK15" s="157">
        <v>1030.0830000000001</v>
      </c>
    </row>
    <row r="16" spans="1:37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</row>
    <row r="17" spans="1:37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 t="shared" ref="AG17" si="1">AG13-AF13</f>
        <v>237.42799999999988</v>
      </c>
      <c r="AH17" s="161">
        <f t="shared" ref="AH17" si="2">AH13-AG13</f>
        <v>141.77200000000084</v>
      </c>
      <c r="AI17" s="161">
        <f t="shared" ref="AI17" si="3">AI13-AH13</f>
        <v>197.95899999999892</v>
      </c>
      <c r="AJ17" s="161">
        <f t="shared" ref="AJ17:AK17" si="4">AJ13-AI13</f>
        <v>300.21600000000035</v>
      </c>
      <c r="AK17" s="161">
        <f t="shared" si="4"/>
        <v>213.84700000000157</v>
      </c>
    </row>
    <row r="18" spans="1:37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</row>
    <row r="19" spans="1:37" s="173" customFormat="1" ht="23.25" customHeight="1" x14ac:dyDescent="0.3">
      <c r="A19" s="162" t="s">
        <v>116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</row>
    <row r="20" spans="1:37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</row>
    <row r="21" spans="1:37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  <c r="AK21" s="164">
        <v>1.7999999999999999E-2</v>
      </c>
    </row>
    <row r="22" spans="1:37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</row>
    <row r="23" spans="1:37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</row>
    <row r="24" spans="1:37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  <c r="AK24"/>
    </row>
    <row r="25" spans="1:37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112</v>
      </c>
      <c r="AE25" s="15" t="s">
        <v>113</v>
      </c>
      <c r="AF25" s="15" t="s">
        <v>114</v>
      </c>
      <c r="AG25" s="15" t="s">
        <v>115</v>
      </c>
      <c r="AH25" s="143" t="s">
        <v>94</v>
      </c>
      <c r="AI25" s="143" t="s">
        <v>100</v>
      </c>
      <c r="AJ25" s="143" t="s">
        <v>117</v>
      </c>
      <c r="AK25" s="143" t="s">
        <v>118</v>
      </c>
    </row>
    <row r="26" spans="1:37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</row>
    <row r="27" spans="1:37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</row>
    <row r="28" spans="1:37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</row>
    <row r="29" spans="1:37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</row>
    <row r="30" spans="1:37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</row>
    <row r="31" spans="1:37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</row>
    <row r="32" spans="1:37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</row>
    <row r="33" spans="1:37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</row>
    <row r="34" spans="1:37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</row>
    <row r="35" spans="1:37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</row>
    <row r="36" spans="1:37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</row>
    <row r="37" spans="1:37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</row>
    <row r="38" spans="1:37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34796</v>
      </c>
      <c r="AE38" s="192">
        <v>35357</v>
      </c>
      <c r="AF38" s="192">
        <v>35422</v>
      </c>
      <c r="AG38" s="192">
        <v>35656</v>
      </c>
      <c r="AH38" s="192">
        <v>35268</v>
      </c>
      <c r="AI38" s="192">
        <v>35656</v>
      </c>
      <c r="AJ38" s="192">
        <v>35721</v>
      </c>
      <c r="AK38" s="192">
        <v>35452</v>
      </c>
    </row>
    <row r="39" spans="1:37" s="201" customFormat="1" ht="31.5" customHeight="1" x14ac:dyDescent="0.3">
      <c r="A39" s="190" t="s">
        <v>92</v>
      </c>
      <c r="B39" s="177">
        <v>34815</v>
      </c>
      <c r="C39" s="177">
        <v>35954</v>
      </c>
      <c r="D39" s="177">
        <v>35637</v>
      </c>
      <c r="E39" s="177">
        <v>36249</v>
      </c>
      <c r="F39" s="177">
        <v>34669</v>
      </c>
      <c r="G39" s="177">
        <v>35353</v>
      </c>
      <c r="H39" s="177">
        <v>35975</v>
      </c>
      <c r="I39" s="177">
        <v>36349</v>
      </c>
      <c r="J39" s="177">
        <v>35961</v>
      </c>
      <c r="K39" s="177">
        <v>36806</v>
      </c>
      <c r="L39" s="177">
        <v>36515</v>
      </c>
      <c r="M39" s="177">
        <v>35024</v>
      </c>
      <c r="N39" s="177">
        <v>34261</v>
      </c>
      <c r="O39" s="177">
        <v>34295.915569567849</v>
      </c>
      <c r="P39" s="177">
        <v>33570</v>
      </c>
      <c r="Q39" s="177">
        <v>32768</v>
      </c>
      <c r="R39" s="177">
        <v>32590.611708079919</v>
      </c>
      <c r="S39" s="177">
        <v>32978.472394436438</v>
      </c>
      <c r="T39" s="177">
        <v>33540.649703014336</v>
      </c>
      <c r="U39" s="177">
        <v>32555</v>
      </c>
      <c r="V39" s="177">
        <v>34037</v>
      </c>
      <c r="W39" s="177">
        <v>34675.978646690426</v>
      </c>
      <c r="X39" s="191">
        <v>34574.446143792797</v>
      </c>
      <c r="Y39" s="191">
        <v>35610.65562422073</v>
      </c>
      <c r="Z39" s="191">
        <v>37221.628595224625</v>
      </c>
      <c r="AA39" s="192">
        <v>38194.012346138166</v>
      </c>
      <c r="AB39" s="192">
        <v>39760.152148726105</v>
      </c>
      <c r="AC39" s="192">
        <v>37715.124070874394</v>
      </c>
      <c r="AD39" s="192">
        <v>38106</v>
      </c>
      <c r="AE39" s="192">
        <v>38138</v>
      </c>
      <c r="AF39" s="192">
        <v>38467</v>
      </c>
      <c r="AG39" s="192">
        <v>38808</v>
      </c>
      <c r="AH39" s="192">
        <v>38382</v>
      </c>
      <c r="AI39" s="192">
        <v>38813</v>
      </c>
      <c r="AJ39" s="192">
        <v>38951</v>
      </c>
      <c r="AK39" s="192">
        <v>36852</v>
      </c>
    </row>
    <row r="40" spans="1:37" s="201" customFormat="1" ht="31.5" hidden="1" customHeight="1" x14ac:dyDescent="0.3">
      <c r="A40" s="190" t="s">
        <v>93</v>
      </c>
      <c r="B40" s="177">
        <v>35849</v>
      </c>
      <c r="C40" s="177">
        <v>36930</v>
      </c>
      <c r="D40" s="177">
        <v>36322</v>
      </c>
      <c r="E40" s="177">
        <v>36841</v>
      </c>
      <c r="F40" s="177">
        <v>35300</v>
      </c>
      <c r="G40" s="177">
        <v>36145</v>
      </c>
      <c r="H40" s="177">
        <v>36634</v>
      </c>
      <c r="I40" s="177">
        <v>36885</v>
      </c>
      <c r="J40" s="177">
        <v>36659</v>
      </c>
      <c r="K40" s="177">
        <v>37501</v>
      </c>
      <c r="L40" s="177">
        <v>37320.235787915335</v>
      </c>
      <c r="M40" s="177">
        <v>35673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</row>
    <row r="41" spans="1:37" s="173" customFormat="1" ht="9" customHeight="1" x14ac:dyDescent="0.3">
      <c r="A41" s="193"/>
      <c r="B41" s="194"/>
      <c r="C41" s="194"/>
      <c r="D41" s="194"/>
      <c r="E41" s="194"/>
      <c r="F41" s="194"/>
      <c r="G41" s="19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</row>
    <row r="42" spans="1:37" s="173" customFormat="1" ht="18" customHeight="1" x14ac:dyDescent="0.3">
      <c r="A42" s="196" t="s">
        <v>44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</row>
    <row r="43" spans="1:37" s="202" customFormat="1" ht="18.75" customHeight="1" x14ac:dyDescent="0.3">
      <c r="A43" s="196" t="s">
        <v>119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</row>
    <row r="44" spans="1:37" ht="18.75" customHeight="1" x14ac:dyDescent="0.3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</cp:lastModifiedBy>
  <dcterms:created xsi:type="dcterms:W3CDTF">2016-04-15T08:39:09Z</dcterms:created>
  <dcterms:modified xsi:type="dcterms:W3CDTF">2017-04-17T08:20:52Z</dcterms:modified>
</cp:coreProperties>
</file>