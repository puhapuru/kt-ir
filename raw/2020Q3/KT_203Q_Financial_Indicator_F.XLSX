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백업\신민희\2020년 IR\1. 실적분석\2020 3Q\2020 3Q - Financial Indicator\"/>
    </mc:Choice>
  </mc:AlternateContent>
  <bookViews>
    <workbookView xWindow="210" yWindow="285" windowWidth="14085" windowHeight="11835" tabRatio="726"/>
  </bookViews>
  <sheets>
    <sheet name="Separate" sheetId="1" r:id="rId1"/>
    <sheet name="Consolidated" sheetId="4" r:id="rId2"/>
  </sheets>
  <definedNames>
    <definedName name="_xlnm.Print_Area" localSheetId="0">Separate!$A$1:$Y$52</definedName>
  </definedNames>
  <calcPr calcId="152511"/>
</workbook>
</file>

<file path=xl/calcChain.xml><?xml version="1.0" encoding="utf-8"?>
<calcChain xmlns="http://schemas.openxmlformats.org/spreadsheetml/2006/main">
  <c r="L34" i="1" l="1"/>
  <c r="L33" i="1"/>
  <c r="L32" i="1"/>
  <c r="V31" i="1"/>
  <c r="Q31" i="1"/>
  <c r="L31" i="1"/>
  <c r="Y30" i="1"/>
  <c r="W30" i="1"/>
  <c r="V30" i="1"/>
  <c r="R30" i="1"/>
  <c r="Q30" i="1"/>
  <c r="L30" i="1"/>
  <c r="Y29" i="1"/>
  <c r="W29" i="1"/>
  <c r="U29" i="1"/>
  <c r="V29" i="1" s="1"/>
  <c r="N39" i="1" s="1"/>
  <c r="N40" i="1" s="1"/>
  <c r="Q29" i="1"/>
  <c r="R29" i="1" s="1"/>
  <c r="S29" i="1" s="1"/>
  <c r="T29" i="1" s="1"/>
  <c r="P29" i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X12" i="1"/>
  <c r="W12" i="1"/>
  <c r="U12" i="1"/>
  <c r="T12" i="1"/>
  <c r="S12" i="1"/>
  <c r="R12" i="1"/>
  <c r="Q11" i="1"/>
  <c r="L11" i="1"/>
  <c r="L12" i="1" s="1"/>
  <c r="Q10" i="1"/>
  <c r="L10" i="1"/>
  <c r="Q9" i="1"/>
  <c r="L9" i="1"/>
  <c r="L8" i="1"/>
  <c r="L7" i="1"/>
  <c r="Q6" i="1"/>
  <c r="L6" i="1"/>
  <c r="L25" i="4" l="1"/>
  <c r="G25" i="4" l="1"/>
</calcChain>
</file>

<file path=xl/sharedStrings.xml><?xml version="1.0" encoding="utf-8"?>
<sst xmlns="http://schemas.openxmlformats.org/spreadsheetml/2006/main" count="175" uniqueCount="122">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</sst>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7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tabSelected="1" view="pageBreakPreview" zoomScale="90" zoomScaleNormal="80" zoomScaleSheetLayoutView="90" workbookViewId="0">
      <selection activeCell="AD7" sqref="AD7"/>
    </sheetView>
  </sheetViews>
  <sheetFormatPr defaultColWidth="9" defaultRowHeight="16.5"/>
  <cols>
    <col min="1" max="1" width="3.75" style="1" customWidth="1"/>
    <col min="2" max="2" width="27" style="1" customWidth="1"/>
    <col min="3" max="12" width="10" style="1" hidden="1" customWidth="1"/>
    <col min="13" max="25" width="10" style="1" customWidth="1"/>
    <col min="26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46" t="s">
        <v>51</v>
      </c>
      <c r="S5" s="46" t="s">
        <v>53</v>
      </c>
      <c r="T5" s="46" t="s">
        <v>54</v>
      </c>
      <c r="U5" s="46" t="s">
        <v>56</v>
      </c>
      <c r="V5" s="46">
        <v>2019</v>
      </c>
      <c r="W5" s="46" t="s">
        <v>58</v>
      </c>
      <c r="X5" s="46" t="s">
        <v>59</v>
      </c>
      <c r="Y5" s="46" t="s">
        <v>32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38">
        <v>18204800</v>
      </c>
      <c r="W6" s="75">
        <v>4429.1000000000004</v>
      </c>
      <c r="X6" s="75">
        <v>4339.6000000000004</v>
      </c>
      <c r="Y6" s="75">
        <v>4520.5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3645418.7964079999</v>
      </c>
      <c r="S7" s="38">
        <v>3751257.227339</v>
      </c>
      <c r="T7" s="38">
        <v>3765903.784184</v>
      </c>
      <c r="U7" s="38">
        <v>3768450.1016199999</v>
      </c>
      <c r="V7" s="38">
        <v>14931029.909551</v>
      </c>
      <c r="W7" s="75">
        <v>3749</v>
      </c>
      <c r="X7" s="75">
        <v>3743.2</v>
      </c>
      <c r="Y7" s="75">
        <v>3805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688865.54724800005</v>
      </c>
      <c r="S8" s="38">
        <v>807271.03491499997</v>
      </c>
      <c r="T8" s="38">
        <v>939818.59591499995</v>
      </c>
      <c r="U8" s="38">
        <v>837766.16045800003</v>
      </c>
      <c r="V8" s="38">
        <v>3273721.3385359999</v>
      </c>
      <c r="W8" s="75">
        <v>680.1</v>
      </c>
      <c r="X8" s="75">
        <v>596.4</v>
      </c>
      <c r="Y8" s="75">
        <v>715.5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53900</v>
      </c>
      <c r="V9" s="38">
        <v>739200</v>
      </c>
      <c r="W9" s="75">
        <v>299.60000000000002</v>
      </c>
      <c r="X9" s="75">
        <v>252.7</v>
      </c>
      <c r="Y9" s="75">
        <v>206.8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-72900</v>
      </c>
      <c r="V10" s="39">
        <v>431800</v>
      </c>
      <c r="W10" s="76">
        <v>320</v>
      </c>
      <c r="X10" s="76">
        <v>165.8</v>
      </c>
      <c r="Y10" s="76">
        <v>163.19999999999999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872600</v>
      </c>
      <c r="V11" s="38">
        <v>3977800</v>
      </c>
      <c r="W11" s="75">
        <v>1113.5</v>
      </c>
      <c r="X11" s="75">
        <v>1063.3</v>
      </c>
      <c r="Y11" s="75">
        <v>1010</v>
      </c>
      <c r="Z11" s="19"/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0.18944031956927621</v>
      </c>
      <c r="V12" s="67">
        <v>0.219</v>
      </c>
      <c r="W12" s="56">
        <f>W11/W6</f>
        <v>0.25140547741076064</v>
      </c>
      <c r="X12" s="56">
        <f>X11/X6</f>
        <v>0.24502258272651853</v>
      </c>
      <c r="Y12" s="56">
        <v>0.223</v>
      </c>
    </row>
    <row r="13" spans="1:38">
      <c r="C13" s="19"/>
      <c r="D13" s="19"/>
      <c r="E13" s="19"/>
      <c r="F13" s="19"/>
      <c r="G13" s="19"/>
      <c r="H13" s="19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46" t="s">
        <v>51</v>
      </c>
      <c r="S14" s="46" t="s">
        <v>52</v>
      </c>
      <c r="T14" s="46" t="s">
        <v>54</v>
      </c>
      <c r="U14" s="46" t="s">
        <v>55</v>
      </c>
      <c r="V14" s="46">
        <v>2019</v>
      </c>
      <c r="W14" s="46" t="s">
        <v>74</v>
      </c>
      <c r="X14" s="46" t="s">
        <v>75</v>
      </c>
      <c r="Y14" s="46" t="s">
        <v>32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/>
      <c r="AA15"/>
      <c r="AB15"/>
      <c r="AC15"/>
      <c r="AD15"/>
      <c r="AE15"/>
      <c r="AF15"/>
      <c r="AG15" s="52"/>
      <c r="AH15" s="52"/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/>
      <c r="AA16"/>
      <c r="AB16"/>
      <c r="AC16"/>
      <c r="AD16"/>
      <c r="AE16"/>
      <c r="AF16"/>
      <c r="AG16" s="52"/>
      <c r="AH16" s="52"/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/>
      <c r="AA17"/>
      <c r="AB17"/>
      <c r="AC17"/>
      <c r="AD17"/>
      <c r="AE17"/>
      <c r="AF17"/>
      <c r="AG17" s="52"/>
      <c r="AH17" s="52"/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/>
      <c r="AA18"/>
      <c r="AB18"/>
      <c r="AC18"/>
      <c r="AD18"/>
      <c r="AE18"/>
      <c r="AF18"/>
      <c r="AG18" s="52"/>
      <c r="AH18" s="52"/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/>
      <c r="AA19"/>
      <c r="AB19"/>
      <c r="AC19"/>
      <c r="AD19"/>
      <c r="AE19"/>
      <c r="AF19"/>
      <c r="AG19" s="52"/>
      <c r="AH19" s="52"/>
      <c r="AI19" s="52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57">
        <v>818700</v>
      </c>
      <c r="V20" s="70">
        <f>SUM(R20:U20)</f>
        <v>3238600</v>
      </c>
      <c r="W20" s="40">
        <v>813900</v>
      </c>
      <c r="X20" s="40">
        <v>810600</v>
      </c>
      <c r="Y20" s="40">
        <v>803200</v>
      </c>
      <c r="Z20"/>
      <c r="AA20"/>
      <c r="AB20"/>
      <c r="AC20"/>
      <c r="AD20"/>
      <c r="AE20"/>
      <c r="AF20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46" t="s">
        <v>85</v>
      </c>
      <c r="S22" s="46" t="s">
        <v>52</v>
      </c>
      <c r="T22" s="46" t="s">
        <v>86</v>
      </c>
      <c r="U22" s="46" t="s">
        <v>55</v>
      </c>
      <c r="V22" s="46">
        <v>2019</v>
      </c>
      <c r="W22" s="46" t="s">
        <v>57</v>
      </c>
      <c r="X22" s="46" t="s">
        <v>59</v>
      </c>
      <c r="Y22" s="46" t="s">
        <v>32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1.4328600265012512</v>
      </c>
      <c r="W26" s="34"/>
      <c r="X26" s="34"/>
      <c r="Y26" s="34"/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46" t="s">
        <v>97</v>
      </c>
      <c r="S28" s="46" t="s">
        <v>52</v>
      </c>
      <c r="T28" s="46" t="s">
        <v>54</v>
      </c>
      <c r="U28" s="46" t="s">
        <v>55</v>
      </c>
      <c r="V28" s="46">
        <v>2019</v>
      </c>
      <c r="W28" s="46" t="s">
        <v>98</v>
      </c>
      <c r="X28" s="46" t="s">
        <v>99</v>
      </c>
      <c r="Y28" s="46" t="s">
        <v>100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</row>
    <row r="33" spans="1:25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</row>
    <row r="34" spans="1:25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</row>
    <row r="35" spans="1:25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</row>
    <row r="36" spans="1:25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67">
        <v>0.625</v>
      </c>
      <c r="W36" s="26"/>
      <c r="X36" s="26"/>
      <c r="Y36" s="26"/>
    </row>
    <row r="37" spans="1:25">
      <c r="G37" s="35"/>
      <c r="H37" s="29"/>
      <c r="W37" s="35"/>
      <c r="X37" s="35"/>
      <c r="Y37" s="35"/>
    </row>
    <row r="38" spans="1:25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L38" s="16">
        <v>2017</v>
      </c>
      <c r="M38" s="16">
        <v>2018</v>
      </c>
      <c r="N38" s="16">
        <v>2019</v>
      </c>
    </row>
    <row r="39" spans="1:25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J39" s="35"/>
      <c r="K39" s="29"/>
      <c r="L39" s="29">
        <v>1890.6245799849059</v>
      </c>
      <c r="M39" s="29">
        <v>2289.3590041007969</v>
      </c>
      <c r="N39" s="71">
        <f>V10*10^3/V29</f>
        <v>1760.7130602461125</v>
      </c>
      <c r="O39" s="61"/>
      <c r="P39" s="35"/>
      <c r="Q39" s="35"/>
      <c r="R39" s="35"/>
      <c r="S39" s="35"/>
      <c r="T39" s="62"/>
      <c r="U39" s="62"/>
      <c r="V39" s="62"/>
      <c r="W39" s="62"/>
      <c r="X39" s="62"/>
      <c r="Y39" s="62"/>
    </row>
    <row r="40" spans="1:25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J40" s="35"/>
      <c r="K40" s="35"/>
      <c r="L40" s="27">
        <v>16.000003554508694</v>
      </c>
      <c r="M40" s="27">
        <v>13.016743964848228</v>
      </c>
      <c r="N40" s="74">
        <f>U31/N39</f>
        <v>15.334696271421954</v>
      </c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J41" s="35"/>
      <c r="K41" s="35"/>
      <c r="L41" s="27">
        <v>3.2618213378384606</v>
      </c>
      <c r="M41" s="27">
        <v>3.2</v>
      </c>
      <c r="N41" s="74">
        <v>3.0975311154974303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25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J42" s="35"/>
      <c r="K42" s="35"/>
      <c r="L42" s="30">
        <v>4.1371344016020148E-2</v>
      </c>
      <c r="M42" s="30">
        <v>4.1955157385205874E-2</v>
      </c>
      <c r="N42" s="66">
        <v>3.4000000000000002E-2</v>
      </c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1:25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J43" s="35"/>
      <c r="K43" s="35"/>
      <c r="L43" s="26">
        <v>1.9288662825229497E-2</v>
      </c>
      <c r="M43" s="26">
        <v>2.0196930277131771E-2</v>
      </c>
      <c r="N43" s="67">
        <v>1.6E-2</v>
      </c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1:25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1:25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2:25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2:25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2:25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2:2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6"/>
  <sheetViews>
    <sheetView showGridLines="0" view="pageBreakPreview" zoomScaleNormal="80" zoomScaleSheetLayoutView="100" workbookViewId="0">
      <selection activeCell="P21" sqref="P21"/>
    </sheetView>
  </sheetViews>
  <sheetFormatPr defaultColWidth="9" defaultRowHeight="16.5"/>
  <cols>
    <col min="1" max="1" width="3.75" style="1" customWidth="1"/>
    <col min="2" max="2" width="38" style="1" customWidth="1"/>
    <col min="3" max="15" width="9.25" style="1" customWidth="1"/>
    <col min="16" max="16384" width="9" style="1"/>
  </cols>
  <sheetData>
    <row r="2" spans="1:15" ht="20.25">
      <c r="B2" s="10" t="s">
        <v>9</v>
      </c>
    </row>
    <row r="3" spans="1:15">
      <c r="B3" s="11" t="s">
        <v>12</v>
      </c>
    </row>
    <row r="4" spans="1:15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5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</row>
    <row r="6" spans="1:15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53">
        <v>5831700</v>
      </c>
      <c r="N6" s="53">
        <v>5876500</v>
      </c>
      <c r="O6" s="53">
        <v>6001200</v>
      </c>
    </row>
    <row r="7" spans="1:15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53">
        <v>5107000</v>
      </c>
      <c r="N7" s="53">
        <v>5196600</v>
      </c>
      <c r="O7" s="53">
        <v>5240000</v>
      </c>
    </row>
    <row r="8" spans="1:15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53">
        <v>724700</v>
      </c>
      <c r="N8" s="53">
        <v>679900</v>
      </c>
      <c r="O8" s="53">
        <v>761200</v>
      </c>
    </row>
    <row r="9" spans="1:15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148200</v>
      </c>
      <c r="L9" s="63">
        <v>1151000</v>
      </c>
      <c r="M9" s="53">
        <v>383100</v>
      </c>
      <c r="N9" s="53">
        <v>341800</v>
      </c>
      <c r="O9" s="53">
        <v>292400</v>
      </c>
    </row>
    <row r="10" spans="1:15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-6800</v>
      </c>
      <c r="L10" s="63">
        <v>669300</v>
      </c>
      <c r="M10" s="53">
        <v>226600</v>
      </c>
      <c r="N10" s="53">
        <v>207600</v>
      </c>
      <c r="O10" s="53">
        <v>230100</v>
      </c>
    </row>
    <row r="11" spans="1:15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24400</v>
      </c>
      <c r="L11" s="64">
        <v>619200</v>
      </c>
      <c r="M11" s="54">
        <v>208300</v>
      </c>
      <c r="N11" s="54">
        <v>176600</v>
      </c>
      <c r="O11" s="54">
        <v>203400</v>
      </c>
    </row>
    <row r="12" spans="1:15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1079300</v>
      </c>
      <c r="L12" s="65">
        <v>4790000</v>
      </c>
      <c r="M12" s="55">
        <v>1295800</v>
      </c>
      <c r="N12" s="55">
        <v>1252600</v>
      </c>
      <c r="O12" s="55">
        <v>1197100</v>
      </c>
    </row>
    <row r="13" spans="1:15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5" spans="1:15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</row>
    <row r="16" spans="1:15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2.4E-2</v>
      </c>
      <c r="L16" s="66">
        <v>4.7E-2</v>
      </c>
      <c r="M16" s="58">
        <v>6.6000000000000003E-2</v>
      </c>
      <c r="N16" s="58">
        <v>5.8000000000000003E-2</v>
      </c>
      <c r="O16" s="58">
        <v>4.9000000000000002E-2</v>
      </c>
    </row>
    <row r="17" spans="1:15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58">
        <v>0.222</v>
      </c>
      <c r="N17" s="58">
        <v>0.21299999999999999</v>
      </c>
      <c r="O17" s="58">
        <v>0.19900000000000001</v>
      </c>
    </row>
    <row r="18" spans="1:15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1.2410000000000001</v>
      </c>
      <c r="L18" s="67">
        <v>0.317</v>
      </c>
      <c r="M18" s="56">
        <v>0.38300000000000001</v>
      </c>
      <c r="N18" s="56">
        <v>0.32600000000000001</v>
      </c>
      <c r="O18" s="56">
        <v>0.26800000000000002</v>
      </c>
    </row>
    <row r="21" spans="1:15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</row>
    <row r="22" spans="1:15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53">
        <v>7286900</v>
      </c>
      <c r="N22" s="53">
        <v>7987600</v>
      </c>
      <c r="O22" s="53">
        <v>7850900</v>
      </c>
    </row>
    <row r="23" spans="1:15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54">
        <v>5659800</v>
      </c>
      <c r="N23" s="54">
        <v>5045400</v>
      </c>
      <c r="O23" s="54">
        <v>4860000</v>
      </c>
    </row>
    <row r="24" spans="1:15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58">
        <v>0.376</v>
      </c>
      <c r="N24" s="58">
        <v>0.32800000000000001</v>
      </c>
      <c r="O24" s="58">
        <v>0.31</v>
      </c>
    </row>
    <row r="25" spans="1:15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f>L23/L12</f>
        <v>1.0423799582463467</v>
      </c>
      <c r="M25" s="34"/>
      <c r="N25" s="34"/>
      <c r="O25" s="34"/>
    </row>
    <row r="26" spans="1:15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Separate</vt:lpstr>
      <vt:lpstr>Consolidated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신민희(IR1팀)</cp:lastModifiedBy>
  <cp:lastPrinted>2015-04-29T05:47:50Z</cp:lastPrinted>
  <dcterms:created xsi:type="dcterms:W3CDTF">2012-01-10T00:01:55Z</dcterms:created>
  <dcterms:modified xsi:type="dcterms:W3CDTF">2020-11-05T06:08:49Z</dcterms:modified>
</cp:coreProperties>
</file>