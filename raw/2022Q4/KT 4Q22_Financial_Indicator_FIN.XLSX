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4Q22 별도 연습\FS, FI\"/>
    </mc:Choice>
  </mc:AlternateContent>
  <bookViews>
    <workbookView xWindow="9588" yWindow="288" windowWidth="14088" windowHeight="11832" tabRatio="726"/>
  </bookViews>
  <sheets>
    <sheet name="Separate" sheetId="1" r:id="rId1"/>
    <sheet name="Consolidated" sheetId="4" r:id="rId2"/>
  </sheets>
  <definedNames>
    <definedName name="_xlnm.Print_Area" localSheetId="1">Consolidated!$A$1:$AA$25</definedName>
    <definedName name="_xlnm.Print_Area" localSheetId="0">Separate!$A$1:$AK$52</definedName>
  </definedNames>
  <calcPr calcId="162913"/>
</workbook>
</file>

<file path=xl/calcChain.xml><?xml version="1.0" encoding="utf-8"?>
<calcChain xmlns="http://schemas.openxmlformats.org/spreadsheetml/2006/main">
  <c r="Y40" i="1" l="1"/>
  <c r="X39" i="1"/>
  <c r="X40" i="1" l="1"/>
  <c r="AD29" i="1" l="1"/>
  <c r="AC29" i="1"/>
  <c r="AB29" i="1" l="1"/>
  <c r="AA31" i="1" l="1"/>
  <c r="AA30" i="1"/>
  <c r="AA29" i="1"/>
  <c r="AA25" i="1"/>
  <c r="AA24" i="1"/>
  <c r="AA23" i="1"/>
  <c r="W39" i="1" l="1"/>
  <c r="W40" i="1" s="1"/>
  <c r="L34" i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P29" i="1"/>
  <c r="Q29" i="1" s="1"/>
  <c r="R29" i="1" s="1"/>
  <c r="S29" i="1" s="1"/>
  <c r="T29" i="1" s="1"/>
  <c r="O29" i="1"/>
  <c r="N29" i="1"/>
  <c r="J39" i="1" s="1"/>
  <c r="J40" i="1" s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<sst xmlns="http://schemas.openxmlformats.org/spreadsheetml/2006/main" count="238" uniqueCount="138">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</sst>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9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43" fontId="2" fillId="0" borderId="0" xfId="0" applyNumberFormat="1" applyFont="1">
      <alignment vertical="center"/>
    </xf>
    <xf numFmtId="9" fontId="2" fillId="0" borderId="0" xfId="2" applyFont="1">
      <alignment vertical="center"/>
    </xf>
    <xf numFmtId="180" fontId="2" fillId="0" borderId="0" xfId="2" applyNumberFormat="1" applyFont="1">
      <alignment vertical="center"/>
    </xf>
    <xf numFmtId="41" fontId="2" fillId="3" borderId="0" xfId="1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52"/>
  <sheetViews>
    <sheetView showGridLines="0" tabSelected="1" view="pageBreakPreview" zoomScale="80" zoomScaleNormal="80" zoomScaleSheetLayoutView="80" workbookViewId="0">
      <selection activeCell="AO28" sqref="AO28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22" width="10" style="1" hidden="1" customWidth="1"/>
    <col min="23" max="24" width="10" style="1" customWidth="1"/>
    <col min="25" max="25" width="9.3984375" style="1" bestFit="1" customWidth="1"/>
    <col min="26" max="32" width="10" style="1" customWidth="1"/>
    <col min="33" max="35" width="11" style="1" customWidth="1"/>
    <col min="36" max="36" width="10.8984375" style="1" bestFit="1" customWidth="1"/>
    <col min="37" max="37" width="9.69921875" style="1" bestFit="1" customWidth="1"/>
    <col min="38" max="16384" width="9" style="1"/>
  </cols>
  <sheetData>
    <row r="2" spans="1:38" ht="21">
      <c r="B2" s="10" t="s">
        <v>33</v>
      </c>
    </row>
    <row r="3" spans="1:38">
      <c r="B3" s="11" t="s">
        <v>34</v>
      </c>
      <c r="C3" s="22"/>
      <c r="D3" s="22"/>
      <c r="E3" s="22"/>
      <c r="F3" s="22"/>
      <c r="G3" s="22"/>
    </row>
    <row r="4" spans="1:38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9" t="s">
        <v>40</v>
      </c>
      <c r="N4" s="51"/>
      <c r="O4" s="51"/>
      <c r="P4" s="51"/>
      <c r="Q4" s="51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38" ht="19.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43</v>
      </c>
      <c r="I5" s="46" t="s">
        <v>44</v>
      </c>
      <c r="J5" s="46" t="s">
        <v>45</v>
      </c>
      <c r="K5" s="46" t="s">
        <v>46</v>
      </c>
      <c r="L5" s="46">
        <v>2017</v>
      </c>
      <c r="M5" s="46" t="s">
        <v>47</v>
      </c>
      <c r="N5" s="46" t="s">
        <v>48</v>
      </c>
      <c r="O5" s="46" t="s">
        <v>49</v>
      </c>
      <c r="P5" s="46" t="s">
        <v>50</v>
      </c>
      <c r="Q5" s="46">
        <v>2018</v>
      </c>
      <c r="R5" s="78" t="s">
        <v>51</v>
      </c>
      <c r="S5" s="78" t="s">
        <v>53</v>
      </c>
      <c r="T5" s="78" t="s">
        <v>54</v>
      </c>
      <c r="U5" s="78" t="s">
        <v>56</v>
      </c>
      <c r="V5" s="78">
        <v>2019</v>
      </c>
      <c r="W5" s="78" t="s">
        <v>58</v>
      </c>
      <c r="X5" s="78" t="s">
        <v>59</v>
      </c>
      <c r="Y5" s="78" t="s">
        <v>32</v>
      </c>
      <c r="Z5" s="78" t="s">
        <v>122</v>
      </c>
      <c r="AA5" s="78">
        <v>2020</v>
      </c>
      <c r="AB5" s="78" t="s">
        <v>124</v>
      </c>
      <c r="AC5" s="78" t="s">
        <v>125</v>
      </c>
      <c r="AD5" s="78" t="s">
        <v>129</v>
      </c>
      <c r="AE5" s="78" t="s">
        <v>131</v>
      </c>
      <c r="AF5" s="78">
        <v>2021</v>
      </c>
      <c r="AG5" s="78" t="s">
        <v>132</v>
      </c>
      <c r="AH5" s="78" t="s">
        <v>133</v>
      </c>
      <c r="AI5" s="78" t="s">
        <v>135</v>
      </c>
      <c r="AJ5" s="78" t="s">
        <v>137</v>
      </c>
      <c r="AK5" s="78">
        <v>2022</v>
      </c>
    </row>
    <row r="6" spans="1:38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3">
        <v>18204700</v>
      </c>
      <c r="W6" s="75">
        <v>4429.1000000000004</v>
      </c>
      <c r="X6" s="75">
        <v>4339.6000000000004</v>
      </c>
      <c r="Y6" s="75">
        <v>4520.5</v>
      </c>
      <c r="Z6" s="75">
        <v>4590</v>
      </c>
      <c r="AA6" s="63">
        <v>17879208</v>
      </c>
      <c r="AB6" s="38">
        <v>4574452.9000000004</v>
      </c>
      <c r="AC6" s="38">
        <v>4478800.8</v>
      </c>
      <c r="AD6" s="38">
        <v>4664704.8349430002</v>
      </c>
      <c r="AE6" s="75">
        <v>4669.5</v>
      </c>
      <c r="AF6" s="63">
        <v>18387400</v>
      </c>
      <c r="AG6" s="81">
        <v>4608.3999999999996</v>
      </c>
      <c r="AH6" s="81">
        <v>4517.8</v>
      </c>
      <c r="AI6" s="81">
        <v>4590.2</v>
      </c>
      <c r="AJ6" s="81">
        <v>4572.8</v>
      </c>
      <c r="AK6" s="85">
        <v>18289.3</v>
      </c>
    </row>
    <row r="7" spans="1:38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3646500</v>
      </c>
      <c r="S7" s="38">
        <v>3754800</v>
      </c>
      <c r="T7" s="38">
        <v>3766800</v>
      </c>
      <c r="U7" s="38">
        <v>3769500</v>
      </c>
      <c r="V7" s="63">
        <v>14937700</v>
      </c>
      <c r="W7" s="27">
        <v>3750.1</v>
      </c>
      <c r="X7" s="27">
        <v>3743.4</v>
      </c>
      <c r="Y7" s="27">
        <v>3805.7</v>
      </c>
      <c r="Z7" s="27">
        <v>3787</v>
      </c>
      <c r="AA7" s="63">
        <v>15086200</v>
      </c>
      <c r="AB7" s="38">
        <v>3824000</v>
      </c>
      <c r="AC7" s="38">
        <v>3867300</v>
      </c>
      <c r="AD7" s="38">
        <v>3920100</v>
      </c>
      <c r="AE7" s="38">
        <v>3892700</v>
      </c>
      <c r="AF7" s="63">
        <v>15504100</v>
      </c>
      <c r="AG7" s="81">
        <v>3962.1</v>
      </c>
      <c r="AH7" s="81">
        <v>3937.3</v>
      </c>
      <c r="AI7" s="81">
        <v>3944.4</v>
      </c>
      <c r="AJ7" s="81">
        <v>3923.3</v>
      </c>
      <c r="AK7" s="85">
        <v>15767.2</v>
      </c>
    </row>
    <row r="8" spans="1:38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687800</v>
      </c>
      <c r="S8" s="38">
        <v>803700</v>
      </c>
      <c r="T8" s="38">
        <v>938900</v>
      </c>
      <c r="U8" s="38">
        <v>836700</v>
      </c>
      <c r="V8" s="63">
        <v>3267100</v>
      </c>
      <c r="W8" s="27">
        <v>679</v>
      </c>
      <c r="X8" s="27">
        <v>596.29999999999995</v>
      </c>
      <c r="Y8" s="27">
        <v>714.8</v>
      </c>
      <c r="Z8" s="27">
        <v>803</v>
      </c>
      <c r="AA8" s="63">
        <v>2793000</v>
      </c>
      <c r="AB8" s="38">
        <v>750400</v>
      </c>
      <c r="AC8" s="38">
        <v>611500</v>
      </c>
      <c r="AD8" s="38">
        <v>744600</v>
      </c>
      <c r="AE8" s="38">
        <v>776800</v>
      </c>
      <c r="AF8" s="63">
        <v>2883400</v>
      </c>
      <c r="AG8" s="81">
        <v>646.20000000000005</v>
      </c>
      <c r="AH8" s="81">
        <v>580.5</v>
      </c>
      <c r="AI8" s="81">
        <v>645.79999999999995</v>
      </c>
      <c r="AJ8" s="81">
        <v>649.5</v>
      </c>
      <c r="AK8" s="85">
        <v>2522.1</v>
      </c>
    </row>
    <row r="9" spans="1:38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3">
        <v>747722.67604399996</v>
      </c>
      <c r="W9" s="75">
        <v>301.39999999999998</v>
      </c>
      <c r="X9" s="75">
        <v>254.3</v>
      </c>
      <c r="Y9" s="75">
        <v>208.5</v>
      </c>
      <c r="Z9" s="75">
        <v>114</v>
      </c>
      <c r="AA9" s="63">
        <v>878186.6</v>
      </c>
      <c r="AB9" s="38">
        <v>365974.6</v>
      </c>
      <c r="AC9" s="38">
        <v>351189.3</v>
      </c>
      <c r="AD9" s="38">
        <v>259127.32789499999</v>
      </c>
      <c r="AE9" s="75">
        <v>92</v>
      </c>
      <c r="AF9" s="63">
        <v>1068100</v>
      </c>
      <c r="AG9" s="20">
        <v>429.9</v>
      </c>
      <c r="AH9" s="20">
        <v>303.5</v>
      </c>
      <c r="AI9" s="20">
        <v>323.60000000000002</v>
      </c>
      <c r="AJ9" s="20">
        <v>111.1</v>
      </c>
      <c r="AK9" s="85">
        <v>1168.0999999999999</v>
      </c>
    </row>
    <row r="10" spans="1:38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4">
        <v>428422.73148700001</v>
      </c>
      <c r="W10" s="76">
        <v>320.60000000000002</v>
      </c>
      <c r="X10" s="76">
        <v>167.2</v>
      </c>
      <c r="Y10" s="76">
        <v>163</v>
      </c>
      <c r="Z10" s="76">
        <v>14.5</v>
      </c>
      <c r="AA10" s="64">
        <v>665500</v>
      </c>
      <c r="AB10" s="39">
        <v>334442.59999999998</v>
      </c>
      <c r="AC10" s="39">
        <v>296819.5</v>
      </c>
      <c r="AD10" s="39">
        <v>228693.39180099999</v>
      </c>
      <c r="AE10" s="76">
        <v>130.6</v>
      </c>
      <c r="AF10" s="64">
        <v>990500</v>
      </c>
      <c r="AG10" s="21">
        <v>390.96877686300002</v>
      </c>
      <c r="AH10" s="21">
        <v>24.4</v>
      </c>
      <c r="AI10" s="21">
        <v>240.3</v>
      </c>
      <c r="AJ10" s="21">
        <v>108.1</v>
      </c>
      <c r="AK10" s="86">
        <v>763.8</v>
      </c>
    </row>
    <row r="11" spans="1:38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3">
        <v>3976881.5632580002</v>
      </c>
      <c r="W11" s="75">
        <v>1114.9000000000001</v>
      </c>
      <c r="X11" s="75">
        <v>1065.4000000000001</v>
      </c>
      <c r="Y11" s="75">
        <v>1012.3</v>
      </c>
      <c r="Z11" s="75">
        <v>919.6</v>
      </c>
      <c r="AA11" s="63">
        <v>4112081.4</v>
      </c>
      <c r="AB11" s="38">
        <v>1173648.8999999999</v>
      </c>
      <c r="AC11" s="38">
        <v>1159383.7</v>
      </c>
      <c r="AD11" s="38">
        <v>1061082.123504</v>
      </c>
      <c r="AE11" s="75">
        <v>891.8</v>
      </c>
      <c r="AF11" s="63">
        <v>4285900</v>
      </c>
      <c r="AG11" s="75">
        <v>1217.1465895239999</v>
      </c>
      <c r="AH11" s="75">
        <v>1070.9000000000001</v>
      </c>
      <c r="AI11" s="75">
        <v>1096.5</v>
      </c>
      <c r="AJ11" s="75">
        <v>889.4</v>
      </c>
      <c r="AK11" s="85">
        <v>4273.8999999999996</v>
      </c>
    </row>
    <row r="12" spans="1:38" ht="18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0.1892470971783683</v>
      </c>
      <c r="V12" s="67">
        <v>0.21845356217119757</v>
      </c>
      <c r="W12" s="56">
        <v>0.252</v>
      </c>
      <c r="X12" s="56">
        <v>0.246</v>
      </c>
      <c r="Y12" s="56">
        <v>0.224</v>
      </c>
      <c r="Z12" s="56">
        <v>0.2</v>
      </c>
      <c r="AA12" s="67">
        <v>0.23</v>
      </c>
      <c r="AB12" s="26">
        <v>0.25700000000000001</v>
      </c>
      <c r="AC12" s="26">
        <v>0.25900000000000001</v>
      </c>
      <c r="AD12" s="26">
        <v>0.22747036759014305</v>
      </c>
      <c r="AE12" s="56">
        <v>0.191</v>
      </c>
      <c r="AF12" s="67">
        <v>0.23300000000000001</v>
      </c>
      <c r="AG12" s="56">
        <v>0.26411541205279909</v>
      </c>
      <c r="AH12" s="56">
        <v>0.23699999999999999</v>
      </c>
      <c r="AI12" s="56">
        <v>0.23899999999999999</v>
      </c>
      <c r="AJ12" s="56">
        <v>0.19500000000000001</v>
      </c>
      <c r="AK12" s="67">
        <v>0.23400000000000001</v>
      </c>
    </row>
    <row r="13" spans="1:38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K13" s="35"/>
    </row>
    <row r="14" spans="1:38" ht="19.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43</v>
      </c>
      <c r="I14" s="46" t="s">
        <v>69</v>
      </c>
      <c r="J14" s="46" t="s">
        <v>70</v>
      </c>
      <c r="K14" s="46" t="s">
        <v>46</v>
      </c>
      <c r="L14" s="46">
        <v>2017</v>
      </c>
      <c r="M14" s="46" t="s">
        <v>71</v>
      </c>
      <c r="N14" s="46" t="s">
        <v>72</v>
      </c>
      <c r="O14" s="46" t="s">
        <v>49</v>
      </c>
      <c r="P14" s="46" t="s">
        <v>73</v>
      </c>
      <c r="Q14" s="46">
        <v>2018</v>
      </c>
      <c r="R14" s="78" t="s">
        <v>51</v>
      </c>
      <c r="S14" s="78" t="s">
        <v>52</v>
      </c>
      <c r="T14" s="78" t="s">
        <v>54</v>
      </c>
      <c r="U14" s="78" t="s">
        <v>55</v>
      </c>
      <c r="V14" s="78">
        <v>2019</v>
      </c>
      <c r="W14" s="78" t="s">
        <v>74</v>
      </c>
      <c r="X14" s="78" t="s">
        <v>75</v>
      </c>
      <c r="Y14" s="78" t="s">
        <v>32</v>
      </c>
      <c r="Z14" s="78" t="s">
        <v>122</v>
      </c>
      <c r="AA14" s="78">
        <v>2020</v>
      </c>
      <c r="AB14" s="78" t="s">
        <v>124</v>
      </c>
      <c r="AC14" s="78" t="s">
        <v>125</v>
      </c>
      <c r="AD14" s="78" t="s">
        <v>129</v>
      </c>
      <c r="AE14" s="78" t="s">
        <v>131</v>
      </c>
      <c r="AF14" s="78">
        <v>2021</v>
      </c>
      <c r="AG14" s="78" t="s">
        <v>132</v>
      </c>
      <c r="AH14" s="78" t="s">
        <v>133</v>
      </c>
      <c r="AI14" s="78" t="s">
        <v>135</v>
      </c>
      <c r="AJ14" s="78" t="s">
        <v>137</v>
      </c>
      <c r="AK14" s="78">
        <v>2022</v>
      </c>
    </row>
    <row r="15" spans="1:38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 s="38">
        <v>816800</v>
      </c>
      <c r="Z15" s="38">
        <v>1087900</v>
      </c>
      <c r="AA15" s="63">
        <v>2872000</v>
      </c>
      <c r="AB15" s="38">
        <v>289400</v>
      </c>
      <c r="AC15" s="38">
        <v>574700</v>
      </c>
      <c r="AD15" s="38">
        <v>600700</v>
      </c>
      <c r="AE15" s="38">
        <v>1390300</v>
      </c>
      <c r="AF15" s="63">
        <v>2855100</v>
      </c>
      <c r="AG15" s="38">
        <v>346400</v>
      </c>
      <c r="AH15" s="38">
        <v>1055800</v>
      </c>
      <c r="AI15" s="38">
        <v>461800</v>
      </c>
      <c r="AJ15" s="38">
        <v>856600</v>
      </c>
      <c r="AK15" s="63">
        <v>2720600</v>
      </c>
      <c r="AL15" s="52"/>
    </row>
    <row r="16" spans="1:38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 s="38">
        <v>489600</v>
      </c>
      <c r="Z16" s="38">
        <v>578700</v>
      </c>
      <c r="AA16" s="63">
        <v>1592600</v>
      </c>
      <c r="AB16" s="38">
        <v>149700</v>
      </c>
      <c r="AC16" s="38">
        <v>292700</v>
      </c>
      <c r="AD16" s="38">
        <v>288100</v>
      </c>
      <c r="AE16" s="38">
        <v>505700</v>
      </c>
      <c r="AF16" s="63">
        <v>1236200</v>
      </c>
      <c r="AG16" s="38">
        <v>188700</v>
      </c>
      <c r="AH16" s="38">
        <v>512500</v>
      </c>
      <c r="AI16" s="38"/>
      <c r="AJ16" s="38"/>
      <c r="AK16" s="63"/>
      <c r="AL16" s="52"/>
    </row>
    <row r="17" spans="1:39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 s="38">
        <v>125600</v>
      </c>
      <c r="Z17" s="38">
        <v>284900</v>
      </c>
      <c r="AA17" s="63">
        <v>531800</v>
      </c>
      <c r="AB17" s="38">
        <v>34200</v>
      </c>
      <c r="AC17" s="38">
        <v>88300</v>
      </c>
      <c r="AD17" s="38">
        <v>105800</v>
      </c>
      <c r="AE17" s="38">
        <v>495300</v>
      </c>
      <c r="AF17" s="63">
        <v>723600</v>
      </c>
      <c r="AG17" s="38">
        <v>43700</v>
      </c>
      <c r="AH17" s="38">
        <v>303200</v>
      </c>
      <c r="AI17" s="38"/>
      <c r="AJ17" s="38"/>
      <c r="AK17" s="63"/>
      <c r="AL17" s="52"/>
    </row>
    <row r="18" spans="1:39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 s="38">
        <v>111900</v>
      </c>
      <c r="Z18" s="38">
        <v>97200</v>
      </c>
      <c r="AA18" s="63">
        <v>418700</v>
      </c>
      <c r="AB18" s="38">
        <v>61100</v>
      </c>
      <c r="AC18" s="38">
        <v>68000</v>
      </c>
      <c r="AD18" s="38">
        <v>88800</v>
      </c>
      <c r="AE18" s="38">
        <v>216000</v>
      </c>
      <c r="AF18" s="63">
        <v>433900</v>
      </c>
      <c r="AG18" s="38">
        <v>50600</v>
      </c>
      <c r="AH18" s="38">
        <v>121100</v>
      </c>
      <c r="AI18" s="38"/>
      <c r="AJ18" s="38"/>
      <c r="AK18" s="63"/>
      <c r="AL18" s="52"/>
    </row>
    <row r="19" spans="1:39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 s="39">
        <v>89700</v>
      </c>
      <c r="Z19" s="39">
        <v>127100</v>
      </c>
      <c r="AA19" s="64">
        <v>328900</v>
      </c>
      <c r="AB19" s="39">
        <v>44400</v>
      </c>
      <c r="AC19" s="39">
        <v>125700</v>
      </c>
      <c r="AD19" s="39">
        <v>118000</v>
      </c>
      <c r="AE19" s="39">
        <v>173300</v>
      </c>
      <c r="AF19" s="64">
        <v>461400</v>
      </c>
      <c r="AG19" s="39">
        <v>63400</v>
      </c>
      <c r="AH19" s="39">
        <v>119000</v>
      </c>
      <c r="AI19" s="39"/>
      <c r="AJ19" s="39"/>
      <c r="AK19" s="64"/>
      <c r="AL19" s="52"/>
    </row>
    <row r="20" spans="1:39" ht="18" thickBot="1">
      <c r="B20" s="9" t="s">
        <v>81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40">
        <v>809298.00541300001</v>
      </c>
      <c r="V20" s="70">
        <f>SUM(R20:U20)</f>
        <v>3229198.005413</v>
      </c>
      <c r="W20" s="40">
        <v>813526.6</v>
      </c>
      <c r="X20" s="40">
        <v>811059.7</v>
      </c>
      <c r="Y20" s="40">
        <v>803746.7</v>
      </c>
      <c r="Z20" s="40">
        <v>805544.7</v>
      </c>
      <c r="AA20" s="70">
        <v>3233877.7</v>
      </c>
      <c r="AB20" s="40">
        <v>807674.3</v>
      </c>
      <c r="AC20" s="40">
        <v>808194.4</v>
      </c>
      <c r="AD20" s="40">
        <v>801954.79560900002</v>
      </c>
      <c r="AE20" s="40">
        <v>799800</v>
      </c>
      <c r="AF20" s="70">
        <v>3217700</v>
      </c>
      <c r="AG20" s="40">
        <v>787300</v>
      </c>
      <c r="AH20" s="40">
        <v>767400</v>
      </c>
      <c r="AI20" s="40">
        <v>772900</v>
      </c>
      <c r="AJ20" s="40">
        <v>778300</v>
      </c>
      <c r="AK20" s="70">
        <v>3105800</v>
      </c>
    </row>
    <row r="21" spans="1:39"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K21" s="35"/>
    </row>
    <row r="22" spans="1:39" ht="19.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43</v>
      </c>
      <c r="I22" s="46" t="s">
        <v>44</v>
      </c>
      <c r="J22" s="46" t="s">
        <v>70</v>
      </c>
      <c r="K22" s="46" t="s">
        <v>46</v>
      </c>
      <c r="L22" s="46">
        <v>2017</v>
      </c>
      <c r="M22" s="46" t="s">
        <v>47</v>
      </c>
      <c r="N22" s="46" t="s">
        <v>72</v>
      </c>
      <c r="O22" s="46" t="s">
        <v>84</v>
      </c>
      <c r="P22" s="46" t="s">
        <v>50</v>
      </c>
      <c r="Q22" s="46">
        <v>2018</v>
      </c>
      <c r="R22" s="78" t="s">
        <v>85</v>
      </c>
      <c r="S22" s="78" t="s">
        <v>52</v>
      </c>
      <c r="T22" s="78" t="s">
        <v>86</v>
      </c>
      <c r="U22" s="78" t="s">
        <v>55</v>
      </c>
      <c r="V22" s="78">
        <v>2019</v>
      </c>
      <c r="W22" s="78" t="s">
        <v>57</v>
      </c>
      <c r="X22" s="78" t="s">
        <v>59</v>
      </c>
      <c r="Y22" s="78" t="s">
        <v>32</v>
      </c>
      <c r="Z22" s="78" t="s">
        <v>122</v>
      </c>
      <c r="AA22" s="78">
        <v>2020</v>
      </c>
      <c r="AB22" s="78" t="s">
        <v>124</v>
      </c>
      <c r="AC22" s="78" t="s">
        <v>125</v>
      </c>
      <c r="AD22" s="78" t="s">
        <v>129</v>
      </c>
      <c r="AE22" s="78" t="s">
        <v>131</v>
      </c>
      <c r="AF22" s="78">
        <v>2021</v>
      </c>
      <c r="AG22" s="78" t="s">
        <v>132</v>
      </c>
      <c r="AH22" s="78" t="s">
        <v>133</v>
      </c>
      <c r="AI22" s="78" t="s">
        <v>135</v>
      </c>
      <c r="AJ22" s="78" t="s">
        <v>137</v>
      </c>
      <c r="AK22" s="78">
        <v>2022</v>
      </c>
    </row>
    <row r="23" spans="1:39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  <c r="Y23" s="38">
        <v>7462100</v>
      </c>
      <c r="Z23" s="38">
        <v>6945768.2000000002</v>
      </c>
      <c r="AA23" s="63">
        <f>Z23</f>
        <v>6945768.2000000002</v>
      </c>
      <c r="AB23" s="38">
        <v>7177569.4000000004</v>
      </c>
      <c r="AC23" s="38">
        <v>7089376.9000000004</v>
      </c>
      <c r="AD23" s="38">
        <v>7143123.2330109999</v>
      </c>
      <c r="AE23" s="38">
        <v>6949700</v>
      </c>
      <c r="AF23" s="63">
        <v>6949700</v>
      </c>
      <c r="AG23" s="38">
        <v>7275200</v>
      </c>
      <c r="AH23" s="38">
        <v>8038700</v>
      </c>
      <c r="AI23" s="38">
        <v>8208700</v>
      </c>
      <c r="AJ23" s="38">
        <v>7495700</v>
      </c>
      <c r="AK23" s="63">
        <v>7495700</v>
      </c>
    </row>
    <row r="24" spans="1:39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  <c r="Y24" s="39">
        <v>5550600</v>
      </c>
      <c r="Z24" s="39">
        <v>5404558.4000000004</v>
      </c>
      <c r="AA24" s="64">
        <f>Z24</f>
        <v>5404558.4000000004</v>
      </c>
      <c r="AB24" s="39">
        <v>5613203.4000000004</v>
      </c>
      <c r="AC24" s="39">
        <v>5162722.2</v>
      </c>
      <c r="AD24" s="39">
        <v>5313672.7414610004</v>
      </c>
      <c r="AE24" s="39">
        <v>5240900</v>
      </c>
      <c r="AF24" s="64">
        <v>5240900</v>
      </c>
      <c r="AG24" s="39">
        <v>5779200</v>
      </c>
      <c r="AH24" s="39">
        <v>6446300</v>
      </c>
      <c r="AI24" s="39">
        <v>6563600</v>
      </c>
      <c r="AJ24" s="39">
        <v>6529400</v>
      </c>
      <c r="AK24" s="64">
        <v>6529400</v>
      </c>
    </row>
    <row r="25" spans="1:39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0.40899999999999997</v>
      </c>
      <c r="AA25" s="66">
        <f>Z25</f>
        <v>0.40899999999999997</v>
      </c>
      <c r="AB25" s="30">
        <v>0.43099999999999999</v>
      </c>
      <c r="AC25" s="30">
        <v>0.38700000000000001</v>
      </c>
      <c r="AD25" s="30">
        <v>0.39096218632545254</v>
      </c>
      <c r="AE25" s="30">
        <v>0.378</v>
      </c>
      <c r="AF25" s="66">
        <v>0.378</v>
      </c>
      <c r="AG25" s="30">
        <v>0.41899999999999998</v>
      </c>
      <c r="AH25" s="30">
        <v>0.46800000000000003</v>
      </c>
      <c r="AI25" s="30">
        <v>0.44800000000000001</v>
      </c>
      <c r="AJ25" s="30">
        <v>0.439</v>
      </c>
      <c r="AK25" s="66">
        <v>0.439</v>
      </c>
    </row>
    <row r="26" spans="1:39" ht="18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1.4331941677434947</v>
      </c>
      <c r="W26" s="34"/>
      <c r="X26" s="34"/>
      <c r="Y26" s="34"/>
      <c r="Z26" s="34"/>
      <c r="AA26" s="68">
        <v>1.3</v>
      </c>
      <c r="AB26" s="34"/>
      <c r="AC26" s="34"/>
      <c r="AD26" s="34"/>
      <c r="AE26" s="34"/>
      <c r="AF26" s="68">
        <v>1.2228288302647552</v>
      </c>
      <c r="AG26" s="34"/>
      <c r="AH26" s="34"/>
      <c r="AI26" s="34"/>
      <c r="AJ26" s="34"/>
      <c r="AK26" s="68">
        <v>1.5</v>
      </c>
    </row>
    <row r="27" spans="1:39">
      <c r="B27" s="50">
        <v>261111.80799999999</v>
      </c>
      <c r="D27" s="32"/>
      <c r="E27" s="32"/>
      <c r="F27" s="32"/>
      <c r="G27" s="41"/>
      <c r="H27" s="41"/>
    </row>
    <row r="28" spans="1:39" ht="19.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93</v>
      </c>
      <c r="I28" s="46" t="s">
        <v>44</v>
      </c>
      <c r="J28" s="46" t="s">
        <v>94</v>
      </c>
      <c r="K28" s="46" t="s">
        <v>95</v>
      </c>
      <c r="L28" s="46">
        <v>2017</v>
      </c>
      <c r="M28" s="46" t="s">
        <v>96</v>
      </c>
      <c r="N28" s="46" t="s">
        <v>72</v>
      </c>
      <c r="O28" s="46" t="s">
        <v>84</v>
      </c>
      <c r="P28" s="46" t="s">
        <v>50</v>
      </c>
      <c r="Q28" s="46">
        <v>2018</v>
      </c>
      <c r="R28" s="78" t="s">
        <v>97</v>
      </c>
      <c r="S28" s="78" t="s">
        <v>52</v>
      </c>
      <c r="T28" s="78" t="s">
        <v>54</v>
      </c>
      <c r="U28" s="78" t="s">
        <v>55</v>
      </c>
      <c r="V28" s="78">
        <v>2019</v>
      </c>
      <c r="W28" s="78" t="s">
        <v>98</v>
      </c>
      <c r="X28" s="78" t="s">
        <v>99</v>
      </c>
      <c r="Y28" s="78" t="s">
        <v>100</v>
      </c>
      <c r="Z28" s="78" t="s">
        <v>123</v>
      </c>
      <c r="AA28" s="78">
        <v>2020</v>
      </c>
      <c r="AB28" s="78" t="s">
        <v>124</v>
      </c>
      <c r="AC28" s="78" t="s">
        <v>125</v>
      </c>
      <c r="AD28" s="78" t="s">
        <v>129</v>
      </c>
      <c r="AE28" s="78" t="s">
        <v>131</v>
      </c>
      <c r="AF28" s="78">
        <v>2021</v>
      </c>
      <c r="AG28" s="78" t="s">
        <v>132</v>
      </c>
      <c r="AH28" s="78" t="s">
        <v>133</v>
      </c>
      <c r="AI28" s="78" t="s">
        <v>135</v>
      </c>
      <c r="AJ28" s="78" t="s">
        <v>137</v>
      </c>
      <c r="AK28" s="78">
        <v>2022</v>
      </c>
    </row>
    <row r="29" spans="1:39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77">
        <f>B27-U30</f>
        <v>245241.55</v>
      </c>
      <c r="V29" s="71">
        <f>U29</f>
        <v>245241.55</v>
      </c>
      <c r="W29" s="29">
        <f>U29</f>
        <v>245241.55</v>
      </c>
      <c r="X29" s="29">
        <v>245245.3</v>
      </c>
      <c r="Y29" s="29">
        <f>X29+126.699</f>
        <v>245371.99899999998</v>
      </c>
      <c r="Z29" s="29">
        <v>241842.1</v>
      </c>
      <c r="AA29" s="71">
        <f>Z29</f>
        <v>241842.1</v>
      </c>
      <c r="AB29" s="29">
        <f>261111.808-AB30</f>
        <v>234241.24400000001</v>
      </c>
      <c r="AC29" s="29">
        <f>261111.808-AC30</f>
        <v>234241.20799999998</v>
      </c>
      <c r="AD29" s="29">
        <f>261111.808-AD30</f>
        <v>234375.80799999999</v>
      </c>
      <c r="AE29" s="29">
        <v>235808.1</v>
      </c>
      <c r="AF29" s="71">
        <v>235808.1</v>
      </c>
      <c r="AG29" s="84">
        <v>235808.1</v>
      </c>
      <c r="AH29" s="84">
        <v>235937.1</v>
      </c>
      <c r="AI29" s="84">
        <v>256042.7</v>
      </c>
      <c r="AJ29" s="84">
        <v>256042.7</v>
      </c>
      <c r="AK29" s="71">
        <v>256042.7</v>
      </c>
      <c r="AM29" s="89"/>
    </row>
    <row r="30" spans="1:39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v>15866.5</v>
      </c>
      <c r="Y30" s="29">
        <f>X30-126.699</f>
        <v>15739.800999999999</v>
      </c>
      <c r="Z30" s="29">
        <v>19269.7</v>
      </c>
      <c r="AA30" s="71">
        <f>Z30</f>
        <v>19269.7</v>
      </c>
      <c r="AB30" s="29">
        <v>26870.563999999998</v>
      </c>
      <c r="AC30" s="29">
        <v>26870.6</v>
      </c>
      <c r="AD30" s="29">
        <v>26736</v>
      </c>
      <c r="AE30" s="29">
        <v>25303.7</v>
      </c>
      <c r="AF30" s="71">
        <v>25303.7</v>
      </c>
      <c r="AG30" s="84">
        <v>25303.7</v>
      </c>
      <c r="AH30" s="84">
        <v>25174.7</v>
      </c>
      <c r="AI30" s="84">
        <v>5069.1000000000004</v>
      </c>
      <c r="AJ30" s="84">
        <v>5069.1000000000004</v>
      </c>
      <c r="AK30" s="71">
        <v>5069.1000000000004</v>
      </c>
    </row>
    <row r="31" spans="1:39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  <c r="Y31" s="42">
        <v>22950</v>
      </c>
      <c r="Z31" s="42">
        <v>24000</v>
      </c>
      <c r="AA31" s="72">
        <f>Z31</f>
        <v>24000</v>
      </c>
      <c r="AB31" s="42">
        <v>28250</v>
      </c>
      <c r="AC31" s="42">
        <v>31800</v>
      </c>
      <c r="AD31" s="42">
        <v>32600</v>
      </c>
      <c r="AE31" s="42">
        <v>30600</v>
      </c>
      <c r="AF31" s="72">
        <v>30600</v>
      </c>
      <c r="AG31" s="60">
        <v>35700</v>
      </c>
      <c r="AH31" s="60">
        <v>36450</v>
      </c>
      <c r="AI31" s="60">
        <v>36200</v>
      </c>
      <c r="AJ31" s="60">
        <v>33800</v>
      </c>
      <c r="AK31" s="72">
        <v>33800</v>
      </c>
    </row>
    <row r="32" spans="1:39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  <c r="Y32" s="29"/>
      <c r="Z32" s="29"/>
      <c r="AA32" s="71">
        <v>1350</v>
      </c>
      <c r="AB32" s="29"/>
      <c r="AC32" s="29"/>
      <c r="AD32" s="29"/>
      <c r="AE32" s="29"/>
      <c r="AF32" s="71">
        <v>1910</v>
      </c>
      <c r="AG32" s="29"/>
      <c r="AH32" s="29"/>
      <c r="AI32" s="29"/>
      <c r="AJ32" s="29"/>
      <c r="AK32" s="71">
        <v>1960</v>
      </c>
    </row>
    <row r="33" spans="1:37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  <c r="Y33" s="43"/>
      <c r="Z33" s="43"/>
      <c r="AA33" s="73">
        <v>326.5</v>
      </c>
      <c r="AB33" s="43"/>
      <c r="AC33" s="43"/>
      <c r="AD33" s="43"/>
      <c r="AE33" s="43"/>
      <c r="AF33" s="73">
        <v>450.4</v>
      </c>
      <c r="AG33" s="43"/>
      <c r="AH33" s="43"/>
      <c r="AI33" s="43"/>
      <c r="AJ33" s="43"/>
      <c r="AK33" s="73">
        <v>501.8</v>
      </c>
    </row>
    <row r="34" spans="1:37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  <c r="Y34" s="27"/>
      <c r="Z34" s="27"/>
      <c r="AA34" s="74">
        <v>326.5</v>
      </c>
      <c r="AB34" s="27"/>
      <c r="AC34" s="27"/>
      <c r="AD34" s="27"/>
      <c r="AE34" s="27"/>
      <c r="AF34" s="74">
        <v>450.4</v>
      </c>
      <c r="AG34" s="27"/>
      <c r="AH34" s="27"/>
      <c r="AI34" s="27"/>
      <c r="AJ34" s="27"/>
      <c r="AK34" s="74">
        <v>501.8</v>
      </c>
    </row>
    <row r="35" spans="1:37">
      <c r="B35" s="6" t="s">
        <v>107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  <c r="Y35" s="42"/>
      <c r="Z35" s="42"/>
      <c r="AA35" s="72"/>
      <c r="AB35" s="42"/>
      <c r="AC35" s="42"/>
      <c r="AD35" s="42"/>
      <c r="AE35" s="42"/>
      <c r="AF35" s="72"/>
      <c r="AG35" s="42"/>
      <c r="AH35" s="42"/>
      <c r="AI35" s="42"/>
      <c r="AJ35" s="42"/>
      <c r="AK35" s="72"/>
    </row>
    <row r="36" spans="1:37" ht="18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79">
        <v>0.625</v>
      </c>
      <c r="W36" s="26"/>
      <c r="X36" s="26"/>
      <c r="Y36" s="26"/>
      <c r="Z36" s="26"/>
      <c r="AA36" s="79">
        <v>0.5</v>
      </c>
      <c r="AB36" s="80"/>
      <c r="AC36" s="80"/>
      <c r="AD36" s="80"/>
      <c r="AE36" s="26"/>
      <c r="AF36" s="79">
        <v>0.45</v>
      </c>
      <c r="AG36" s="26"/>
      <c r="AH36" s="26"/>
      <c r="AI36" s="26"/>
      <c r="AJ36" s="26"/>
      <c r="AK36" s="79">
        <v>0.65700000000000003</v>
      </c>
    </row>
    <row r="37" spans="1:37">
      <c r="G37" s="35"/>
      <c r="H37" s="29"/>
      <c r="W37" s="35"/>
      <c r="X37" s="35"/>
      <c r="Y37" s="35"/>
      <c r="Z37" s="35"/>
      <c r="AE37" s="35"/>
      <c r="AF37" s="88"/>
    </row>
    <row r="38" spans="1:37" ht="19.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J38" s="16">
        <v>2019</v>
      </c>
      <c r="W38" s="78">
        <v>2020</v>
      </c>
      <c r="X38" s="78">
        <v>2021</v>
      </c>
      <c r="Y38" s="78">
        <v>2022</v>
      </c>
      <c r="AH38" s="88"/>
    </row>
    <row r="39" spans="1:37">
      <c r="B39" s="48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29">
        <f>N10*10^3/N29</f>
        <v>856.4693482295836</v>
      </c>
      <c r="K39" s="29"/>
      <c r="O39" s="61"/>
      <c r="P39" s="35"/>
      <c r="Q39" s="35"/>
      <c r="R39" s="35"/>
      <c r="U39" s="62"/>
      <c r="W39" s="29">
        <f>AA10*10^3/AA29</f>
        <v>2751.7954897017516</v>
      </c>
      <c r="X39" s="59">
        <f>AF10*10^3/AF29</f>
        <v>4200.4494332467802</v>
      </c>
      <c r="Y39" s="90">
        <v>2983.1</v>
      </c>
      <c r="AF39" s="87"/>
    </row>
    <row r="40" spans="1:37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27">
        <f>M31/J39</f>
        <v>32.166942175979656</v>
      </c>
      <c r="K40" s="35"/>
      <c r="O40" s="35"/>
      <c r="P40" s="35"/>
      <c r="Q40" s="35"/>
      <c r="R40" s="35"/>
      <c r="U40" s="35"/>
      <c r="W40" s="27">
        <f>AA31/W39</f>
        <v>8.7215783621337337</v>
      </c>
      <c r="X40" s="75">
        <f>AF31/X39</f>
        <v>7.2849347400302875</v>
      </c>
      <c r="Y40" s="74">
        <f>AK31/Y39</f>
        <v>11.33049512252355</v>
      </c>
    </row>
    <row r="41" spans="1:37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27">
        <v>3.0975311154974303</v>
      </c>
      <c r="K41" s="35"/>
      <c r="O41" s="35"/>
      <c r="P41" s="35"/>
      <c r="Q41" s="35"/>
      <c r="R41" s="35"/>
      <c r="U41" s="35"/>
      <c r="V41" s="35"/>
      <c r="W41" s="27">
        <v>2.8</v>
      </c>
      <c r="X41" s="75">
        <v>3.1</v>
      </c>
      <c r="Y41" s="74">
        <v>3.6</v>
      </c>
      <c r="Z41" s="35"/>
      <c r="AA41" s="35"/>
      <c r="AB41" s="35"/>
      <c r="AC41" s="35"/>
      <c r="AD41" s="35"/>
      <c r="AE41" s="35"/>
      <c r="AF41" s="35"/>
    </row>
    <row r="42" spans="1:37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0">
        <v>3.4000000000000002E-2</v>
      </c>
      <c r="K42" s="35"/>
      <c r="O42" s="35"/>
      <c r="P42" s="35"/>
      <c r="Q42" s="35"/>
      <c r="R42" s="35"/>
      <c r="U42" s="35"/>
      <c r="W42" s="30">
        <v>5.0999999999999997E-2</v>
      </c>
      <c r="X42" s="58">
        <v>7.2999999999999995E-2</v>
      </c>
      <c r="Y42" s="66">
        <v>5.2999999999999999E-2</v>
      </c>
      <c r="Z42" s="61"/>
      <c r="AA42" s="35"/>
      <c r="AB42" s="35"/>
      <c r="AC42" s="35"/>
      <c r="AD42" s="35"/>
      <c r="AE42" s="35"/>
      <c r="AF42" s="35"/>
    </row>
    <row r="43" spans="1:37" ht="18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26">
        <v>1.6E-2</v>
      </c>
      <c r="K43" s="35"/>
      <c r="O43" s="35"/>
      <c r="P43" s="35"/>
      <c r="Q43" s="35"/>
      <c r="R43" s="35"/>
      <c r="U43" s="35"/>
      <c r="V43" s="35"/>
      <c r="W43" s="26">
        <v>2.4E-2</v>
      </c>
      <c r="X43" s="56">
        <v>3.5000000000000003E-2</v>
      </c>
      <c r="Y43" s="67">
        <v>2.5999999999999999E-2</v>
      </c>
      <c r="Z43" s="35"/>
      <c r="AA43" s="35"/>
      <c r="AB43" s="35"/>
      <c r="AC43" s="35"/>
      <c r="AD43" s="35"/>
      <c r="AE43" s="35"/>
      <c r="AF43" s="35"/>
    </row>
    <row r="44" spans="1:37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7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7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7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7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2:32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2:32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2:32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2:3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</sheetData>
  <phoneticPr fontId="1" type="noConversion"/>
  <pageMargins left="0.25" right="0.25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G26"/>
  <sheetViews>
    <sheetView showGridLines="0" view="pageBreakPreview" zoomScale="80" zoomScaleNormal="80" zoomScaleSheetLayoutView="80" workbookViewId="0">
      <selection activeCell="X29" sqref="X29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12" width="9.19921875" style="1" hidden="1" customWidth="1"/>
    <col min="13" max="22" width="9.19921875" style="1" customWidth="1"/>
    <col min="23" max="25" width="10.59765625" style="1" customWidth="1"/>
    <col min="26" max="27" width="9.59765625" style="1" customWidth="1"/>
    <col min="28" max="16384" width="9" style="1"/>
  </cols>
  <sheetData>
    <row r="2" spans="1:33" ht="21">
      <c r="B2" s="10" t="s">
        <v>9</v>
      </c>
    </row>
    <row r="3" spans="1:33">
      <c r="B3" s="11" t="s">
        <v>12</v>
      </c>
    </row>
    <row r="4" spans="1:33">
      <c r="B4" s="7"/>
      <c r="C4" s="69" t="s">
        <v>28</v>
      </c>
      <c r="D4" s="51"/>
      <c r="E4" s="51"/>
      <c r="F4" s="51"/>
      <c r="G4" s="51"/>
      <c r="H4" s="51"/>
      <c r="I4" s="51"/>
      <c r="J4" s="51"/>
      <c r="K4" s="51"/>
      <c r="L4" s="51"/>
      <c r="M4" s="51"/>
      <c r="R4" s="51"/>
    </row>
    <row r="5" spans="1:33" ht="19.8" thickBot="1">
      <c r="A5" s="3" t="s">
        <v>7</v>
      </c>
      <c r="B5" s="2" t="s">
        <v>0</v>
      </c>
      <c r="C5" s="46" t="s">
        <v>19</v>
      </c>
      <c r="D5" s="46" t="s">
        <v>20</v>
      </c>
      <c r="E5" s="46" t="s">
        <v>21</v>
      </c>
      <c r="F5" s="46" t="s">
        <v>22</v>
      </c>
      <c r="G5" s="46">
        <v>2018</v>
      </c>
      <c r="H5" s="46" t="s">
        <v>23</v>
      </c>
      <c r="I5" s="46" t="s">
        <v>24</v>
      </c>
      <c r="J5" s="46" t="s">
        <v>25</v>
      </c>
      <c r="K5" s="46" t="s">
        <v>27</v>
      </c>
      <c r="L5" s="46">
        <v>2019</v>
      </c>
      <c r="M5" s="46" t="s">
        <v>29</v>
      </c>
      <c r="N5" s="46" t="s">
        <v>31</v>
      </c>
      <c r="O5" s="46" t="s">
        <v>32</v>
      </c>
      <c r="P5" s="46" t="s">
        <v>122</v>
      </c>
      <c r="Q5" s="46">
        <v>2020</v>
      </c>
      <c r="R5" s="46" t="s">
        <v>124</v>
      </c>
      <c r="S5" s="46" t="s">
        <v>126</v>
      </c>
      <c r="T5" s="46" t="s">
        <v>130</v>
      </c>
      <c r="U5" s="46" t="s">
        <v>131</v>
      </c>
      <c r="V5" s="46">
        <v>2021</v>
      </c>
      <c r="W5" s="46" t="s">
        <v>132</v>
      </c>
      <c r="X5" s="46" t="s">
        <v>134</v>
      </c>
      <c r="Y5" s="46" t="s">
        <v>136</v>
      </c>
      <c r="Z5" s="46" t="s">
        <v>137</v>
      </c>
      <c r="AA5" s="46">
        <v>2022</v>
      </c>
    </row>
    <row r="6" spans="1:33">
      <c r="B6" s="8" t="s">
        <v>1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3">
        <v>23916700</v>
      </c>
      <c r="R6" s="53">
        <v>6029400</v>
      </c>
      <c r="S6" s="38">
        <v>6027600</v>
      </c>
      <c r="T6" s="38">
        <v>6217400</v>
      </c>
      <c r="U6" s="38">
        <v>6623600</v>
      </c>
      <c r="V6" s="63">
        <v>24898000</v>
      </c>
      <c r="W6" s="38">
        <v>6277700</v>
      </c>
      <c r="X6" s="38">
        <v>6312200</v>
      </c>
      <c r="Y6" s="38">
        <v>6477200</v>
      </c>
      <c r="Z6" s="38">
        <v>6583000</v>
      </c>
      <c r="AA6" s="63">
        <v>25650000</v>
      </c>
    </row>
    <row r="7" spans="1:33">
      <c r="B7" s="5" t="s">
        <v>2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3">
        <v>20846100</v>
      </c>
      <c r="R7" s="53">
        <v>5230400</v>
      </c>
      <c r="S7" s="38">
        <v>5336800</v>
      </c>
      <c r="T7" s="38">
        <v>5402400</v>
      </c>
      <c r="U7" s="38">
        <v>5758100</v>
      </c>
      <c r="V7" s="63">
        <v>21727500</v>
      </c>
      <c r="W7" s="38">
        <v>5565500</v>
      </c>
      <c r="X7" s="38">
        <v>5670500</v>
      </c>
      <c r="Y7" s="38">
        <v>5744800</v>
      </c>
      <c r="Z7" s="38">
        <v>5705000</v>
      </c>
      <c r="AA7" s="63">
        <v>22685800</v>
      </c>
    </row>
    <row r="8" spans="1:33">
      <c r="B8" s="5" t="s">
        <v>30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3">
        <v>3070500</v>
      </c>
      <c r="R8" s="53">
        <v>799100</v>
      </c>
      <c r="S8" s="38">
        <v>690900</v>
      </c>
      <c r="T8" s="38">
        <v>815000</v>
      </c>
      <c r="U8" s="38">
        <v>865500</v>
      </c>
      <c r="V8" s="63">
        <v>3170500</v>
      </c>
      <c r="W8" s="38">
        <v>712200</v>
      </c>
      <c r="X8" s="38">
        <v>641700</v>
      </c>
      <c r="Y8" s="38">
        <v>732400</v>
      </c>
      <c r="Z8" s="38">
        <v>878000</v>
      </c>
      <c r="AA8" s="63">
        <v>2964300</v>
      </c>
    </row>
    <row r="9" spans="1:33">
      <c r="B9" s="5" t="s">
        <v>3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156700</v>
      </c>
      <c r="L9" s="63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3">
        <v>1184100</v>
      </c>
      <c r="R9" s="53">
        <v>444200</v>
      </c>
      <c r="S9" s="38">
        <v>475800</v>
      </c>
      <c r="T9" s="38">
        <v>382400</v>
      </c>
      <c r="U9" s="38">
        <v>369400</v>
      </c>
      <c r="V9" s="63">
        <v>1671800</v>
      </c>
      <c r="W9" s="38">
        <v>626600</v>
      </c>
      <c r="X9" s="38">
        <v>459200</v>
      </c>
      <c r="Y9" s="38">
        <v>452900</v>
      </c>
      <c r="Z9" s="38">
        <v>151400</v>
      </c>
      <c r="AA9" s="63">
        <v>1690100</v>
      </c>
    </row>
    <row r="10" spans="1:33">
      <c r="B10" s="5" t="s">
        <v>4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-10200</v>
      </c>
      <c r="L10" s="63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3">
        <v>703400</v>
      </c>
      <c r="R10" s="53">
        <v>326500</v>
      </c>
      <c r="S10" s="38">
        <v>370800</v>
      </c>
      <c r="T10" s="38">
        <v>337700</v>
      </c>
      <c r="U10" s="38">
        <v>424400</v>
      </c>
      <c r="V10" s="63">
        <v>1459400</v>
      </c>
      <c r="W10" s="38">
        <v>455400</v>
      </c>
      <c r="X10" s="38">
        <v>363400</v>
      </c>
      <c r="Y10" s="38">
        <v>326200</v>
      </c>
      <c r="Z10" s="38">
        <v>242700</v>
      </c>
      <c r="AA10" s="63">
        <v>1387700</v>
      </c>
    </row>
    <row r="11" spans="1:33">
      <c r="B11" s="13" t="s">
        <v>10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21000</v>
      </c>
      <c r="L11" s="64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4">
        <v>658000</v>
      </c>
      <c r="R11" s="54">
        <v>302600</v>
      </c>
      <c r="S11" s="39">
        <v>338800</v>
      </c>
      <c r="T11" s="39">
        <v>310900</v>
      </c>
      <c r="U11" s="39">
        <v>404600</v>
      </c>
      <c r="V11" s="64">
        <v>1356900</v>
      </c>
      <c r="W11" s="39">
        <v>409800</v>
      </c>
      <c r="X11" s="39">
        <v>313100</v>
      </c>
      <c r="Y11" s="39">
        <v>297600</v>
      </c>
      <c r="Z11" s="39">
        <v>242000</v>
      </c>
      <c r="AA11" s="64">
        <v>1262500</v>
      </c>
    </row>
    <row r="12" spans="1:33" ht="18" thickBot="1">
      <c r="B12" s="15" t="s">
        <v>5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1078400</v>
      </c>
      <c r="L12" s="65">
        <v>4789100</v>
      </c>
      <c r="M12" s="44">
        <v>1297200</v>
      </c>
      <c r="N12" s="44">
        <v>1254700</v>
      </c>
      <c r="O12" s="44">
        <v>1199300</v>
      </c>
      <c r="P12" s="44">
        <v>1067100</v>
      </c>
      <c r="Q12" s="65">
        <v>4818400</v>
      </c>
      <c r="R12" s="55">
        <v>1345300</v>
      </c>
      <c r="S12" s="44">
        <v>1373200</v>
      </c>
      <c r="T12" s="44">
        <v>1277500</v>
      </c>
      <c r="U12" s="44">
        <v>1283500</v>
      </c>
      <c r="V12" s="65">
        <v>5279500</v>
      </c>
      <c r="W12" s="44">
        <v>1518300</v>
      </c>
      <c r="X12" s="44">
        <v>1387200</v>
      </c>
      <c r="Y12" s="44">
        <v>1359700</v>
      </c>
      <c r="Z12" s="44">
        <v>1080800</v>
      </c>
      <c r="AA12" s="65">
        <v>5346000</v>
      </c>
    </row>
    <row r="13" spans="1:33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AA13" s="45"/>
    </row>
    <row r="15" spans="1:33" ht="19.8" thickBot="1">
      <c r="A15" s="3" t="s">
        <v>7</v>
      </c>
      <c r="B15" s="14" t="s">
        <v>11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2018</v>
      </c>
      <c r="H15" s="46" t="s">
        <v>23</v>
      </c>
      <c r="I15" s="46" t="s">
        <v>24</v>
      </c>
      <c r="J15" s="46" t="s">
        <v>26</v>
      </c>
      <c r="K15" s="46" t="s">
        <v>27</v>
      </c>
      <c r="L15" s="46">
        <v>2019</v>
      </c>
      <c r="M15" s="46" t="s">
        <v>29</v>
      </c>
      <c r="N15" s="46" t="s">
        <v>31</v>
      </c>
      <c r="O15" s="46" t="s">
        <v>32</v>
      </c>
      <c r="P15" s="46" t="s">
        <v>122</v>
      </c>
      <c r="Q15" s="46">
        <v>2020</v>
      </c>
      <c r="R15" s="46" t="s">
        <v>124</v>
      </c>
      <c r="S15" s="46" t="s">
        <v>127</v>
      </c>
      <c r="T15" s="46" t="s">
        <v>130</v>
      </c>
      <c r="U15" s="46" t="s">
        <v>131</v>
      </c>
      <c r="V15" s="46">
        <v>2021</v>
      </c>
      <c r="W15" s="46" t="s">
        <v>132</v>
      </c>
      <c r="X15" s="46" t="s">
        <v>134</v>
      </c>
      <c r="Y15" s="46" t="s">
        <v>136</v>
      </c>
      <c r="Z15" s="46" t="s">
        <v>137</v>
      </c>
      <c r="AA15" s="46">
        <v>2022</v>
      </c>
    </row>
    <row r="16" spans="1:33">
      <c r="B16" s="12" t="s">
        <v>15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2.5000000000000001E-2</v>
      </c>
      <c r="L16" s="66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6">
        <v>0.05</v>
      </c>
      <c r="R16" s="58">
        <v>7.3999999999999996E-2</v>
      </c>
      <c r="S16" s="30">
        <v>7.9000000000000001E-2</v>
      </c>
      <c r="T16" s="30">
        <v>6.2E-2</v>
      </c>
      <c r="U16" s="30">
        <v>5.6000000000000001E-2</v>
      </c>
      <c r="V16" s="66">
        <v>6.7000000000000004E-2</v>
      </c>
      <c r="W16" s="19">
        <v>0.1</v>
      </c>
      <c r="X16" s="19">
        <v>7.2999999999999995E-2</v>
      </c>
      <c r="Y16" s="19">
        <v>7.0000000000000007E-2</v>
      </c>
      <c r="Z16" s="19">
        <v>2.3E-2</v>
      </c>
      <c r="AA16" s="66">
        <v>6.6000000000000003E-2</v>
      </c>
      <c r="AD16" s="19"/>
      <c r="AE16" s="19"/>
      <c r="AF16" s="19"/>
      <c r="AG16" s="19"/>
    </row>
    <row r="17" spans="1:27">
      <c r="B17" s="12" t="s">
        <v>16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6">
        <v>0.20100000000000001</v>
      </c>
      <c r="R17" s="58">
        <v>0.223</v>
      </c>
      <c r="S17" s="30">
        <v>0.22800000000000001</v>
      </c>
      <c r="T17" s="30">
        <v>0.20499999999999999</v>
      </c>
      <c r="U17" s="30">
        <v>0.19400000000000001</v>
      </c>
      <c r="V17" s="66">
        <v>0.21199999999999999</v>
      </c>
      <c r="W17" s="82">
        <v>0.24199999999999999</v>
      </c>
      <c r="X17" s="82">
        <v>0.22</v>
      </c>
      <c r="Y17" s="82">
        <v>0.21</v>
      </c>
      <c r="Z17" s="82">
        <v>0.16400000000000001</v>
      </c>
      <c r="AA17" s="66">
        <v>0.20799999999999999</v>
      </c>
    </row>
    <row r="18" spans="1:27" ht="18" thickBot="1">
      <c r="B18" s="9" t="s">
        <v>17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1.4119999999999999</v>
      </c>
      <c r="L18" s="67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7">
        <v>0.27900000000000003</v>
      </c>
      <c r="R18" s="56">
        <v>0.30299999999999999</v>
      </c>
      <c r="S18" s="26">
        <v>0.29099999999999998</v>
      </c>
      <c r="T18" s="26">
        <v>0.29699999999999999</v>
      </c>
      <c r="U18" s="26">
        <v>0.16300000000000001</v>
      </c>
      <c r="V18" s="67">
        <v>0.26200000000000001</v>
      </c>
      <c r="W18" s="26">
        <v>0.29099999999999998</v>
      </c>
      <c r="X18" s="26">
        <v>0.32700000000000001</v>
      </c>
      <c r="Y18" s="26">
        <v>0.25700000000000001</v>
      </c>
      <c r="Z18" s="26">
        <v>0.112</v>
      </c>
      <c r="AA18" s="67">
        <v>0.26700000000000002</v>
      </c>
    </row>
    <row r="21" spans="1:27" ht="19.8" thickBot="1">
      <c r="A21" s="3" t="s">
        <v>7</v>
      </c>
      <c r="B21" s="2" t="s">
        <v>8</v>
      </c>
      <c r="C21" s="46" t="s">
        <v>19</v>
      </c>
      <c r="D21" s="46" t="s">
        <v>20</v>
      </c>
      <c r="E21" s="46" t="s">
        <v>21</v>
      </c>
      <c r="F21" s="46" t="s">
        <v>22</v>
      </c>
      <c r="G21" s="46">
        <v>2018</v>
      </c>
      <c r="H21" s="46" t="s">
        <v>23</v>
      </c>
      <c r="I21" s="46" t="s">
        <v>24</v>
      </c>
      <c r="J21" s="46" t="s">
        <v>26</v>
      </c>
      <c r="K21" s="46" t="s">
        <v>27</v>
      </c>
      <c r="L21" s="46">
        <v>2019</v>
      </c>
      <c r="M21" s="46" t="s">
        <v>29</v>
      </c>
      <c r="N21" s="46" t="s">
        <v>31</v>
      </c>
      <c r="O21" s="46" t="s">
        <v>32</v>
      </c>
      <c r="P21" s="46" t="s">
        <v>122</v>
      </c>
      <c r="Q21" s="46">
        <v>2020</v>
      </c>
      <c r="R21" s="46" t="s">
        <v>124</v>
      </c>
      <c r="S21" s="46" t="s">
        <v>128</v>
      </c>
      <c r="T21" s="46" t="s">
        <v>130</v>
      </c>
      <c r="U21" s="46" t="s">
        <v>131</v>
      </c>
      <c r="V21" s="46">
        <v>2021</v>
      </c>
      <c r="W21" s="46" t="s">
        <v>132</v>
      </c>
      <c r="X21" s="46" t="s">
        <v>134</v>
      </c>
      <c r="Y21" s="46" t="s">
        <v>136</v>
      </c>
      <c r="Z21" s="46" t="s">
        <v>137</v>
      </c>
      <c r="AA21" s="46">
        <v>2022</v>
      </c>
    </row>
    <row r="22" spans="1:27">
      <c r="B22" s="8" t="s">
        <v>18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3">
        <v>7316300</v>
      </c>
      <c r="R22" s="53">
        <v>7724600</v>
      </c>
      <c r="S22" s="38">
        <v>7755700</v>
      </c>
      <c r="T22" s="38">
        <v>8396100</v>
      </c>
      <c r="U22" s="38">
        <v>8437700</v>
      </c>
      <c r="V22" s="63">
        <v>8437700</v>
      </c>
      <c r="W22" s="38">
        <v>8894900</v>
      </c>
      <c r="X22" s="38">
        <v>10074500</v>
      </c>
      <c r="Y22" s="38">
        <v>10366600</v>
      </c>
      <c r="Z22" s="38">
        <v>10006700</v>
      </c>
      <c r="AA22" s="63">
        <v>10006700</v>
      </c>
    </row>
    <row r="23" spans="1:27">
      <c r="B23" s="6" t="s">
        <v>14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4">
        <v>4681700</v>
      </c>
      <c r="R23" s="54">
        <v>4971600</v>
      </c>
      <c r="S23" s="39">
        <v>4658700</v>
      </c>
      <c r="T23" s="39">
        <v>5307200</v>
      </c>
      <c r="U23" s="39">
        <v>5418100</v>
      </c>
      <c r="V23" s="64">
        <v>5418100</v>
      </c>
      <c r="W23" s="38">
        <v>6212700</v>
      </c>
      <c r="X23" s="38">
        <v>7252800</v>
      </c>
      <c r="Y23" s="38">
        <v>7271500</v>
      </c>
      <c r="Z23" s="38">
        <v>7557600</v>
      </c>
      <c r="AA23" s="64">
        <v>7557600</v>
      </c>
    </row>
    <row r="24" spans="1:27">
      <c r="B24" s="5" t="s">
        <v>6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6">
        <v>0.30099999999999999</v>
      </c>
      <c r="R24" s="58">
        <v>0.32400000000000001</v>
      </c>
      <c r="S24" s="30">
        <v>0.29699999999999999</v>
      </c>
      <c r="T24" s="30">
        <v>0.33</v>
      </c>
      <c r="U24" s="30">
        <v>0.32700000000000001</v>
      </c>
      <c r="V24" s="66">
        <v>0.32700000000000001</v>
      </c>
      <c r="W24" s="83">
        <v>0.374</v>
      </c>
      <c r="X24" s="83">
        <v>0.42899999999999999</v>
      </c>
      <c r="Y24" s="83">
        <v>0.40600000000000003</v>
      </c>
      <c r="Z24" s="83">
        <v>0.41</v>
      </c>
      <c r="AA24" s="66">
        <v>0.41</v>
      </c>
    </row>
    <row r="25" spans="1:27" ht="18" thickBot="1">
      <c r="B25" s="9" t="s">
        <v>13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v>1.0425758493245076</v>
      </c>
      <c r="M25" s="34"/>
      <c r="N25" s="34"/>
      <c r="O25" s="34"/>
      <c r="P25" s="34"/>
      <c r="Q25" s="68">
        <v>0.97162614968708882</v>
      </c>
      <c r="R25" s="34"/>
      <c r="S25" s="34"/>
      <c r="T25" s="34"/>
      <c r="U25" s="34"/>
      <c r="V25" s="68">
        <v>1.0262622088034821</v>
      </c>
      <c r="AA25" s="68">
        <v>1.3935426769678978</v>
      </c>
    </row>
    <row r="26" spans="1:27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이은지(휴직&amp;기타)</cp:lastModifiedBy>
  <cp:lastPrinted>2023-02-08T11:03:41Z</cp:lastPrinted>
  <dcterms:created xsi:type="dcterms:W3CDTF">2012-01-10T00:01:55Z</dcterms:created>
  <dcterms:modified xsi:type="dcterms:W3CDTF">2023-02-08T15:22:36Z</dcterms:modified>
</cp:coreProperties>
</file>