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210" yWindow="285" windowWidth="14085" windowHeight="11835" tabRatio="726"/>
  </bookViews>
  <sheets>
    <sheet name="KT Only" sheetId="1" r:id="rId1"/>
    <sheet name="Consolidated" sheetId="4" r:id="rId2"/>
  </sheets>
  <definedNames>
    <definedName name="_xlnm.Print_Area" localSheetId="1">Consolidated!$A$1:$V$28</definedName>
    <definedName name="_xlnm.Print_Area" localSheetId="0">'KT Only'!$A$1:$S$52</definedName>
  </definedNames>
  <calcPr calcId="152511"/>
</workbook>
</file>

<file path=xl/calcChain.xml><?xml version="1.0" encoding="utf-8"?>
<calcChain xmlns="http://schemas.openxmlformats.org/spreadsheetml/2006/main">
  <c r="S12" i="1" l="1"/>
  <c r="R12" i="1"/>
  <c r="S29" i="1" l="1"/>
  <c r="V18" i="4"/>
  <c r="V19" i="4"/>
  <c r="U18" i="4" l="1"/>
  <c r="U19" i="4"/>
  <c r="R29" i="1" l="1"/>
  <c r="R30" i="1"/>
  <c r="O27" i="4" l="1"/>
  <c r="T27" i="4"/>
  <c r="O19" i="4"/>
  <c r="O18" i="4"/>
  <c r="T19" i="4"/>
  <c r="T18" i="4"/>
  <c r="T26" i="4"/>
  <c r="T25" i="4"/>
  <c r="T24" i="4"/>
  <c r="O26" i="4"/>
  <c r="O25" i="4"/>
  <c r="O24" i="4"/>
  <c r="O20" i="4"/>
  <c r="T14" i="4"/>
  <c r="T13" i="4"/>
  <c r="T12" i="4"/>
  <c r="T11" i="4"/>
  <c r="T10" i="4"/>
  <c r="T9" i="4"/>
  <c r="T8" i="4"/>
  <c r="T7" i="4"/>
  <c r="T6" i="4"/>
  <c r="O14" i="4"/>
  <c r="O13" i="4"/>
  <c r="O12" i="4"/>
  <c r="O11" i="4"/>
  <c r="O10" i="4"/>
  <c r="O9" i="4"/>
  <c r="O8" i="4"/>
  <c r="O7" i="4"/>
  <c r="O6" i="4"/>
  <c r="Q31" i="1" l="1"/>
  <c r="Q30" i="1"/>
  <c r="Q29" i="1"/>
  <c r="P29" i="1"/>
  <c r="Q25" i="1" l="1"/>
  <c r="Q24" i="1"/>
  <c r="Q23" i="1"/>
  <c r="Q20" i="1"/>
  <c r="Q19" i="1"/>
  <c r="Q11" i="1"/>
  <c r="Q10" i="1"/>
  <c r="Q9" i="1"/>
  <c r="Q6" i="1"/>
  <c r="L34" i="1" l="1"/>
  <c r="L33" i="1"/>
  <c r="L32" i="1"/>
  <c r="L31" i="1"/>
  <c r="L30" i="1"/>
  <c r="L29" i="1"/>
  <c r="L25" i="1" l="1"/>
  <c r="L24" i="1"/>
  <c r="L23" i="1"/>
  <c r="L20" i="1"/>
  <c r="L19" i="1"/>
  <c r="L18" i="1"/>
  <c r="L17" i="1"/>
  <c r="L16" i="1"/>
  <c r="L15" i="1"/>
  <c r="L12" i="1" l="1"/>
  <c r="L11" i="1"/>
  <c r="L10" i="1"/>
  <c r="L9" i="1"/>
  <c r="L8" i="1"/>
  <c r="L7" i="1"/>
  <c r="L6" i="1"/>
  <c r="O29" i="1" l="1"/>
  <c r="J29" i="1" l="1"/>
  <c r="K29" i="1"/>
  <c r="M29" i="1"/>
  <c r="N29" i="1"/>
  <c r="I29" i="1"/>
  <c r="J18" i="4" l="1"/>
  <c r="I18" i="4"/>
</calcChain>
</file>

<file path=xl/sharedStrings.xml><?xml version="1.0" encoding="utf-8"?>
<sst xmlns="http://schemas.openxmlformats.org/spreadsheetml/2006/main" count="179" uniqueCount="71">
  <si>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</si>
  <si>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</si>
  <si>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</si>
  <si>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</si>
  <si>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</si>
  <si>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</si>
  <si>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</si>
  <si>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</si>
  <si>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</si>
  <si>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</si>
  <si>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</si>
  <si>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</si>
  <si>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</si>
  <si>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</si>
  <si>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</si>
  <si>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</si>
  <si>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</si>
  <si>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</si>
  <si>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</si>
  <si>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</si>
  <si>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</si>
  <si>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</si>
  <si>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</si>
  <si>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</si>
  <si>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</si>
  <si>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</si>
  <si>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</si>
  <si>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</si>
  <si>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</si>
  <si>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</si>
  <si>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</si>
  <si>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</si>
  <si>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</si>
  <si>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</si>
  <si>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</si>
  <si>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</si>
  <si>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</si>
  <si>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</si>
  <si>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</si>
  <si>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</si>
  <si>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</si>
  <si>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</si>
  <si>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</si>
  <si>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</si>
  <si>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</si>
  <si>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</si>
  <si>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</si>
  <si>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</si>
  <si>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</si>
  <si>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</si>
  <si>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</si>
  <si>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</si>
  <si>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</si>
  <si>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</si>
  <si>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</si>
  <si>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</si>
  <si>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</si>
  <si>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</si>
  <si>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</si>
  <si>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</si>
  <si>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</si>
  <si>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</si>
  <si>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IFRS15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</si>
  <si>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</si>
  <si>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</si>
  <si>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</si>
  <si>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IFRS15</t>
    <phoneticPr fontId="1" type="noConversion"/>
  </si>
  <si>
    <t>1Q19</t>
    <phoneticPr fontId="1" type="noConversion"/>
  </si>
  <si>
    <t>1Q 19</t>
    <phoneticPr fontId="1" type="noConversion"/>
  </si>
  <si>
    <t>2Q 19</t>
    <phoneticPr fontId="1" type="noConversion"/>
  </si>
  <si>
    <t>2Q19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</si>
</sst>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  <xf numFmtId="181" fontId="2" fillId="0" borderId="0"/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4" fillId="0" borderId="0" xfId="0" applyFont="1">
      <alignment vertical="center"/>
    </xf>
    <xf numFmtId="0" fontId="15" fillId="0" borderId="0" xfId="0" applyFont="1" applyFill="1" applyAlignment="1">
      <alignment horizont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2"/>
  <sheetViews>
    <sheetView showGridLines="0" tabSelected="1" view="pageBreakPreview" zoomScale="90" zoomScaleNormal="80" zoomScaleSheetLayoutView="90" workbookViewId="0">
      <selection activeCell="S5" sqref="S5"/>
    </sheetView>
  </sheetViews>
  <sheetFormatPr defaultColWidth="9" defaultRowHeight="16.5"/>
  <cols>
    <col min="1" max="1" width="3.75" style="1" customWidth="1"/>
    <col min="2" max="2" width="27" style="1" customWidth="1"/>
    <col min="3" max="5" width="10" style="1" hidden="1" customWidth="1"/>
    <col min="6" max="7" width="10" style="1" customWidth="1"/>
    <col min="8" max="11" width="10" style="1" hidden="1" customWidth="1"/>
    <col min="12" max="19" width="10" style="1" customWidth="1"/>
    <col min="20" max="16384" width="9" style="1"/>
  </cols>
  <sheetData>
    <row r="2" spans="1:19" ht="20.25">
      <c r="B2" s="10" t="s">
        <v>3</v>
      </c>
    </row>
    <row r="3" spans="1:19">
      <c r="B3" s="11" t="s">
        <v>44</v>
      </c>
      <c r="C3" s="25"/>
      <c r="D3" s="25"/>
      <c r="E3" s="25"/>
      <c r="F3" s="25"/>
      <c r="G3" s="25"/>
    </row>
    <row r="4" spans="1:19" ht="13.5" customHeight="1">
      <c r="C4" s="45" t="s">
        <v>38</v>
      </c>
      <c r="D4" s="45" t="s">
        <v>38</v>
      </c>
      <c r="E4" s="45" t="s">
        <v>51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38</v>
      </c>
      <c r="L4" s="45" t="s">
        <v>38</v>
      </c>
      <c r="M4" s="59" t="s">
        <v>62</v>
      </c>
      <c r="N4" s="59" t="s">
        <v>62</v>
      </c>
      <c r="O4" s="59" t="s">
        <v>62</v>
      </c>
      <c r="P4" s="59" t="s">
        <v>62</v>
      </c>
      <c r="Q4" s="59" t="s">
        <v>62</v>
      </c>
      <c r="R4" s="59" t="s">
        <v>66</v>
      </c>
      <c r="S4" s="59" t="s">
        <v>66</v>
      </c>
    </row>
    <row r="5" spans="1:19" ht="1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4" t="s">
        <v>56</v>
      </c>
      <c r="I5" s="54" t="s">
        <v>57</v>
      </c>
      <c r="J5" s="54" t="s">
        <v>59</v>
      </c>
      <c r="K5" s="54" t="s">
        <v>60</v>
      </c>
      <c r="L5" s="54">
        <v>2017</v>
      </c>
      <c r="M5" s="54" t="s">
        <v>61</v>
      </c>
      <c r="N5" s="54" t="s">
        <v>63</v>
      </c>
      <c r="O5" s="54" t="s">
        <v>64</v>
      </c>
      <c r="P5" s="54" t="s">
        <v>65</v>
      </c>
      <c r="Q5" s="54">
        <v>2018</v>
      </c>
      <c r="R5" s="54" t="s">
        <v>67</v>
      </c>
      <c r="S5" s="44" t="s">
        <v>70</v>
      </c>
    </row>
    <row r="6" spans="1:19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6">
        <v>17028868.258023001</v>
      </c>
      <c r="H6" s="46">
        <v>4161418.1788269999</v>
      </c>
      <c r="I6" s="46">
        <v>4292581.6685520001</v>
      </c>
      <c r="J6" s="46">
        <v>4312022.8533739997</v>
      </c>
      <c r="K6" s="46">
        <v>4575294.4950409997</v>
      </c>
      <c r="L6" s="46">
        <f>SUM(H6:K6)</f>
        <v>17341317.195794001</v>
      </c>
      <c r="M6" s="46">
        <v>4297158.0478379996</v>
      </c>
      <c r="N6" s="46">
        <v>4283030.4873700002</v>
      </c>
      <c r="O6" s="46">
        <v>4358170.4898589998</v>
      </c>
      <c r="P6" s="46">
        <v>4418177.7924830001</v>
      </c>
      <c r="Q6" s="46">
        <f>SUM(M6:P6)</f>
        <v>17356536.81755</v>
      </c>
      <c r="R6" s="46">
        <v>4334300</v>
      </c>
      <c r="S6" s="46">
        <v>4558500</v>
      </c>
    </row>
    <row r="7" spans="1:19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6">
        <v>14527209.48734</v>
      </c>
      <c r="H7" s="46">
        <v>3541301.1199849998</v>
      </c>
      <c r="I7" s="46">
        <v>3588203.464430898</v>
      </c>
      <c r="J7" s="46">
        <v>3607483.408812183</v>
      </c>
      <c r="K7" s="46">
        <v>3570004.6679195417</v>
      </c>
      <c r="L7" s="46">
        <f t="shared" ref="L7:L11" si="0">SUM(H7:K7)</f>
        <v>14306992.661147624</v>
      </c>
      <c r="M7" s="46">
        <v>3501470.7377929995</v>
      </c>
      <c r="N7" s="46">
        <v>3581286.9910890004</v>
      </c>
      <c r="O7" s="46">
        <v>3582266.8362119999</v>
      </c>
      <c r="P7" s="46">
        <v>3508299.2545409999</v>
      </c>
      <c r="Q7" s="46">
        <v>14173323.819635</v>
      </c>
      <c r="R7" s="46">
        <v>3553400</v>
      </c>
      <c r="S7" s="46">
        <v>3625200</v>
      </c>
    </row>
    <row r="8" spans="1:19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6">
        <v>2501658.7706830003</v>
      </c>
      <c r="H8" s="46">
        <v>620117.05884200009</v>
      </c>
      <c r="I8" s="46">
        <v>704378.20412110176</v>
      </c>
      <c r="J8" s="46">
        <v>704539.44456181698</v>
      </c>
      <c r="K8" s="46">
        <v>1005289.8271214584</v>
      </c>
      <c r="L8" s="46">
        <f t="shared" si="0"/>
        <v>3034324.534646377</v>
      </c>
      <c r="M8" s="46">
        <v>795687.31004499993</v>
      </c>
      <c r="N8" s="46">
        <v>701743.4962810002</v>
      </c>
      <c r="O8" s="46">
        <v>775903.65364699974</v>
      </c>
      <c r="P8" s="46">
        <v>909878.53794200032</v>
      </c>
      <c r="Q8" s="46">
        <v>3183212.9979150002</v>
      </c>
      <c r="R8" s="46">
        <v>780800</v>
      </c>
      <c r="S8" s="46">
        <v>933300</v>
      </c>
    </row>
    <row r="9" spans="1:19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6">
        <v>1059591.5356589998</v>
      </c>
      <c r="H9" s="46">
        <v>318922.79874200001</v>
      </c>
      <c r="I9" s="46">
        <v>301426.87260600086</v>
      </c>
      <c r="J9" s="46">
        <v>271443.82884799922</v>
      </c>
      <c r="K9" s="46">
        <v>60368.667769999243</v>
      </c>
      <c r="L9" s="46">
        <f t="shared" si="0"/>
        <v>952162.16796599934</v>
      </c>
      <c r="M9" s="46">
        <v>304956.59042800032</v>
      </c>
      <c r="N9" s="46">
        <v>307657.04800199997</v>
      </c>
      <c r="O9" s="46">
        <v>280604.62234199978</v>
      </c>
      <c r="P9" s="46">
        <v>58405.371627000161</v>
      </c>
      <c r="Q9" s="46">
        <f t="shared" ref="Q9:Q11" si="1">SUM(M9:P9)</f>
        <v>951623.63239900023</v>
      </c>
      <c r="R9" s="46">
        <v>296400</v>
      </c>
      <c r="S9" s="46">
        <v>191100</v>
      </c>
    </row>
    <row r="10" spans="1:19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7">
        <v>809329.56328699982</v>
      </c>
      <c r="H10" s="47">
        <v>284584.63549499999</v>
      </c>
      <c r="I10" s="47">
        <v>160723.42912900087</v>
      </c>
      <c r="J10" s="47">
        <v>148013.38820299925</v>
      </c>
      <c r="K10" s="47">
        <v>-130052.55416800076</v>
      </c>
      <c r="L10" s="47">
        <f t="shared" si="0"/>
        <v>463268.8986589993</v>
      </c>
      <c r="M10" s="47">
        <v>316766.76625900087</v>
      </c>
      <c r="N10" s="47">
        <v>209920.84879899997</v>
      </c>
      <c r="O10" s="47">
        <v>202609.25151499978</v>
      </c>
      <c r="P10" s="47">
        <v>-168072.48464399984</v>
      </c>
      <c r="Q10" s="47">
        <f t="shared" si="1"/>
        <v>561224.38192900084</v>
      </c>
      <c r="R10" s="47">
        <v>292600</v>
      </c>
      <c r="S10" s="47">
        <v>139700</v>
      </c>
    </row>
    <row r="11" spans="1:19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6">
        <v>4064974.2498790002</v>
      </c>
      <c r="H11" s="46">
        <v>1083767.860653</v>
      </c>
      <c r="I11" s="46">
        <v>1057444.1382050007</v>
      </c>
      <c r="J11" s="46">
        <v>1021812.1448399993</v>
      </c>
      <c r="K11" s="46">
        <v>805668.82760099927</v>
      </c>
      <c r="L11" s="46">
        <f t="shared" si="0"/>
        <v>3968692.9712989992</v>
      </c>
      <c r="M11" s="46">
        <v>1046624.5309290003</v>
      </c>
      <c r="N11" s="46">
        <v>1039418.8806870001</v>
      </c>
      <c r="O11" s="46">
        <v>1003068.1007279998</v>
      </c>
      <c r="P11" s="46">
        <v>779675.56199000007</v>
      </c>
      <c r="Q11" s="46">
        <f t="shared" si="1"/>
        <v>3868787.0743340002</v>
      </c>
      <c r="R11" s="46">
        <v>1108100</v>
      </c>
      <c r="S11" s="46">
        <v>997700</v>
      </c>
    </row>
    <row r="12" spans="1:19" ht="17.25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  <c r="L12" s="31">
        <f>L11/L6</f>
        <v>0.22885764250143434</v>
      </c>
      <c r="M12" s="31">
        <v>0.24356202850290351</v>
      </c>
      <c r="N12" s="31">
        <v>0.2426830450430103</v>
      </c>
      <c r="O12" s="31">
        <v>0.23015806817609197</v>
      </c>
      <c r="P12" s="31">
        <v>0.17646993819862219</v>
      </c>
      <c r="Q12" s="31">
        <v>0.22290086524761604</v>
      </c>
      <c r="R12" s="31">
        <f>+R11/R6</f>
        <v>0.25565835313660801</v>
      </c>
      <c r="S12" s="31">
        <f>+S11/S6</f>
        <v>0.21886585499616101</v>
      </c>
    </row>
    <row r="13" spans="1:19">
      <c r="C13" s="22"/>
      <c r="D13" s="22"/>
      <c r="E13" s="22"/>
      <c r="F13" s="22"/>
      <c r="G13" s="22"/>
      <c r="H13" s="22"/>
    </row>
    <row r="14" spans="1:19" ht="1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4" t="s">
        <v>56</v>
      </c>
      <c r="I14" s="54" t="s">
        <v>57</v>
      </c>
      <c r="J14" s="54" t="s">
        <v>59</v>
      </c>
      <c r="K14" s="54" t="s">
        <v>60</v>
      </c>
      <c r="L14" s="54">
        <v>2017</v>
      </c>
      <c r="M14" s="54" t="s">
        <v>61</v>
      </c>
      <c r="N14" s="54" t="s">
        <v>63</v>
      </c>
      <c r="O14" s="54" t="s">
        <v>64</v>
      </c>
      <c r="P14" s="54" t="s">
        <v>65</v>
      </c>
      <c r="Q14" s="54">
        <v>2018</v>
      </c>
      <c r="R14" s="54" t="s">
        <v>67</v>
      </c>
      <c r="S14" s="44" t="s">
        <v>70</v>
      </c>
    </row>
    <row r="15" spans="1:19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  <c r="L15" s="33">
        <f t="shared" ref="L15:L20" si="2">SUM(H15:K15)</f>
        <v>2249.8000000000002</v>
      </c>
      <c r="M15" s="33">
        <v>237.3</v>
      </c>
      <c r="N15" s="33">
        <v>407.39888256799992</v>
      </c>
      <c r="O15" s="33">
        <v>463.65301951999999</v>
      </c>
      <c r="P15" s="33">
        <v>868.2</v>
      </c>
      <c r="Q15" s="33">
        <v>1976.5250097169999</v>
      </c>
      <c r="R15" s="33">
        <v>552.1</v>
      </c>
      <c r="S15" s="33">
        <v>802</v>
      </c>
    </row>
    <row r="16" spans="1:19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  <c r="L16" s="33">
        <f t="shared" si="2"/>
        <v>1195.9000000000001</v>
      </c>
      <c r="M16" s="33">
        <v>127.8</v>
      </c>
      <c r="N16" s="33">
        <v>196.24200212099998</v>
      </c>
      <c r="O16" s="33">
        <v>255.00570813399997</v>
      </c>
      <c r="P16" s="33">
        <v>455.70000000000005</v>
      </c>
      <c r="Q16" s="33">
        <v>1034.7683788899999</v>
      </c>
      <c r="R16" s="33">
        <v>417.3</v>
      </c>
      <c r="S16" s="33">
        <v>593.70000000000005</v>
      </c>
    </row>
    <row r="17" spans="1:19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  <c r="L17" s="33">
        <f t="shared" si="2"/>
        <v>497.2</v>
      </c>
      <c r="M17" s="33">
        <v>38.700000000000003</v>
      </c>
      <c r="N17" s="33">
        <v>84.672791606000004</v>
      </c>
      <c r="O17" s="33">
        <v>103.023409055</v>
      </c>
      <c r="P17" s="33">
        <v>221.7</v>
      </c>
      <c r="Q17" s="33">
        <v>448.08355607599998</v>
      </c>
      <c r="R17" s="33">
        <v>42.8</v>
      </c>
      <c r="S17" s="33">
        <v>62.6</v>
      </c>
    </row>
    <row r="18" spans="1:19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  <c r="L18" s="33">
        <f t="shared" si="2"/>
        <v>297.5</v>
      </c>
      <c r="M18" s="33">
        <v>41.3</v>
      </c>
      <c r="N18" s="33">
        <v>86.609800632999978</v>
      </c>
      <c r="O18" s="33">
        <v>60.775216536000002</v>
      </c>
      <c r="P18" s="33">
        <v>116</v>
      </c>
      <c r="Q18" s="33">
        <v>304.68060046599999</v>
      </c>
      <c r="R18" s="33">
        <v>53.7</v>
      </c>
      <c r="S18" s="33">
        <v>64.900000000000006</v>
      </c>
    </row>
    <row r="19" spans="1:19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  <c r="L19" s="43">
        <f t="shared" si="2"/>
        <v>259.2</v>
      </c>
      <c r="M19" s="43">
        <v>29.5</v>
      </c>
      <c r="N19" s="43">
        <v>39.874288208000003</v>
      </c>
      <c r="O19" s="43">
        <v>44.848685795000002</v>
      </c>
      <c r="P19" s="43">
        <v>74.8</v>
      </c>
      <c r="Q19" s="43">
        <f t="shared" ref="Q19:Q20" si="3">SUM(M19:P19)</f>
        <v>189.022974003</v>
      </c>
      <c r="R19" s="43">
        <v>38.300000000000004</v>
      </c>
      <c r="S19" s="43">
        <v>80.8</v>
      </c>
    </row>
    <row r="20" spans="1:19" ht="17.25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8">
        <v>3005382.71422</v>
      </c>
      <c r="H20" s="48">
        <v>764845.06191099994</v>
      </c>
      <c r="I20" s="48">
        <v>756017.2655989998</v>
      </c>
      <c r="J20" s="48">
        <v>750368.31599200005</v>
      </c>
      <c r="K20" s="48">
        <v>745300.15983100003</v>
      </c>
      <c r="L20" s="48">
        <f t="shared" si="2"/>
        <v>3016530.8033329998</v>
      </c>
      <c r="M20" s="48">
        <v>741667.94050100003</v>
      </c>
      <c r="N20" s="48">
        <v>731761.83268500015</v>
      </c>
      <c r="O20" s="48">
        <v>722463.47838600003</v>
      </c>
      <c r="P20" s="48">
        <v>721270.19036299991</v>
      </c>
      <c r="Q20" s="48">
        <f t="shared" si="3"/>
        <v>2917163.441935</v>
      </c>
      <c r="R20" s="48">
        <v>811700</v>
      </c>
      <c r="S20" s="48">
        <v>806600</v>
      </c>
    </row>
    <row r="22" spans="1:19" ht="1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4" t="s">
        <v>56</v>
      </c>
      <c r="I22" s="54" t="s">
        <v>57</v>
      </c>
      <c r="J22" s="54" t="s">
        <v>59</v>
      </c>
      <c r="K22" s="54" t="s">
        <v>60</v>
      </c>
      <c r="L22" s="54">
        <v>2017</v>
      </c>
      <c r="M22" s="54" t="s">
        <v>61</v>
      </c>
      <c r="N22" s="54" t="s">
        <v>63</v>
      </c>
      <c r="O22" s="54" t="s">
        <v>64</v>
      </c>
      <c r="P22" s="54" t="s">
        <v>65</v>
      </c>
      <c r="Q22" s="54">
        <v>2018</v>
      </c>
      <c r="R22" s="54" t="s">
        <v>67</v>
      </c>
      <c r="S22" s="44" t="s">
        <v>70</v>
      </c>
    </row>
    <row r="23" spans="1:19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6">
        <v>7569046.745468</v>
      </c>
      <c r="H23" s="46">
        <v>6804061.6979589993</v>
      </c>
      <c r="I23" s="46">
        <v>5990818.0244369991</v>
      </c>
      <c r="J23" s="46">
        <v>6343272.6904450003</v>
      </c>
      <c r="K23" s="46">
        <v>6212934.4701269995</v>
      </c>
      <c r="L23" s="46">
        <f>K23</f>
        <v>6212934.4701269995</v>
      </c>
      <c r="M23" s="46">
        <v>6237585.1045040004</v>
      </c>
      <c r="N23" s="46">
        <v>6203780.2507710001</v>
      </c>
      <c r="O23" s="46">
        <v>5995050.2989460006</v>
      </c>
      <c r="P23" s="46">
        <v>6313537.0613859994</v>
      </c>
      <c r="Q23" s="46">
        <f>P23</f>
        <v>6313537.0613859994</v>
      </c>
      <c r="R23" s="46">
        <v>6451200</v>
      </c>
      <c r="S23" s="46">
        <v>5929400</v>
      </c>
    </row>
    <row r="24" spans="1:19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7">
        <v>5966649.5446920004</v>
      </c>
      <c r="H24" s="47">
        <v>5701481.9739059992</v>
      </c>
      <c r="I24" s="47">
        <v>5079168.4118069988</v>
      </c>
      <c r="J24" s="47">
        <v>5019519.6872240007</v>
      </c>
      <c r="K24" s="47">
        <v>5046532.1736819996</v>
      </c>
      <c r="L24" s="47">
        <f>K24</f>
        <v>5046532.1736819996</v>
      </c>
      <c r="M24" s="47">
        <v>5173487.1982110003</v>
      </c>
      <c r="N24" s="47">
        <v>4739516.4254440004</v>
      </c>
      <c r="O24" s="47">
        <v>4162513.0059010009</v>
      </c>
      <c r="P24" s="47">
        <v>4533792.5067469999</v>
      </c>
      <c r="Q24" s="47">
        <f>P24</f>
        <v>4533792.5067469999</v>
      </c>
      <c r="R24" s="47">
        <v>4701100</v>
      </c>
      <c r="S24" s="47">
        <v>4534500</v>
      </c>
    </row>
    <row r="25" spans="1:19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  <c r="L25" s="36">
        <f>K25</f>
        <v>0.44615836963051098</v>
      </c>
      <c r="M25" s="36">
        <v>0.41939728244830854</v>
      </c>
      <c r="N25" s="36">
        <v>0.37840001744733553</v>
      </c>
      <c r="O25" s="36">
        <v>0.32689813446497296</v>
      </c>
      <c r="P25" s="36">
        <v>0.35666219028942348</v>
      </c>
      <c r="Q25" s="36">
        <f>P25</f>
        <v>0.35666219028942348</v>
      </c>
      <c r="R25" s="36">
        <v>0.36905735812479967</v>
      </c>
      <c r="S25" s="36">
        <v>0.35199999999999998</v>
      </c>
    </row>
    <row r="26" spans="1:19" ht="17.25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  <c r="L26" s="41">
        <v>1.3</v>
      </c>
      <c r="M26" s="41"/>
      <c r="N26" s="41"/>
      <c r="O26" s="41"/>
      <c r="P26" s="41"/>
      <c r="Q26" s="41">
        <v>1.1718899023481357</v>
      </c>
      <c r="R26" s="41"/>
      <c r="S26" s="41"/>
    </row>
    <row r="27" spans="1:19">
      <c r="B27" s="58">
        <v>261111.80799999999</v>
      </c>
      <c r="D27" s="38"/>
      <c r="E27" s="38"/>
      <c r="F27" s="38"/>
      <c r="G27" s="49"/>
      <c r="H27" s="49"/>
    </row>
    <row r="28" spans="1:19" ht="1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4" t="s">
        <v>56</v>
      </c>
      <c r="I28" s="54" t="s">
        <v>57</v>
      </c>
      <c r="J28" s="54" t="s">
        <v>59</v>
      </c>
      <c r="K28" s="54" t="s">
        <v>60</v>
      </c>
      <c r="L28" s="54">
        <v>2017</v>
      </c>
      <c r="M28" s="54" t="s">
        <v>61</v>
      </c>
      <c r="N28" s="54" t="s">
        <v>63</v>
      </c>
      <c r="O28" s="54" t="s">
        <v>64</v>
      </c>
      <c r="P28" s="54" t="s">
        <v>65</v>
      </c>
      <c r="Q28" s="54">
        <v>2018</v>
      </c>
      <c r="R28" s="54" t="s">
        <v>67</v>
      </c>
      <c r="S28" s="44" t="s">
        <v>70</v>
      </c>
    </row>
    <row r="29" spans="1:19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$B$27-I30</f>
        <v>244974.897</v>
      </c>
      <c r="J29" s="35">
        <f t="shared" ref="J29:P29" si="4">$B$27-J30</f>
        <v>245097.05499999999</v>
      </c>
      <c r="K29" s="35">
        <f t="shared" si="4"/>
        <v>245097.05499999999</v>
      </c>
      <c r="L29" s="35">
        <f t="shared" ref="L29:L34" si="5">K29</f>
        <v>245097.05499999999</v>
      </c>
      <c r="M29" s="35">
        <f t="shared" si="4"/>
        <v>245097.05499999999</v>
      </c>
      <c r="N29" s="35">
        <f t="shared" si="4"/>
        <v>245100.247</v>
      </c>
      <c r="O29" s="35">
        <f t="shared" si="4"/>
        <v>245144.76799999998</v>
      </c>
      <c r="P29" s="35">
        <f t="shared" si="4"/>
        <v>245144.76799999998</v>
      </c>
      <c r="Q29" s="35">
        <f>P29</f>
        <v>245144.76799999998</v>
      </c>
      <c r="R29" s="35">
        <f>Q29</f>
        <v>245144.76799999998</v>
      </c>
      <c r="S29" s="35">
        <f>R29</f>
        <v>245144.76799999998</v>
      </c>
    </row>
    <row r="30" spans="1:19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  <c r="L30" s="35">
        <f t="shared" si="5"/>
        <v>16014.753000000001</v>
      </c>
      <c r="M30" s="35">
        <v>16014.753000000001</v>
      </c>
      <c r="N30" s="35">
        <v>16011.561</v>
      </c>
      <c r="O30" s="35">
        <v>15967.04</v>
      </c>
      <c r="P30" s="35">
        <v>15967.04</v>
      </c>
      <c r="Q30" s="35">
        <f t="shared" ref="Q30:Q31" si="6">P30</f>
        <v>15967.04</v>
      </c>
      <c r="R30" s="35">
        <f>Q30</f>
        <v>15967.04</v>
      </c>
      <c r="S30" s="35">
        <v>15962.88</v>
      </c>
    </row>
    <row r="31" spans="1:19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50">
        <v>29400</v>
      </c>
      <c r="H31" s="50">
        <v>31900</v>
      </c>
      <c r="I31" s="50">
        <v>32600</v>
      </c>
      <c r="J31" s="50">
        <v>29150</v>
      </c>
      <c r="K31" s="50">
        <v>30250</v>
      </c>
      <c r="L31" s="50">
        <f t="shared" si="5"/>
        <v>30250</v>
      </c>
      <c r="M31" s="50">
        <v>27550</v>
      </c>
      <c r="N31" s="50">
        <v>27400</v>
      </c>
      <c r="O31" s="50">
        <v>30150</v>
      </c>
      <c r="P31" s="50">
        <v>29800</v>
      </c>
      <c r="Q31" s="50">
        <f t="shared" si="6"/>
        <v>29800</v>
      </c>
      <c r="R31" s="50">
        <v>27400</v>
      </c>
      <c r="S31" s="50">
        <v>28350</v>
      </c>
    </row>
    <row r="32" spans="1:19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  <c r="L32" s="35">
        <f t="shared" si="5"/>
        <v>1000</v>
      </c>
      <c r="M32" s="35"/>
      <c r="N32" s="35"/>
      <c r="O32" s="35"/>
      <c r="P32" s="35"/>
      <c r="Q32" s="35">
        <v>1100</v>
      </c>
      <c r="R32" s="35"/>
      <c r="S32" s="35"/>
    </row>
    <row r="33" spans="1:19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1">
        <v>195.97731440000001</v>
      </c>
      <c r="H33" s="51"/>
      <c r="I33" s="51"/>
      <c r="J33" s="51"/>
      <c r="K33" s="51">
        <v>245.09705500000001</v>
      </c>
      <c r="L33" s="51">
        <f t="shared" si="5"/>
        <v>245.09705500000001</v>
      </c>
      <c r="M33" s="51"/>
      <c r="N33" s="51"/>
      <c r="O33" s="51"/>
      <c r="P33" s="51"/>
      <c r="Q33" s="51">
        <v>269.65924480000001</v>
      </c>
      <c r="R33" s="51"/>
      <c r="S33" s="51"/>
    </row>
    <row r="34" spans="1:19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  <c r="L34" s="33">
        <f t="shared" si="5"/>
        <v>245.09705500000001</v>
      </c>
      <c r="M34" s="33"/>
      <c r="N34" s="33"/>
      <c r="O34" s="33"/>
      <c r="P34" s="33"/>
      <c r="Q34" s="33">
        <v>269.65924480000001</v>
      </c>
      <c r="R34" s="33"/>
      <c r="S34" s="33"/>
    </row>
    <row r="35" spans="1:19">
      <c r="B35" s="6" t="s">
        <v>43</v>
      </c>
      <c r="C35" s="19">
        <v>0</v>
      </c>
      <c r="D35" s="19">
        <v>0</v>
      </c>
      <c r="E35" s="19">
        <v>0</v>
      </c>
      <c r="F35" s="19"/>
      <c r="G35" s="55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</row>
    <row r="36" spans="1:19" ht="17.25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  <c r="L36" s="31">
        <v>0.52906109312667993</v>
      </c>
      <c r="M36" s="31"/>
      <c r="N36" s="31"/>
      <c r="O36" s="31"/>
      <c r="P36" s="31"/>
      <c r="Q36" s="31">
        <v>0.4804838376286259</v>
      </c>
      <c r="R36" s="31"/>
      <c r="S36" s="31"/>
    </row>
    <row r="37" spans="1:19">
      <c r="G37" s="42"/>
      <c r="H37" s="35"/>
    </row>
    <row r="38" spans="1:19" ht="1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L38" s="17">
        <v>2017</v>
      </c>
      <c r="M38" s="17">
        <v>2018</v>
      </c>
    </row>
    <row r="39" spans="1:19">
      <c r="B39" s="56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J39" s="42"/>
      <c r="K39" s="35"/>
      <c r="L39" s="35">
        <v>1890.6245799849059</v>
      </c>
      <c r="M39" s="35">
        <v>2289.3590041007969</v>
      </c>
      <c r="N39" s="42"/>
      <c r="O39" s="42"/>
      <c r="P39" s="42"/>
      <c r="Q39" s="42"/>
      <c r="R39" s="42"/>
      <c r="S39" s="42"/>
    </row>
    <row r="40" spans="1:19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J40" s="42"/>
      <c r="K40" s="42"/>
      <c r="L40" s="33">
        <v>16.000003554508694</v>
      </c>
      <c r="M40" s="33">
        <v>13.016743964848228</v>
      </c>
      <c r="N40" s="42"/>
      <c r="O40" s="42"/>
      <c r="P40" s="42"/>
      <c r="Q40" s="42"/>
      <c r="R40" s="42"/>
      <c r="S40" s="42"/>
    </row>
    <row r="41" spans="1:19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J41" s="42"/>
      <c r="K41" s="42"/>
      <c r="L41" s="33">
        <v>3.2618213378384606</v>
      </c>
      <c r="M41" s="33">
        <v>3.2</v>
      </c>
      <c r="N41" s="42"/>
      <c r="O41" s="42"/>
      <c r="P41" s="42"/>
      <c r="Q41" s="42"/>
      <c r="R41" s="42"/>
      <c r="S41" s="42"/>
    </row>
    <row r="42" spans="1:19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J42" s="42"/>
      <c r="K42" s="42"/>
      <c r="L42" s="36">
        <v>4.1371344016020148E-2</v>
      </c>
      <c r="M42" s="36">
        <v>4.1955157385205874E-2</v>
      </c>
      <c r="N42" s="42"/>
      <c r="O42" s="42"/>
      <c r="P42" s="42"/>
      <c r="Q42" s="42"/>
      <c r="R42" s="42"/>
      <c r="S42" s="42"/>
    </row>
    <row r="43" spans="1:19" ht="17.25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J43" s="42"/>
      <c r="K43" s="42"/>
      <c r="L43" s="31">
        <v>1.9288662825229497E-2</v>
      </c>
      <c r="M43" s="31">
        <v>2.0196930277131771E-2</v>
      </c>
      <c r="N43" s="42"/>
      <c r="O43" s="42"/>
      <c r="P43" s="42"/>
      <c r="Q43" s="42"/>
      <c r="R43" s="42"/>
      <c r="S43" s="42"/>
    </row>
    <row r="44" spans="1:19">
      <c r="B44" s="42"/>
      <c r="C44" s="57"/>
      <c r="D44" s="57"/>
      <c r="E44" s="57"/>
      <c r="F44" s="57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</row>
    <row r="45" spans="1:19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</row>
    <row r="46" spans="1:19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</row>
    <row r="47" spans="1:19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</row>
    <row r="48" spans="1:19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</row>
    <row r="49" spans="2:19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</row>
    <row r="50" spans="2:19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</row>
    <row r="51" spans="2:19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</row>
    <row r="52" spans="2:19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8"/>
  <sheetViews>
    <sheetView showGridLines="0" view="pageBreakPreview" zoomScale="90" zoomScaleNormal="80" zoomScaleSheetLayoutView="90" workbookViewId="0">
      <selection activeCell="V20" sqref="V20"/>
    </sheetView>
  </sheetViews>
  <sheetFormatPr defaultColWidth="9" defaultRowHeight="16.5"/>
  <cols>
    <col min="1" max="1" width="3.75" style="1" customWidth="1"/>
    <col min="2" max="2" width="38" style="1" customWidth="1"/>
    <col min="3" max="5" width="13" style="1" hidden="1" customWidth="1"/>
    <col min="6" max="8" width="9.25" style="1" hidden="1" customWidth="1"/>
    <col min="9" max="10" width="9.25" style="1" customWidth="1"/>
    <col min="11" max="14" width="9.25" style="1" hidden="1" customWidth="1"/>
    <col min="15" max="22" width="9.25" style="1" customWidth="1"/>
    <col min="23" max="16384" width="9" style="1"/>
  </cols>
  <sheetData>
    <row r="2" spans="1:22" ht="20.25">
      <c r="B2" s="10" t="s">
        <v>31</v>
      </c>
      <c r="F2" s="32"/>
      <c r="G2" s="32"/>
      <c r="H2" s="32"/>
      <c r="I2" s="32"/>
    </row>
    <row r="3" spans="1:22">
      <c r="B3" s="11" t="s">
        <v>44</v>
      </c>
    </row>
    <row r="4" spans="1:22">
      <c r="B4" s="7"/>
      <c r="C4" s="26" t="s">
        <v>37</v>
      </c>
      <c r="D4" s="26" t="s">
        <v>37</v>
      </c>
      <c r="E4" s="26" t="s">
        <v>37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55</v>
      </c>
      <c r="L4" s="45" t="s">
        <v>38</v>
      </c>
      <c r="M4" s="45" t="s">
        <v>38</v>
      </c>
      <c r="N4" s="45" t="s">
        <v>38</v>
      </c>
      <c r="O4" s="45" t="s">
        <v>38</v>
      </c>
      <c r="P4" s="59" t="s">
        <v>62</v>
      </c>
      <c r="Q4" s="59" t="s">
        <v>62</v>
      </c>
      <c r="R4" s="59" t="s">
        <v>62</v>
      </c>
      <c r="S4" s="59" t="s">
        <v>62</v>
      </c>
      <c r="T4" s="59" t="s">
        <v>62</v>
      </c>
      <c r="U4" s="59" t="s">
        <v>62</v>
      </c>
      <c r="V4" s="59" t="s">
        <v>62</v>
      </c>
    </row>
    <row r="5" spans="1:22" ht="1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4" t="s">
        <v>56</v>
      </c>
      <c r="L5" s="54" t="s">
        <v>57</v>
      </c>
      <c r="M5" s="54" t="s">
        <v>59</v>
      </c>
      <c r="N5" s="54" t="s">
        <v>60</v>
      </c>
      <c r="O5" s="54">
        <v>2017</v>
      </c>
      <c r="P5" s="54" t="s">
        <v>61</v>
      </c>
      <c r="Q5" s="54" t="s">
        <v>63</v>
      </c>
      <c r="R5" s="54" t="s">
        <v>64</v>
      </c>
      <c r="S5" s="54" t="s">
        <v>65</v>
      </c>
      <c r="T5" s="54">
        <v>2018</v>
      </c>
      <c r="U5" s="54" t="s">
        <v>68</v>
      </c>
      <c r="V5" s="44" t="s">
        <v>69</v>
      </c>
    </row>
    <row r="6" spans="1:22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6">
        <v>22743664.718357198</v>
      </c>
      <c r="K6" s="46">
        <v>5611677.4489428494</v>
      </c>
      <c r="L6" s="46">
        <v>5842473.8877294511</v>
      </c>
      <c r="M6" s="46">
        <v>5826564.437973002</v>
      </c>
      <c r="N6" s="46">
        <v>6106551.0985739958</v>
      </c>
      <c r="O6" s="46">
        <f>SUM(K6:N6)</f>
        <v>23387266.873219296</v>
      </c>
      <c r="P6" s="46">
        <v>5710201.3097039293</v>
      </c>
      <c r="Q6" s="46">
        <v>5806937.5545147695</v>
      </c>
      <c r="R6" s="46">
        <v>5948481.5373800332</v>
      </c>
      <c r="S6" s="46">
        <v>5994520.7421413008</v>
      </c>
      <c r="T6" s="46">
        <f>SUM(P6:S6)</f>
        <v>23460141.143740036</v>
      </c>
      <c r="U6" s="46">
        <v>5834400</v>
      </c>
      <c r="V6" s="46">
        <v>6098500</v>
      </c>
    </row>
    <row r="7" spans="1:22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6">
        <v>20007021.037470199</v>
      </c>
      <c r="K7" s="46">
        <v>4948534.1043068487</v>
      </c>
      <c r="L7" s="46">
        <v>5069148.4738923488</v>
      </c>
      <c r="M7" s="46">
        <v>5047230.4720071852</v>
      </c>
      <c r="N7" s="46">
        <v>5058164.276527537</v>
      </c>
      <c r="O7" s="46">
        <f t="shared" ref="O7:O14" si="0">SUM(K7:N7)</f>
        <v>20123077.326733917</v>
      </c>
      <c r="P7" s="46">
        <v>4863596.604677503</v>
      </c>
      <c r="Q7" s="46">
        <v>5003550.1400560681</v>
      </c>
      <c r="R7" s="46">
        <v>5096939.2280330509</v>
      </c>
      <c r="S7" s="46">
        <v>5021092.9793453002</v>
      </c>
      <c r="T7" s="46">
        <f t="shared" ref="T7:T14" si="1">SUM(P7:S7)</f>
        <v>19985178.952111922</v>
      </c>
      <c r="U7" s="46">
        <v>4955500</v>
      </c>
      <c r="V7" s="46">
        <v>5088200</v>
      </c>
    </row>
    <row r="8" spans="1:22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6">
        <v>2736643.6808870006</v>
      </c>
      <c r="K8" s="46">
        <v>663143.34463600023</v>
      </c>
      <c r="L8" s="46">
        <v>773325.41383710178</v>
      </c>
      <c r="M8" s="46">
        <v>779333.96596581698</v>
      </c>
      <c r="N8" s="46">
        <v>1048386.8220464587</v>
      </c>
      <c r="O8" s="46">
        <f t="shared" si="0"/>
        <v>3264189.5464853775</v>
      </c>
      <c r="P8" s="46">
        <v>846604.705026426</v>
      </c>
      <c r="Q8" s="46">
        <v>803387.41445870104</v>
      </c>
      <c r="R8" s="46">
        <v>851542.50566199981</v>
      </c>
      <c r="S8" s="46">
        <v>973427.76279600034</v>
      </c>
      <c r="T8" s="46">
        <f t="shared" si="1"/>
        <v>3474962.3879431272</v>
      </c>
      <c r="U8" s="46">
        <v>878900</v>
      </c>
      <c r="V8" s="46">
        <v>1010400</v>
      </c>
    </row>
    <row r="9" spans="1:22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6">
        <v>1439978.4750245782</v>
      </c>
      <c r="K9" s="46">
        <v>416991.18058216944</v>
      </c>
      <c r="L9" s="46">
        <v>447281.00783663057</v>
      </c>
      <c r="M9" s="46">
        <v>377270.47298530303</v>
      </c>
      <c r="N9" s="46">
        <v>133743.46138349734</v>
      </c>
      <c r="O9" s="46">
        <f t="shared" si="0"/>
        <v>1375286.1227876004</v>
      </c>
      <c r="P9" s="46">
        <v>397122.51535652019</v>
      </c>
      <c r="Q9" s="46">
        <v>399148.2194913784</v>
      </c>
      <c r="R9" s="46">
        <v>369462.10099974007</v>
      </c>
      <c r="S9" s="46">
        <v>95786.916459051892</v>
      </c>
      <c r="T9" s="46">
        <f t="shared" si="1"/>
        <v>1261519.7523066904</v>
      </c>
      <c r="U9" s="46">
        <v>402100</v>
      </c>
      <c r="V9" s="46">
        <v>288200</v>
      </c>
    </row>
    <row r="10" spans="1:22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6">
        <v>797843.87679478817</v>
      </c>
      <c r="K10" s="46">
        <v>224342.1825891195</v>
      </c>
      <c r="L10" s="46">
        <v>258077.9507556305</v>
      </c>
      <c r="M10" s="46">
        <v>202608.20024473307</v>
      </c>
      <c r="N10" s="46">
        <v>-123502.52602209267</v>
      </c>
      <c r="O10" s="46">
        <f t="shared" si="0"/>
        <v>561525.80756739038</v>
      </c>
      <c r="P10" s="46">
        <v>224092.28176686022</v>
      </c>
      <c r="Q10" s="46">
        <v>280671.74189752847</v>
      </c>
      <c r="R10" s="46">
        <v>239462.9390066099</v>
      </c>
      <c r="S10" s="46">
        <v>18077.677916881512</v>
      </c>
      <c r="T10" s="46">
        <f t="shared" si="1"/>
        <v>762304.64058788016</v>
      </c>
      <c r="U10" s="46">
        <v>259800</v>
      </c>
      <c r="V10" s="46">
        <v>203000</v>
      </c>
    </row>
    <row r="11" spans="1:22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6">
        <v>0</v>
      </c>
      <c r="K11" s="46">
        <v>1</v>
      </c>
      <c r="L11" s="46">
        <v>0</v>
      </c>
      <c r="M11" s="46">
        <v>0</v>
      </c>
      <c r="N11" s="46">
        <v>0</v>
      </c>
      <c r="O11" s="46">
        <f t="shared" si="0"/>
        <v>1</v>
      </c>
      <c r="P11" s="46">
        <v>0</v>
      </c>
      <c r="Q11" s="46">
        <v>0</v>
      </c>
      <c r="R11" s="46">
        <v>0</v>
      </c>
      <c r="S11" s="46">
        <v>0</v>
      </c>
      <c r="T11" s="46">
        <f t="shared" si="1"/>
        <v>0</v>
      </c>
      <c r="U11" s="46">
        <v>0</v>
      </c>
      <c r="V11" s="46">
        <v>0</v>
      </c>
    </row>
    <row r="12" spans="1:22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6">
        <v>797843.87679478817</v>
      </c>
      <c r="K12" s="46">
        <v>224342.1825891195</v>
      </c>
      <c r="L12" s="46">
        <v>258077.9507556305</v>
      </c>
      <c r="M12" s="46">
        <v>202608.20024473307</v>
      </c>
      <c r="N12" s="46">
        <v>-123502.52602209267</v>
      </c>
      <c r="O12" s="46">
        <f t="shared" si="0"/>
        <v>561525.80756739038</v>
      </c>
      <c r="P12" s="46">
        <v>224092.28176686022</v>
      </c>
      <c r="Q12" s="46">
        <v>280671.74189752847</v>
      </c>
      <c r="R12" s="46">
        <v>239462.9390066099</v>
      </c>
      <c r="S12" s="46">
        <v>18077.677916881512</v>
      </c>
      <c r="T12" s="46">
        <f t="shared" si="1"/>
        <v>762304.64058788016</v>
      </c>
      <c r="U12" s="46">
        <v>259800</v>
      </c>
      <c r="V12" s="46">
        <v>203000</v>
      </c>
    </row>
    <row r="13" spans="1:22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7">
        <v>711088.50304683996</v>
      </c>
      <c r="K13" s="47">
        <v>200752.62690154999</v>
      </c>
      <c r="L13" s="47">
        <v>222199.14378278004</v>
      </c>
      <c r="M13" s="47">
        <v>179870.90283010993</v>
      </c>
      <c r="N13" s="47">
        <v>-126079.05999724998</v>
      </c>
      <c r="O13" s="47">
        <f t="shared" si="0"/>
        <v>476743.61351718998</v>
      </c>
      <c r="P13" s="47">
        <v>196957.33673963</v>
      </c>
      <c r="Q13" s="47">
        <v>251021.66783448998</v>
      </c>
      <c r="R13" s="47">
        <v>222480.4107925299</v>
      </c>
      <c r="S13" s="47">
        <v>18004.297541080014</v>
      </c>
      <c r="T13" s="47">
        <f t="shared" si="1"/>
        <v>688463.7129077299</v>
      </c>
      <c r="U13" s="47">
        <v>231100</v>
      </c>
      <c r="V13" s="47">
        <v>173900</v>
      </c>
    </row>
    <row r="14" spans="1:22" ht="17.25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2">
        <v>4785244.5363275278</v>
      </c>
      <c r="K14" s="52">
        <v>1267647.5950522793</v>
      </c>
      <c r="L14" s="52">
        <v>1288267.5686635706</v>
      </c>
      <c r="M14" s="52">
        <v>1215066.7624055331</v>
      </c>
      <c r="N14" s="52">
        <v>968806.12449350767</v>
      </c>
      <c r="O14" s="52">
        <f t="shared" si="0"/>
        <v>4739788.0506148906</v>
      </c>
      <c r="P14" s="52">
        <v>1228935.9017551502</v>
      </c>
      <c r="Q14" s="52">
        <v>1221209.6577480687</v>
      </c>
      <c r="R14" s="52">
        <v>1184859.7125794208</v>
      </c>
      <c r="S14" s="52">
        <v>908246.28197889158</v>
      </c>
      <c r="T14" s="52">
        <f t="shared" si="1"/>
        <v>4543251.5540615311</v>
      </c>
      <c r="U14" s="52">
        <v>1309500</v>
      </c>
      <c r="V14" s="52">
        <v>1191300</v>
      </c>
    </row>
    <row r="15" spans="1:22">
      <c r="F15" s="42"/>
      <c r="G15" s="42"/>
      <c r="H15" s="4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 spans="1:22">
      <c r="F16" s="42"/>
      <c r="G16" s="42"/>
      <c r="H16" s="42"/>
      <c r="I16" s="42"/>
      <c r="J16" s="42"/>
    </row>
    <row r="17" spans="1:22" ht="1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4" t="s">
        <v>56</v>
      </c>
      <c r="L17" s="54" t="s">
        <v>57</v>
      </c>
      <c r="M17" s="54" t="s">
        <v>59</v>
      </c>
      <c r="N17" s="54" t="s">
        <v>60</v>
      </c>
      <c r="O17" s="54">
        <v>2017</v>
      </c>
      <c r="P17" s="54" t="s">
        <v>61</v>
      </c>
      <c r="Q17" s="54" t="s">
        <v>63</v>
      </c>
      <c r="R17" s="54" t="s">
        <v>64</v>
      </c>
      <c r="S17" s="54" t="s">
        <v>65</v>
      </c>
      <c r="T17" s="54">
        <v>2018</v>
      </c>
      <c r="U17" s="54" t="s">
        <v>68</v>
      </c>
      <c r="V17" s="44" t="s">
        <v>69</v>
      </c>
    </row>
    <row r="18" spans="1:22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2.1901636328684644E-2</v>
      </c>
      <c r="O18" s="36">
        <f>O9/O6</f>
        <v>5.8804909964166749E-2</v>
      </c>
      <c r="P18" s="36">
        <v>6.9546149744606947E-2</v>
      </c>
      <c r="Q18" s="36">
        <v>6.8736440807952076E-2</v>
      </c>
      <c r="R18" s="36">
        <v>6.211032154644075E-2</v>
      </c>
      <c r="S18" s="36">
        <v>1.5979078324923082E-2</v>
      </c>
      <c r="T18" s="36">
        <f>T9/T6</f>
        <v>5.3772896956474914E-2</v>
      </c>
      <c r="U18" s="36">
        <f>U9/U6</f>
        <v>6.8918826271767444E-2</v>
      </c>
      <c r="V18" s="36">
        <f>V9/V6</f>
        <v>4.7257522341559402E-2</v>
      </c>
    </row>
    <row r="19" spans="1:22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0.15865029357074301</v>
      </c>
      <c r="O19" s="36">
        <f>O14/O6</f>
        <v>0.20266532538021409</v>
      </c>
      <c r="P19" s="36">
        <v>0.21521761407372691</v>
      </c>
      <c r="Q19" s="36">
        <v>0.21030184090727896</v>
      </c>
      <c r="R19" s="36">
        <v>0.19918691940687841</v>
      </c>
      <c r="S19" s="36">
        <v>0.15151274322798611</v>
      </c>
      <c r="T19" s="36">
        <f>T14/T6</f>
        <v>0.19365832141524969</v>
      </c>
      <c r="U19" s="36">
        <f>U14/U6</f>
        <v>0.22444467297408474</v>
      </c>
      <c r="V19" s="36">
        <f>V14/V6</f>
        <v>0.19534311715995736</v>
      </c>
    </row>
    <row r="20" spans="1:22" ht="17.25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-8.7191589729979271E-2</v>
      </c>
      <c r="O20" s="31">
        <f t="shared" ref="O20" si="2">N20</f>
        <v>-8.7191589729979271E-2</v>
      </c>
      <c r="P20" s="31">
        <v>0.36514966971652307</v>
      </c>
      <c r="Q20" s="31">
        <v>0.28255516222054922</v>
      </c>
      <c r="R20" s="31">
        <v>0.28308995608473203</v>
      </c>
      <c r="S20" s="31">
        <v>-0.44314815086422188</v>
      </c>
      <c r="T20" s="31">
        <v>0.30111375961205311</v>
      </c>
      <c r="U20" s="31">
        <v>0.34699999999999998</v>
      </c>
      <c r="V20" s="31">
        <v>0.28399999999999997</v>
      </c>
    </row>
    <row r="21" spans="1:22">
      <c r="J21" s="42"/>
      <c r="K21" s="42"/>
      <c r="L21" s="42"/>
    </row>
    <row r="22" spans="1:22">
      <c r="J22" s="42"/>
      <c r="K22" s="42"/>
      <c r="L22" s="42"/>
    </row>
    <row r="23" spans="1:22" ht="1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4" t="s">
        <v>56</v>
      </c>
      <c r="L23" s="54" t="s">
        <v>57</v>
      </c>
      <c r="M23" s="54" t="s">
        <v>59</v>
      </c>
      <c r="N23" s="54" t="s">
        <v>60</v>
      </c>
      <c r="O23" s="54">
        <v>2017</v>
      </c>
      <c r="P23" s="54" t="s">
        <v>61</v>
      </c>
      <c r="Q23" s="54" t="s">
        <v>63</v>
      </c>
      <c r="R23" s="54" t="s">
        <v>64</v>
      </c>
      <c r="S23" s="54" t="s">
        <v>65</v>
      </c>
      <c r="T23" s="54">
        <v>2018</v>
      </c>
      <c r="U23" s="54" t="s">
        <v>68</v>
      </c>
      <c r="V23" s="44" t="s">
        <v>69</v>
      </c>
    </row>
    <row r="24" spans="1:22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6">
        <v>12815384.9654596</v>
      </c>
      <c r="I24" s="46">
        <v>8634896.888975</v>
      </c>
      <c r="J24" s="46">
        <v>8120791.1801779997</v>
      </c>
      <c r="K24" s="46">
        <v>7345229.2592050005</v>
      </c>
      <c r="L24" s="46">
        <v>6524948.295713</v>
      </c>
      <c r="M24" s="46">
        <v>6848198.3460316695</v>
      </c>
      <c r="N24" s="46">
        <v>6683661.4920156896</v>
      </c>
      <c r="O24" s="46">
        <f>N24</f>
        <v>6683661.4920156896</v>
      </c>
      <c r="P24" s="46">
        <v>6689279.756897999</v>
      </c>
      <c r="Q24" s="46">
        <v>6604467.0510070007</v>
      </c>
      <c r="R24" s="46">
        <v>6370189.6953419996</v>
      </c>
      <c r="S24" s="46">
        <v>6648293.8458700003</v>
      </c>
      <c r="T24" s="46">
        <f>S24</f>
        <v>6648293.8458700003</v>
      </c>
      <c r="U24" s="46">
        <v>6790100</v>
      </c>
      <c r="V24" s="46">
        <v>6256800</v>
      </c>
    </row>
    <row r="25" spans="1:22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7">
        <v>10926721.782440681</v>
      </c>
      <c r="I25" s="47">
        <v>6075432.4377010297</v>
      </c>
      <c r="J25" s="47">
        <v>5220480.1657609101</v>
      </c>
      <c r="K25" s="47">
        <v>5343097.1256435206</v>
      </c>
      <c r="L25" s="47">
        <v>4868486.5445884401</v>
      </c>
      <c r="M25" s="47">
        <v>4679623.0154975196</v>
      </c>
      <c r="N25" s="47">
        <v>4755479.6394433193</v>
      </c>
      <c r="O25" s="47">
        <f t="shared" ref="O25:O26" si="3">N25</f>
        <v>4755479.6394433193</v>
      </c>
      <c r="P25" s="47">
        <v>4911829.4388968591</v>
      </c>
      <c r="Q25" s="47">
        <v>4354775.3595280405</v>
      </c>
      <c r="R25" s="47">
        <v>3652139.6802558196</v>
      </c>
      <c r="S25" s="47">
        <v>3944872.2837379202</v>
      </c>
      <c r="T25" s="47">
        <f t="shared" ref="T25:T26" si="4">S25</f>
        <v>3944872.2837379202</v>
      </c>
      <c r="U25" s="47">
        <v>4025100</v>
      </c>
      <c r="V25" s="47">
        <v>4006700</v>
      </c>
    </row>
    <row r="26" spans="1:22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0.36366953228880811</v>
      </c>
      <c r="O26" s="36">
        <f t="shared" si="3"/>
        <v>0.36366953228880811</v>
      </c>
      <c r="P26" s="36">
        <v>0.35059932403655741</v>
      </c>
      <c r="Q26" s="36">
        <v>0.30447050793720254</v>
      </c>
      <c r="R26" s="36">
        <v>0.25070897034959183</v>
      </c>
      <c r="S26" s="36">
        <v>0.26778884247777901</v>
      </c>
      <c r="T26" s="36">
        <f t="shared" si="4"/>
        <v>0.26778884247777901</v>
      </c>
      <c r="U26" s="36">
        <v>0.27300000000000002</v>
      </c>
      <c r="V26" s="36">
        <v>0.26700000000000002</v>
      </c>
    </row>
    <row r="27" spans="1:22" ht="17.25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/>
      <c r="O27" s="41">
        <f>O25/O14</f>
        <v>1.0033106098122664</v>
      </c>
      <c r="P27" s="41"/>
      <c r="Q27" s="41"/>
      <c r="R27" s="41"/>
      <c r="S27" s="41"/>
      <c r="T27" s="41">
        <f>T25/T14</f>
        <v>0.86829272753152364</v>
      </c>
      <c r="U27" s="41"/>
      <c r="V27" s="41"/>
    </row>
    <row r="28" spans="1:22">
      <c r="J28" s="42"/>
      <c r="K28" s="42"/>
      <c r="L28" s="42"/>
      <c r="N28" s="42"/>
      <c r="O28" s="42"/>
      <c r="P28" s="42"/>
      <c r="Q28" s="42"/>
      <c r="R28" s="42"/>
      <c r="S28" s="42"/>
      <c r="T28" s="42"/>
      <c r="U28" s="42"/>
      <c r="V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2019-08-06T00:57:22Z</dcterms:modified>
</cp:coreProperties>
</file>