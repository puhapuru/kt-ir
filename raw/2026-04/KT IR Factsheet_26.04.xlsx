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3828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'Fixed(M)'!$A$1:$CW$24</definedName>
    <definedName name="_xlnm.Print_Area" localSheetId="0">'Wireless(Q)'!$A$1:$AH$20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8" i="1" l="1"/>
  <c r="CV8" i="1"/>
  <c r="CW8" i="1"/>
  <c r="CU6" i="1"/>
  <c r="CV6" i="1"/>
  <c r="CW6" i="1"/>
  <c r="CU10" i="1"/>
  <c r="CU11" i="1"/>
  <c r="CV11" i="1"/>
  <c r="CW11" i="1"/>
  <c r="CW12" i="1"/>
  <c r="CW18" i="1"/>
  <c r="CW23" i="1"/>
  <c r="CW21" i="1" l="1"/>
  <c r="CW16" i="1"/>
  <c r="CW4" i="1"/>
  <c r="AH6" i="2"/>
  <c r="CV23" i="1"/>
  <c r="CV18" i="1"/>
  <c r="CU12" i="1"/>
  <c r="CV12" i="1"/>
  <c r="CV21" i="1"/>
  <c r="CV16" i="1"/>
  <c r="CV4" i="1"/>
  <c r="A1" i="2" l="1"/>
  <c r="CT21" i="1"/>
  <c r="CU21" i="1" s="1"/>
  <c r="CU16" i="1"/>
  <c r="CT16" i="1"/>
  <c r="CU23" i="1"/>
  <c r="CU18" i="1"/>
  <c r="CU4" i="1"/>
  <c r="CT6" i="1"/>
  <c r="CT11" i="1"/>
  <c r="CT4" i="1"/>
  <c r="CT8" i="1"/>
  <c r="CT10" i="1"/>
  <c r="CT18" i="1"/>
  <c r="CT23" i="1"/>
  <c r="AC8" i="2"/>
  <c r="CN11" i="1"/>
  <c r="CO11" i="1"/>
  <c r="CP11" i="1"/>
  <c r="CQ11" i="1"/>
  <c r="CR11" i="1"/>
  <c r="CS11" i="1"/>
  <c r="CT12" i="1" l="1"/>
  <c r="CS4" i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<sst xmlns="http://schemas.openxmlformats.org/spreadsheetml/2006/main" count="108" uniqueCount="73">
  <si>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</si>
  <si>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</si>
  <si>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</si>
  <si>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</si>
  <si>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</si>
  <si>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</si>
  <si>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</si>
  <si>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</si>
  <si>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</si>
  <si>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</si>
  <si>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</si>
  <si>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</si>
  <si>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</si>
  <si>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</si>
  <si>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</si>
  <si>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</si>
  <si>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</si>
  <si>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</si>
  <si>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</si>
  <si>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</si>
  <si>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</si>
  <si>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</si>
  <si>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</si>
  <si>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</si>
  <si>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</si>
  <si>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</si>
  <si>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</si>
  <si>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</si>
  <si>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</si>
  <si>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</si>
  <si>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</si>
  <si>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</si>
  <si>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</si>
  <si>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</si>
  <si>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</si>
  <si>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</si>
  <si>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</si>
  <si>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</si>
  <si>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</si>
  <si>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</si>
  <si>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</si>
  <si>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</si>
  <si>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</si>
  <si>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</si>
  <si>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</si>
  <si>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</si>
  <si>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</si>
  <si>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</si>
  <si>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</si>
  <si>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</si>
  <si>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</si>
  <si>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</si>
  <si>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</si>
  <si>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</si>
  <si>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</si>
  <si>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</si>
  <si>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</si>
  <si>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</si>
  <si>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</si>
  <si>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</si>
  <si>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</si>
  <si>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</si>
  <si>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</si>
  <si>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</si>
  <si>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</si>
  <si>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</si>
  <si>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</si>
  <si>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</si>
  <si>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</si>
  <si>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</si>
  <si>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</si>
  <si>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1Q 26</t>
    <phoneticPr fontId="5" type="noConversion"/>
  </si>
  <si>
    <t>KT Monthly Factsheet (April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</si>
</sst>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178886</xdr:colOff>
      <xdr:row>0</xdr:row>
      <xdr:rowOff>191994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7047474" y="191994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99</xdr:col>
      <xdr:colOff>775606</xdr:colOff>
      <xdr:row>0</xdr:row>
      <xdr:rowOff>368754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46C07CF6-0946-4215-AA20-38E4A05AE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927035" y="368754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4" width="15" style="39" customWidth="1"/>
    <col min="35" max="16384" width="9" style="39"/>
  </cols>
  <sheetData>
    <row r="1" spans="1:34" s="40" customFormat="1" ht="46.5" customHeight="1">
      <c r="A1" s="1" t="str">
        <f>'Fixed(M)'!A1</f>
        <v>KT Monthly Factsheet (April 2026)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33"/>
    </row>
    <row r="2" spans="1:34" s="33" customFormat="1" ht="27.75" customHeight="1"/>
    <row r="3" spans="1:34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  <c r="AH3" s="3">
        <v>2026</v>
      </c>
    </row>
    <row r="4" spans="1:34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7" t="s">
        <v>57</v>
      </c>
      <c r="AA4" s="7" t="s">
        <v>63</v>
      </c>
      <c r="AB4" s="7" t="s">
        <v>65</v>
      </c>
      <c r="AC4" s="7" t="s">
        <v>66</v>
      </c>
      <c r="AD4" s="7" t="s">
        <v>67</v>
      </c>
      <c r="AE4" s="7" t="s">
        <v>68</v>
      </c>
      <c r="AF4" s="7" t="s">
        <v>69</v>
      </c>
      <c r="AG4" s="7" t="s">
        <v>70</v>
      </c>
      <c r="AH4" s="28" t="s">
        <v>71</v>
      </c>
    </row>
    <row r="5" spans="1:34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  <c r="AH5" s="51">
        <v>29161582</v>
      </c>
    </row>
    <row r="6" spans="1:34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H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  <c r="AH6" s="57">
        <f t="shared" si="0"/>
        <v>176533</v>
      </c>
    </row>
    <row r="7" spans="1:34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  <c r="AH7" s="52">
        <v>20412864</v>
      </c>
    </row>
    <row r="8" spans="1:34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  <c r="AH8" s="55">
        <v>8748718</v>
      </c>
    </row>
    <row r="9" spans="1:34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  <c r="AH9" s="59">
        <v>11070189</v>
      </c>
    </row>
    <row r="10" spans="1:34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4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4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  <c r="AH12" s="31">
        <v>1.6752403366424626E-2</v>
      </c>
    </row>
    <row r="13" spans="1:34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4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4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  <c r="AH15" s="3">
        <v>2026</v>
      </c>
    </row>
    <row r="16" spans="1:34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7" t="s">
        <v>57</v>
      </c>
      <c r="AA16" s="7" t="s">
        <v>63</v>
      </c>
      <c r="AB16" s="7" t="s">
        <v>65</v>
      </c>
      <c r="AC16" s="7" t="s">
        <v>66</v>
      </c>
      <c r="AD16" s="7" t="s">
        <v>67</v>
      </c>
      <c r="AE16" s="7" t="s">
        <v>68</v>
      </c>
      <c r="AF16" s="7" t="s">
        <v>69</v>
      </c>
      <c r="AG16" s="7" t="s">
        <v>70</v>
      </c>
      <c r="AH16" s="28" t="s">
        <v>71</v>
      </c>
    </row>
    <row r="17" spans="1:34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  <c r="AH17" s="35">
        <v>34781</v>
      </c>
    </row>
    <row r="18" spans="1:34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4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4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W24"/>
  <sheetViews>
    <sheetView showGridLines="0" tabSelected="1" view="pageBreakPreview" zoomScale="70" zoomScaleNormal="70" zoomScaleSheetLayoutView="70" workbookViewId="0">
      <pane xSplit="73" topLeftCell="CH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4" width="11.08203125" style="2" hidden="1" customWidth="1"/>
    <col min="75" max="79" width="10.83203125" style="2" hidden="1" customWidth="1"/>
    <col min="80" max="85" width="11.5" style="2" hidden="1" customWidth="1"/>
    <col min="86" max="88" width="11.5" style="2" customWidth="1"/>
    <col min="89" max="89" width="10" style="2" bestFit="1" customWidth="1"/>
    <col min="90" max="90" width="10.58203125" style="2" customWidth="1"/>
    <col min="91" max="101" width="10.5" style="2" customWidth="1"/>
    <col min="102" max="16384" width="9" style="2"/>
  </cols>
  <sheetData>
    <row r="1" spans="1:101" ht="44.25" customHeight="1">
      <c r="A1" s="1" t="s">
        <v>72</v>
      </c>
    </row>
    <row r="2" spans="1:101" ht="29.25" customHeight="1">
      <c r="A2" s="2"/>
    </row>
    <row r="3" spans="1:101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  <c r="CT3" s="3">
        <v>2026</v>
      </c>
    </row>
    <row r="4" spans="1:101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W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28">
        <f t="shared" si="0"/>
        <v>46023</v>
      </c>
      <c r="CU4" s="28">
        <f t="shared" si="0"/>
        <v>46054</v>
      </c>
      <c r="CV4" s="28">
        <f t="shared" si="0"/>
        <v>46082</v>
      </c>
      <c r="CW4" s="28">
        <f t="shared" si="0"/>
        <v>46113</v>
      </c>
    </row>
    <row r="5" spans="1:101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  <c r="CU5" s="48">
        <v>10793400</v>
      </c>
      <c r="CV5" s="48">
        <v>10739611</v>
      </c>
      <c r="CW5" s="48">
        <v>10692242</v>
      </c>
    </row>
    <row r="6" spans="1:101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  <c r="CT6" s="12">
        <f>CT5-CS5</f>
        <v>-53401</v>
      </c>
      <c r="CU6" s="12">
        <f t="shared" ref="CU6:CW6" si="2">CU5-CT5</f>
        <v>-42704</v>
      </c>
      <c r="CV6" s="12">
        <f t="shared" si="2"/>
        <v>-53789</v>
      </c>
      <c r="CW6" s="12">
        <f t="shared" si="2"/>
        <v>-47369</v>
      </c>
    </row>
    <row r="7" spans="1:101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  <c r="CU7" s="10">
        <v>7629238</v>
      </c>
      <c r="CV7" s="10">
        <v>7578235</v>
      </c>
      <c r="CW7" s="10">
        <v>7533213</v>
      </c>
    </row>
    <row r="8" spans="1:101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W8" si="3">BI7-BH7</f>
        <v>-45048</v>
      </c>
      <c r="BJ8" s="15">
        <f t="shared" si="3"/>
        <v>-43511</v>
      </c>
      <c r="BK8" s="15">
        <f t="shared" si="3"/>
        <v>-51293</v>
      </c>
      <c r="BL8" s="15">
        <f t="shared" si="3"/>
        <v>-54718</v>
      </c>
      <c r="BM8" s="15">
        <f t="shared" si="3"/>
        <v>-42576</v>
      </c>
      <c r="BN8" s="15">
        <f t="shared" si="3"/>
        <v>-49067</v>
      </c>
      <c r="BO8" s="15">
        <f t="shared" si="3"/>
        <v>-45269</v>
      </c>
      <c r="BP8" s="15">
        <f t="shared" si="3"/>
        <v>-46517</v>
      </c>
      <c r="BQ8" s="15">
        <f t="shared" si="3"/>
        <v>-46489</v>
      </c>
      <c r="BR8" s="15">
        <f t="shared" si="3"/>
        <v>-36445</v>
      </c>
      <c r="BS8" s="15">
        <f t="shared" si="3"/>
        <v>-44730</v>
      </c>
      <c r="BT8" s="15">
        <f t="shared" si="3"/>
        <v>-44633</v>
      </c>
      <c r="BU8" s="15">
        <f t="shared" si="3"/>
        <v>-50467</v>
      </c>
      <c r="BV8" s="15">
        <f t="shared" si="3"/>
        <v>-57112</v>
      </c>
      <c r="BW8" s="15">
        <f t="shared" si="3"/>
        <v>-42998</v>
      </c>
      <c r="BX8" s="15">
        <f t="shared" si="3"/>
        <v>-46433</v>
      </c>
      <c r="BY8" s="15">
        <f t="shared" si="3"/>
        <v>-57546</v>
      </c>
      <c r="BZ8" s="15">
        <f t="shared" si="3"/>
        <v>-45960</v>
      </c>
      <c r="CA8" s="15">
        <f t="shared" si="3"/>
        <v>-43733</v>
      </c>
      <c r="CB8" s="15">
        <f t="shared" si="3"/>
        <v>-48058</v>
      </c>
      <c r="CC8" s="15">
        <f t="shared" si="3"/>
        <v>-44399</v>
      </c>
      <c r="CD8" s="15">
        <f t="shared" si="3"/>
        <v>-39002</v>
      </c>
      <c r="CE8" s="15">
        <f t="shared" si="3"/>
        <v>-44516</v>
      </c>
      <c r="CF8" s="15">
        <f t="shared" si="3"/>
        <v>-39001</v>
      </c>
      <c r="CG8" s="15">
        <f t="shared" si="3"/>
        <v>-46932</v>
      </c>
      <c r="CH8" s="15">
        <f t="shared" si="3"/>
        <v>-39397</v>
      </c>
      <c r="CI8" s="15">
        <f t="shared" si="3"/>
        <v>-53685</v>
      </c>
      <c r="CJ8" s="15">
        <f t="shared" si="3"/>
        <v>-49154</v>
      </c>
      <c r="CK8" s="15">
        <f t="shared" si="3"/>
        <v>-47292</v>
      </c>
      <c r="CL8" s="15">
        <f t="shared" si="3"/>
        <v>-43290</v>
      </c>
      <c r="CM8" s="15">
        <f t="shared" si="3"/>
        <v>-43095</v>
      </c>
      <c r="CN8" s="15">
        <f t="shared" si="3"/>
        <v>-49236</v>
      </c>
      <c r="CO8" s="15">
        <f t="shared" si="3"/>
        <v>-44729</v>
      </c>
      <c r="CP8" s="15">
        <f t="shared" si="3"/>
        <v>-43329</v>
      </c>
      <c r="CQ8" s="15">
        <f t="shared" si="3"/>
        <v>-43850</v>
      </c>
      <c r="CR8" s="15">
        <f t="shared" si="3"/>
        <v>-40190</v>
      </c>
      <c r="CS8" s="15">
        <f t="shared" si="3"/>
        <v>-51265</v>
      </c>
      <c r="CT8" s="15">
        <f t="shared" si="3"/>
        <v>-47236</v>
      </c>
      <c r="CU8" s="15">
        <f t="shared" ref="CU8" si="4">CU7-CT7</f>
        <v>-39297</v>
      </c>
      <c r="CV8" s="15">
        <f t="shared" ref="CV8" si="5">CV7-CU7</f>
        <v>-51003</v>
      </c>
      <c r="CW8" s="15">
        <f t="shared" ref="CW8" si="6">CW7-CV7</f>
        <v>-45022</v>
      </c>
    </row>
    <row r="9" spans="1:101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  <c r="CU9" s="49">
        <v>6722018</v>
      </c>
      <c r="CV9" s="49">
        <v>6672423</v>
      </c>
      <c r="CW9" s="49">
        <v>6630905</v>
      </c>
    </row>
    <row r="10" spans="1:101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7">BQ7-BQ9</f>
        <v>933056</v>
      </c>
      <c r="BR10" s="61">
        <f t="shared" si="7"/>
        <v>934467</v>
      </c>
      <c r="BS10" s="61">
        <f t="shared" si="7"/>
        <v>934665</v>
      </c>
      <c r="BT10" s="49">
        <f t="shared" si="7"/>
        <v>934837</v>
      </c>
      <c r="BU10" s="49">
        <f t="shared" si="7"/>
        <v>928193</v>
      </c>
      <c r="BV10" s="49">
        <f t="shared" si="7"/>
        <v>926805</v>
      </c>
      <c r="BW10" s="49">
        <f t="shared" ref="BW10:BY10" si="8">BW7-BW9</f>
        <v>930328</v>
      </c>
      <c r="BX10" s="49">
        <f t="shared" si="8"/>
        <v>932429</v>
      </c>
      <c r="BY10" s="49">
        <f t="shared" si="8"/>
        <v>923014</v>
      </c>
      <c r="BZ10" s="49">
        <f t="shared" ref="BZ10:CA10" si="9">BZ7-BZ9</f>
        <v>923295</v>
      </c>
      <c r="CA10" s="49">
        <f t="shared" si="9"/>
        <v>921111</v>
      </c>
      <c r="CB10" s="49">
        <f t="shared" ref="CB10:CC10" si="10">CB7-CB9</f>
        <v>918735</v>
      </c>
      <c r="CC10" s="49">
        <f t="shared" si="10"/>
        <v>917858</v>
      </c>
      <c r="CD10" s="49">
        <f t="shared" ref="CD10:CE10" si="11">CD7-CD9</f>
        <v>916735</v>
      </c>
      <c r="CE10" s="49">
        <f t="shared" si="11"/>
        <v>916234</v>
      </c>
      <c r="CF10" s="49">
        <f t="shared" ref="CF10:CG10" si="12">CF7-CF9</f>
        <v>919057</v>
      </c>
      <c r="CG10" s="49">
        <f t="shared" si="12"/>
        <v>917395</v>
      </c>
      <c r="CH10" s="49">
        <f t="shared" ref="CH10:CI10" si="13">CH7-CH9</f>
        <v>917984</v>
      </c>
      <c r="CI10" s="49">
        <f t="shared" si="13"/>
        <v>917875</v>
      </c>
      <c r="CJ10" s="49">
        <f t="shared" ref="CJ10:CK10" si="14">CJ7-CJ9</f>
        <v>917069</v>
      </c>
      <c r="CK10" s="49">
        <f t="shared" si="14"/>
        <v>916112</v>
      </c>
      <c r="CL10" s="49">
        <f t="shared" ref="CL10:CM10" si="15">CL7-CL9</f>
        <v>914402</v>
      </c>
      <c r="CM10" s="49">
        <f t="shared" si="15"/>
        <v>912113</v>
      </c>
      <c r="CN10" s="49">
        <f t="shared" ref="CN10:CO10" si="16">CN7-CN9</f>
        <v>911923</v>
      </c>
      <c r="CO10" s="49">
        <f t="shared" si="16"/>
        <v>912274</v>
      </c>
      <c r="CP10" s="49">
        <f t="shared" ref="CP10:CQ10" si="17">CP7-CP9</f>
        <v>910609</v>
      </c>
      <c r="CQ10" s="49">
        <f t="shared" si="17"/>
        <v>909892</v>
      </c>
      <c r="CR10" s="49">
        <f t="shared" ref="CR10:CS10" si="18">CR7-CR9</f>
        <v>910034</v>
      </c>
      <c r="CS10" s="49">
        <f t="shared" si="18"/>
        <v>908297</v>
      </c>
      <c r="CT10" s="49">
        <f t="shared" ref="CT10:CV10" si="19">CT7-CT9</f>
        <v>908441</v>
      </c>
      <c r="CU10" s="49">
        <f t="shared" ref="CU10:CW10" si="20">CU7-CU9</f>
        <v>907220</v>
      </c>
      <c r="CV10" s="49">
        <v>905812</v>
      </c>
      <c r="CW10" s="49">
        <v>902308</v>
      </c>
    </row>
    <row r="11" spans="1:101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21">CN5-CN7</f>
        <v>3189379</v>
      </c>
      <c r="CO11" s="10">
        <f t="shared" si="21"/>
        <v>3189678</v>
      </c>
      <c r="CP11" s="10">
        <f t="shared" si="21"/>
        <v>3187586</v>
      </c>
      <c r="CQ11" s="10">
        <f t="shared" si="21"/>
        <v>3184096</v>
      </c>
      <c r="CR11" s="10">
        <f t="shared" si="21"/>
        <v>3181457</v>
      </c>
      <c r="CS11" s="10">
        <f>CS5-CS7</f>
        <v>3173734</v>
      </c>
      <c r="CT11" s="10">
        <f>CT5-CT7</f>
        <v>3167569</v>
      </c>
      <c r="CU11" s="10">
        <f t="shared" ref="CU11:CW11" si="22">CU5-CU7</f>
        <v>3164162</v>
      </c>
      <c r="CV11" s="10">
        <f t="shared" si="22"/>
        <v>3161376</v>
      </c>
      <c r="CW11" s="10">
        <f t="shared" si="22"/>
        <v>3159029</v>
      </c>
    </row>
    <row r="12" spans="1:101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T12" si="23">BI11-BH11</f>
        <v>1257</v>
      </c>
      <c r="BJ12" s="12">
        <f t="shared" si="23"/>
        <v>436</v>
      </c>
      <c r="BK12" s="12">
        <f t="shared" si="23"/>
        <v>2903</v>
      </c>
      <c r="BL12" s="12">
        <f t="shared" si="23"/>
        <v>10421</v>
      </c>
      <c r="BM12" s="12">
        <f t="shared" si="23"/>
        <v>1553</v>
      </c>
      <c r="BN12" s="12">
        <f t="shared" si="23"/>
        <v>-1120</v>
      </c>
      <c r="BO12" s="12">
        <f t="shared" si="23"/>
        <v>887</v>
      </c>
      <c r="BP12" s="12">
        <f t="shared" si="23"/>
        <v>438</v>
      </c>
      <c r="BQ12" s="12">
        <f t="shared" si="23"/>
        <v>392</v>
      </c>
      <c r="BR12" s="12">
        <f t="shared" si="23"/>
        <v>3035</v>
      </c>
      <c r="BS12" s="12">
        <f t="shared" si="23"/>
        <v>-1075</v>
      </c>
      <c r="BT12" s="12">
        <f t="shared" si="23"/>
        <v>-240</v>
      </c>
      <c r="BU12" s="12">
        <f t="shared" si="23"/>
        <v>-8459</v>
      </c>
      <c r="BV12" s="12">
        <f t="shared" si="23"/>
        <v>106</v>
      </c>
      <c r="BW12" s="12">
        <f t="shared" si="23"/>
        <v>12414</v>
      </c>
      <c r="BX12" s="12">
        <f t="shared" si="23"/>
        <v>2319</v>
      </c>
      <c r="BY12" s="12">
        <f t="shared" si="23"/>
        <v>-1446</v>
      </c>
      <c r="BZ12" s="12">
        <f t="shared" si="23"/>
        <v>-6974</v>
      </c>
      <c r="CA12" s="12">
        <f t="shared" si="23"/>
        <v>1111</v>
      </c>
      <c r="CB12" s="12">
        <f t="shared" si="23"/>
        <v>-597</v>
      </c>
      <c r="CC12" s="12">
        <f t="shared" si="23"/>
        <v>328</v>
      </c>
      <c r="CD12" s="12">
        <f t="shared" si="23"/>
        <v>-476</v>
      </c>
      <c r="CE12" s="12">
        <f t="shared" si="23"/>
        <v>-2082</v>
      </c>
      <c r="CF12" s="12">
        <f t="shared" si="23"/>
        <v>-3315</v>
      </c>
      <c r="CG12" s="12">
        <f t="shared" si="23"/>
        <v>-5460</v>
      </c>
      <c r="CH12" s="12">
        <f t="shared" si="23"/>
        <v>-5981</v>
      </c>
      <c r="CI12" s="12">
        <f t="shared" si="23"/>
        <v>-4519</v>
      </c>
      <c r="CJ12" s="12">
        <f t="shared" si="23"/>
        <v>-2413</v>
      </c>
      <c r="CK12" s="12">
        <f t="shared" si="23"/>
        <v>-4941</v>
      </c>
      <c r="CL12" s="12">
        <f t="shared" si="23"/>
        <v>-2506</v>
      </c>
      <c r="CM12" s="12">
        <f t="shared" si="23"/>
        <v>-3949</v>
      </c>
      <c r="CN12" s="12">
        <f t="shared" si="23"/>
        <v>3020</v>
      </c>
      <c r="CO12" s="12">
        <f t="shared" si="23"/>
        <v>299</v>
      </c>
      <c r="CP12" s="12">
        <f t="shared" si="23"/>
        <v>-2092</v>
      </c>
      <c r="CQ12" s="12">
        <f t="shared" si="23"/>
        <v>-3490</v>
      </c>
      <c r="CR12" s="12">
        <f t="shared" si="23"/>
        <v>-2639</v>
      </c>
      <c r="CS12" s="12">
        <f t="shared" si="23"/>
        <v>-7723</v>
      </c>
      <c r="CT12" s="12">
        <f t="shared" si="23"/>
        <v>-6165</v>
      </c>
      <c r="CU12" s="12">
        <f t="shared" ref="CU12:CW12" si="24">CU11-CT11</f>
        <v>-3407</v>
      </c>
      <c r="CV12" s="12">
        <f t="shared" ref="CV12" si="25">CV11-CU11</f>
        <v>-2786</v>
      </c>
      <c r="CW12" s="12">
        <f t="shared" si="24"/>
        <v>-2347</v>
      </c>
    </row>
    <row r="13" spans="1:101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101" s="37" customFormat="1" ht="15" customHeight="1">
      <c r="A14" s="41"/>
      <c r="BB14" s="18"/>
      <c r="BC14" s="18"/>
      <c r="BD14" s="18"/>
      <c r="BE14" s="18"/>
      <c r="BF14" s="18"/>
      <c r="BG14" s="18"/>
    </row>
    <row r="15" spans="1:101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101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S16" si="26">EDATE(BK16,1)</f>
        <v>44986</v>
      </c>
      <c r="BM16" s="7">
        <f t="shared" si="26"/>
        <v>45017</v>
      </c>
      <c r="BN16" s="7">
        <f t="shared" si="26"/>
        <v>45047</v>
      </c>
      <c r="BO16" s="7">
        <f t="shared" si="26"/>
        <v>45078</v>
      </c>
      <c r="BP16" s="7">
        <f t="shared" si="26"/>
        <v>45108</v>
      </c>
      <c r="BQ16" s="7">
        <f t="shared" si="26"/>
        <v>45139</v>
      </c>
      <c r="BR16" s="7">
        <f t="shared" si="26"/>
        <v>45170</v>
      </c>
      <c r="BS16" s="7">
        <f t="shared" si="26"/>
        <v>45200</v>
      </c>
      <c r="BT16" s="7">
        <f t="shared" si="26"/>
        <v>45231</v>
      </c>
      <c r="BU16" s="7">
        <f t="shared" si="26"/>
        <v>45261</v>
      </c>
      <c r="BV16" s="28">
        <f t="shared" si="26"/>
        <v>45292</v>
      </c>
      <c r="BW16" s="28">
        <f t="shared" si="26"/>
        <v>45323</v>
      </c>
      <c r="BX16" s="28">
        <f t="shared" si="26"/>
        <v>45352</v>
      </c>
      <c r="BY16" s="28">
        <f t="shared" si="26"/>
        <v>45383</v>
      </c>
      <c r="BZ16" s="28">
        <f t="shared" si="26"/>
        <v>45413</v>
      </c>
      <c r="CA16" s="28">
        <f t="shared" si="26"/>
        <v>45444</v>
      </c>
      <c r="CB16" s="28">
        <f t="shared" si="26"/>
        <v>45474</v>
      </c>
      <c r="CC16" s="28">
        <f t="shared" si="26"/>
        <v>45505</v>
      </c>
      <c r="CD16" s="28">
        <f t="shared" si="26"/>
        <v>45536</v>
      </c>
      <c r="CE16" s="28">
        <f t="shared" si="26"/>
        <v>45566</v>
      </c>
      <c r="CF16" s="28">
        <f t="shared" si="26"/>
        <v>45597</v>
      </c>
      <c r="CG16" s="28">
        <f t="shared" si="26"/>
        <v>45627</v>
      </c>
      <c r="CH16" s="7">
        <f t="shared" si="26"/>
        <v>45658</v>
      </c>
      <c r="CI16" s="7">
        <f t="shared" si="26"/>
        <v>45689</v>
      </c>
      <c r="CJ16" s="7">
        <f t="shared" si="26"/>
        <v>45717</v>
      </c>
      <c r="CK16" s="7">
        <f t="shared" si="26"/>
        <v>45748</v>
      </c>
      <c r="CL16" s="7">
        <f t="shared" si="26"/>
        <v>45778</v>
      </c>
      <c r="CM16" s="7">
        <f t="shared" si="26"/>
        <v>45809</v>
      </c>
      <c r="CN16" s="7">
        <f t="shared" si="26"/>
        <v>45839</v>
      </c>
      <c r="CO16" s="7">
        <f t="shared" si="26"/>
        <v>45870</v>
      </c>
      <c r="CP16" s="7">
        <f t="shared" si="26"/>
        <v>45901</v>
      </c>
      <c r="CQ16" s="7">
        <f t="shared" si="26"/>
        <v>45931</v>
      </c>
      <c r="CR16" s="7">
        <f t="shared" si="26"/>
        <v>45962</v>
      </c>
      <c r="CS16" s="7">
        <f t="shared" si="26"/>
        <v>45992</v>
      </c>
      <c r="CT16" s="28">
        <f t="shared" ref="CT16" si="27">EDATE(CS16,1)</f>
        <v>46023</v>
      </c>
      <c r="CU16" s="28">
        <f t="shared" ref="CU16:CW16" si="28">EDATE(CT16,1)</f>
        <v>46054</v>
      </c>
      <c r="CV16" s="28">
        <f t="shared" si="28"/>
        <v>46082</v>
      </c>
      <c r="CW16" s="28">
        <f t="shared" si="28"/>
        <v>46113</v>
      </c>
    </row>
    <row r="17" spans="1:101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  <c r="CU17" s="10">
        <v>10168373</v>
      </c>
      <c r="CV17" s="10">
        <v>10187835</v>
      </c>
      <c r="CW17" s="10">
        <v>10204566</v>
      </c>
    </row>
    <row r="18" spans="1:101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W18" si="29">BI17-BH17</f>
        <v>7508</v>
      </c>
      <c r="BJ18" s="12">
        <f t="shared" si="29"/>
        <v>11056</v>
      </c>
      <c r="BK18" s="12">
        <f t="shared" si="29"/>
        <v>18245</v>
      </c>
      <c r="BL18" s="12">
        <f t="shared" si="29"/>
        <v>17766</v>
      </c>
      <c r="BM18" s="12">
        <f t="shared" si="29"/>
        <v>14046</v>
      </c>
      <c r="BN18" s="12">
        <f t="shared" si="29"/>
        <v>11529</v>
      </c>
      <c r="BO18" s="12">
        <f t="shared" si="29"/>
        <v>12676</v>
      </c>
      <c r="BP18" s="12">
        <f t="shared" si="29"/>
        <v>5456</v>
      </c>
      <c r="BQ18" s="12">
        <f t="shared" si="29"/>
        <v>-18440</v>
      </c>
      <c r="BR18" s="12">
        <f t="shared" si="29"/>
        <v>11366</v>
      </c>
      <c r="BS18" s="12">
        <f t="shared" si="29"/>
        <v>6109</v>
      </c>
      <c r="BT18" s="12">
        <f t="shared" si="29"/>
        <v>7598</v>
      </c>
      <c r="BU18" s="12">
        <f t="shared" si="29"/>
        <v>3098</v>
      </c>
      <c r="BV18" s="12">
        <f t="shared" si="29"/>
        <v>7546</v>
      </c>
      <c r="BW18" s="12">
        <f t="shared" si="29"/>
        <v>8546</v>
      </c>
      <c r="BX18" s="12">
        <f t="shared" si="29"/>
        <v>18567</v>
      </c>
      <c r="BY18" s="12">
        <f t="shared" si="29"/>
        <v>11502</v>
      </c>
      <c r="BZ18" s="12">
        <f t="shared" si="29"/>
        <v>13235</v>
      </c>
      <c r="CA18" s="12">
        <f t="shared" si="29"/>
        <v>12278</v>
      </c>
      <c r="CB18" s="12">
        <f t="shared" si="29"/>
        <v>8204</v>
      </c>
      <c r="CC18" s="12">
        <f t="shared" si="29"/>
        <v>11419</v>
      </c>
      <c r="CD18" s="12">
        <f t="shared" si="29"/>
        <v>9617</v>
      </c>
      <c r="CE18" s="12">
        <f t="shared" si="29"/>
        <v>10488</v>
      </c>
      <c r="CF18" s="12">
        <f t="shared" si="29"/>
        <v>10438</v>
      </c>
      <c r="CG18" s="12">
        <f t="shared" si="29"/>
        <v>7428</v>
      </c>
      <c r="CH18" s="12">
        <f t="shared" si="29"/>
        <v>4719</v>
      </c>
      <c r="CI18" s="12">
        <f t="shared" si="29"/>
        <v>10574</v>
      </c>
      <c r="CJ18" s="12">
        <f t="shared" si="29"/>
        <v>12547</v>
      </c>
      <c r="CK18" s="12">
        <f t="shared" si="29"/>
        <v>13347</v>
      </c>
      <c r="CL18" s="12">
        <f t="shared" si="29"/>
        <v>49078</v>
      </c>
      <c r="CM18" s="12">
        <f t="shared" si="29"/>
        <v>26653</v>
      </c>
      <c r="CN18" s="12">
        <f t="shared" si="29"/>
        <v>28396</v>
      </c>
      <c r="CO18" s="12">
        <f t="shared" si="29"/>
        <v>17776</v>
      </c>
      <c r="CP18" s="12">
        <f t="shared" si="29"/>
        <v>15501</v>
      </c>
      <c r="CQ18" s="12">
        <f t="shared" si="29"/>
        <v>9575</v>
      </c>
      <c r="CR18" s="12">
        <f t="shared" si="29"/>
        <v>13955</v>
      </c>
      <c r="CS18" s="12">
        <f t="shared" si="29"/>
        <v>11621</v>
      </c>
      <c r="CT18" s="12">
        <f t="shared" si="29"/>
        <v>-10774</v>
      </c>
      <c r="CU18" s="12">
        <f t="shared" si="29"/>
        <v>9057</v>
      </c>
      <c r="CV18" s="12">
        <f t="shared" si="29"/>
        <v>19462</v>
      </c>
      <c r="CW18" s="12">
        <f t="shared" si="29"/>
        <v>16731</v>
      </c>
    </row>
    <row r="19" spans="1:101" s="37" customFormat="1" ht="15" customHeight="1">
      <c r="A19" s="41"/>
    </row>
    <row r="20" spans="1:101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101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S21" si="30">EDATE(BK21,1)</f>
        <v>44986</v>
      </c>
      <c r="BM21" s="7">
        <f t="shared" si="30"/>
        <v>45017</v>
      </c>
      <c r="BN21" s="7">
        <f t="shared" si="30"/>
        <v>45047</v>
      </c>
      <c r="BO21" s="7">
        <f t="shared" si="30"/>
        <v>45078</v>
      </c>
      <c r="BP21" s="7">
        <f t="shared" si="30"/>
        <v>45108</v>
      </c>
      <c r="BQ21" s="7">
        <f t="shared" si="30"/>
        <v>45139</v>
      </c>
      <c r="BR21" s="7">
        <f t="shared" si="30"/>
        <v>45170</v>
      </c>
      <c r="BS21" s="7">
        <f t="shared" si="30"/>
        <v>45200</v>
      </c>
      <c r="BT21" s="7">
        <f t="shared" si="30"/>
        <v>45231</v>
      </c>
      <c r="BU21" s="7">
        <f t="shared" si="30"/>
        <v>45261</v>
      </c>
      <c r="BV21" s="28">
        <f t="shared" si="30"/>
        <v>45292</v>
      </c>
      <c r="BW21" s="28">
        <f t="shared" si="30"/>
        <v>45323</v>
      </c>
      <c r="BX21" s="28">
        <f t="shared" si="30"/>
        <v>45352</v>
      </c>
      <c r="BY21" s="28">
        <f t="shared" si="30"/>
        <v>45383</v>
      </c>
      <c r="BZ21" s="28">
        <f t="shared" si="30"/>
        <v>45413</v>
      </c>
      <c r="CA21" s="28">
        <f t="shared" si="30"/>
        <v>45444</v>
      </c>
      <c r="CB21" s="28">
        <f t="shared" si="30"/>
        <v>45474</v>
      </c>
      <c r="CC21" s="28">
        <f t="shared" si="30"/>
        <v>45505</v>
      </c>
      <c r="CD21" s="28">
        <f t="shared" si="30"/>
        <v>45536</v>
      </c>
      <c r="CE21" s="28">
        <f t="shared" si="30"/>
        <v>45566</v>
      </c>
      <c r="CF21" s="28">
        <f t="shared" si="30"/>
        <v>45597</v>
      </c>
      <c r="CG21" s="28">
        <f t="shared" si="30"/>
        <v>45627</v>
      </c>
      <c r="CH21" s="7">
        <f t="shared" si="30"/>
        <v>45658</v>
      </c>
      <c r="CI21" s="7">
        <f t="shared" si="30"/>
        <v>45689</v>
      </c>
      <c r="CJ21" s="7">
        <f t="shared" si="30"/>
        <v>45717</v>
      </c>
      <c r="CK21" s="7">
        <f t="shared" si="30"/>
        <v>45748</v>
      </c>
      <c r="CL21" s="7">
        <f t="shared" si="30"/>
        <v>45778</v>
      </c>
      <c r="CM21" s="7">
        <f t="shared" si="30"/>
        <v>45809</v>
      </c>
      <c r="CN21" s="7">
        <f t="shared" si="30"/>
        <v>45839</v>
      </c>
      <c r="CO21" s="7">
        <f t="shared" si="30"/>
        <v>45870</v>
      </c>
      <c r="CP21" s="7">
        <f t="shared" si="30"/>
        <v>45901</v>
      </c>
      <c r="CQ21" s="7">
        <f t="shared" si="30"/>
        <v>45931</v>
      </c>
      <c r="CR21" s="7">
        <f t="shared" si="30"/>
        <v>45962</v>
      </c>
      <c r="CS21" s="7">
        <f t="shared" si="30"/>
        <v>45992</v>
      </c>
      <c r="CT21" s="28">
        <f t="shared" ref="CT21" si="31">EDATE(CS21,1)</f>
        <v>46023</v>
      </c>
      <c r="CU21" s="28">
        <f t="shared" ref="CU21:CW21" si="32">EDATE(CT21,1)</f>
        <v>46054</v>
      </c>
      <c r="CV21" s="28">
        <f t="shared" si="32"/>
        <v>46082</v>
      </c>
      <c r="CW21" s="28">
        <f t="shared" si="32"/>
        <v>46113</v>
      </c>
    </row>
    <row r="22" spans="1:101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  <c r="CU22" s="10">
        <v>9512012</v>
      </c>
      <c r="CV22" s="10">
        <v>9520334</v>
      </c>
      <c r="CW22" s="10">
        <v>9529217</v>
      </c>
    </row>
    <row r="23" spans="1:101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33">BI22-BH22</f>
        <v>-2469</v>
      </c>
      <c r="BJ23" s="12">
        <f t="shared" si="33"/>
        <v>3911</v>
      </c>
      <c r="BK23" s="12">
        <f t="shared" si="33"/>
        <v>7254</v>
      </c>
      <c r="BL23" s="12">
        <f t="shared" si="33"/>
        <v>7846</v>
      </c>
      <c r="BM23" s="12">
        <f t="shared" si="33"/>
        <v>9409</v>
      </c>
      <c r="BN23" s="12">
        <f t="shared" si="33"/>
        <v>3241</v>
      </c>
      <c r="BO23" s="12">
        <f t="shared" si="33"/>
        <v>6507</v>
      </c>
      <c r="BP23" s="12">
        <f t="shared" si="33"/>
        <v>-6637</v>
      </c>
      <c r="BQ23" s="12">
        <f t="shared" si="33"/>
        <v>-32993</v>
      </c>
      <c r="BR23" s="12">
        <f t="shared" si="33"/>
        <v>-960</v>
      </c>
      <c r="BS23" s="12">
        <f t="shared" si="33"/>
        <v>-10630</v>
      </c>
      <c r="BT23" s="12">
        <f t="shared" ref="BT23:CW23" si="34">BT22-BS22</f>
        <v>-5128</v>
      </c>
      <c r="BU23" s="12">
        <f t="shared" si="34"/>
        <v>-5296</v>
      </c>
      <c r="BV23" s="12">
        <f t="shared" si="34"/>
        <v>2945</v>
      </c>
      <c r="BW23" s="12">
        <f t="shared" si="34"/>
        <v>575</v>
      </c>
      <c r="BX23" s="12">
        <f t="shared" si="34"/>
        <v>5658</v>
      </c>
      <c r="BY23" s="12">
        <f t="shared" si="34"/>
        <v>-2714</v>
      </c>
      <c r="BZ23" s="12">
        <f t="shared" si="34"/>
        <v>-1179</v>
      </c>
      <c r="CA23" s="12">
        <f t="shared" si="34"/>
        <v>8824</v>
      </c>
      <c r="CB23" s="12">
        <f t="shared" si="34"/>
        <v>5357</v>
      </c>
      <c r="CC23" s="12">
        <f t="shared" si="34"/>
        <v>7962</v>
      </c>
      <c r="CD23" s="12">
        <f t="shared" si="34"/>
        <v>4368</v>
      </c>
      <c r="CE23" s="12">
        <f t="shared" si="34"/>
        <v>2013</v>
      </c>
      <c r="CF23" s="12">
        <f t="shared" si="34"/>
        <v>5141</v>
      </c>
      <c r="CG23" s="12">
        <f t="shared" si="34"/>
        <v>1702</v>
      </c>
      <c r="CH23" s="12">
        <f t="shared" si="34"/>
        <v>-3372</v>
      </c>
      <c r="CI23" s="12">
        <f t="shared" si="34"/>
        <v>-2717</v>
      </c>
      <c r="CJ23" s="12">
        <f t="shared" si="34"/>
        <v>-5559</v>
      </c>
      <c r="CK23" s="12">
        <f t="shared" si="34"/>
        <v>-2348</v>
      </c>
      <c r="CL23" s="12">
        <f t="shared" si="34"/>
        <v>35981</v>
      </c>
      <c r="CM23" s="12">
        <f t="shared" si="34"/>
        <v>18634</v>
      </c>
      <c r="CN23" s="12">
        <f t="shared" si="34"/>
        <v>17198</v>
      </c>
      <c r="CO23" s="12">
        <f t="shared" si="34"/>
        <v>7466</v>
      </c>
      <c r="CP23" s="12">
        <f t="shared" si="34"/>
        <v>5650</v>
      </c>
      <c r="CQ23" s="12">
        <f t="shared" si="34"/>
        <v>2956</v>
      </c>
      <c r="CR23" s="12">
        <f t="shared" si="34"/>
        <v>5914</v>
      </c>
      <c r="CS23" s="12">
        <f t="shared" si="34"/>
        <v>3610</v>
      </c>
      <c r="CT23" s="12">
        <f t="shared" si="34"/>
        <v>-23058</v>
      </c>
      <c r="CU23" s="12">
        <f t="shared" si="34"/>
        <v>2351</v>
      </c>
      <c r="CV23" s="12">
        <f t="shared" si="34"/>
        <v>8322</v>
      </c>
      <c r="CW23" s="12">
        <f t="shared" si="34"/>
        <v>8883</v>
      </c>
    </row>
    <row r="24" spans="1:101" s="37" customFormat="1" ht="15" customHeight="1">
      <c r="A24" s="41"/>
    </row>
  </sheetData>
  <phoneticPr fontId="2" type="noConversion"/>
  <pageMargins left="0.7" right="0.7" top="0.75" bottom="0.75" header="0.3" footer="0.3"/>
  <pageSetup paperSize="9" scale="58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9fd55806-8318-4e03-ae48-59d88539c9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이주영</dc:creator>
  <dcterms:modified xsi:type="dcterms:W3CDTF">2026-06-08T04:55:13Z</dcterms:modified>
  <cp:lastPrinted>2022-05-02T04:43:26Z</cp:lastPrinted>
  <cp:lastModifiedBy>이주영(IR1팀)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