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'Fixed(M)'!$A$1:$CA$24</definedName>
    <definedName name="_xlnm.Print_Area" localSheetId="0">'Wireless(Q)'!$A$1:$AA$31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<sst xmlns="http://schemas.openxmlformats.org/spreadsheetml/2006/main" count="98" uniqueCount="75">
  <si>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</si>
  <si>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</si>
  <si>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</si>
  <si>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</si>
  <si>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</si>
  <si>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</si>
  <si>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</si>
  <si>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</si>
  <si>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</si>
  <si>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</si>
  <si>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</si>
  <si>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</si>
  <si>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</si>
  <si>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</si>
  <si>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</si>
  <si>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</si>
  <si>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</si>
  <si>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</si>
  <si>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</si>
  <si>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</si>
  <si>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</si>
  <si>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</si>
  <si>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</si>
  <si>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</si>
  <si>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</si>
  <si>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</si>
  <si>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</si>
  <si>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</si>
  <si>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</si>
  <si>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</si>
  <si>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</si>
  <si>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</si>
  <si>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</si>
  <si>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</si>
  <si>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</si>
  <si>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</si>
  <si>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</si>
  <si>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</si>
  <si>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</si>
  <si>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</si>
  <si>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</si>
  <si>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</si>
  <si>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</si>
  <si>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</si>
  <si>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</si>
  <si>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</si>
  <si>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</si>
  <si>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</si>
  <si>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</si>
  <si>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</si>
  <si>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</si>
  <si>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</si>
  <si>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</si>
  <si>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</si>
  <si>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</si>
  <si>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</si>
  <si>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</si>
  <si>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</si>
  <si>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</si>
  <si>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</si>
  <si>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</si>
  <si>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</si>
  <si>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</si>
  <si>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</si>
  <si>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</si>
  <si>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</si>
  <si>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</si>
  <si>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</si>
  <si>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</si>
  <si>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</si>
  <si>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</si>
  <si>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</si>
  <si>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</si>
  <si>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</si>
  <si>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>KT Monthly Factsheet (June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</si>
</sst>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7">
    <xf numFmtId="0" fontId="0" fillId="0" borderId="0" xfId="0">
      <alignment vertical="center"/>
    </xf>
    <xf numFmtId="176" fontId="4" fillId="2" borderId="0" xfId="3" applyNumberFormat="1" applyFont="1" applyFill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179" fontId="10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80" fontId="11" fillId="5" borderId="0" xfId="4" applyNumberFormat="1" applyFont="1" applyFill="1" applyAlignment="1">
      <alignment horizontal="left" vertical="center"/>
    </xf>
    <xf numFmtId="178" fontId="9" fillId="3" borderId="0" xfId="4" quotePrefix="1" applyNumberFormat="1" applyFont="1" applyFill="1" applyAlignment="1">
      <alignment horizontal="center" vertical="center"/>
    </xf>
    <xf numFmtId="180" fontId="12" fillId="0" borderId="0" xfId="3" applyNumberFormat="1" applyFont="1" applyAlignment="1">
      <alignment horizontal="center" vertical="center"/>
    </xf>
    <xf numFmtId="0" fontId="13" fillId="7" borderId="0" xfId="4" applyFont="1" applyFill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Alignment="1">
      <alignment horizontal="left" vertical="center" indent="1"/>
    </xf>
    <xf numFmtId="0" fontId="14" fillId="7" borderId="0" xfId="4" applyFont="1" applyFill="1" applyAlignment="1">
      <alignment horizontal="left" vertical="center" indent="1"/>
    </xf>
    <xf numFmtId="181" fontId="14" fillId="7" borderId="0" xfId="4" applyNumberFormat="1" applyFont="1" applyFill="1" applyAlignment="1">
      <alignment horizontal="right" vertical="center"/>
    </xf>
    <xf numFmtId="181" fontId="14" fillId="2" borderId="0" xfId="4" applyNumberFormat="1" applyFont="1" applyFill="1" applyAlignment="1">
      <alignment horizontal="left" vertical="center"/>
    </xf>
    <xf numFmtId="181" fontId="14" fillId="2" borderId="0" xfId="4" applyNumberFormat="1" applyFont="1" applyFill="1" applyAlignment="1">
      <alignment horizontal="right" vertical="center"/>
    </xf>
    <xf numFmtId="180" fontId="15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Alignment="1">
      <alignment horizontal="left" vertical="center"/>
    </xf>
    <xf numFmtId="179" fontId="12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4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Alignment="1">
      <alignment horizontal="left" vertical="center"/>
    </xf>
    <xf numFmtId="179" fontId="13" fillId="7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5" fillId="2" borderId="0" xfId="0" applyNumberFormat="1" applyFont="1" applyFill="1" applyAlignment="1">
      <alignment horizontal="left" vertical="center"/>
    </xf>
    <xf numFmtId="41" fontId="28" fillId="2" borderId="0" xfId="0" applyNumberFormat="1" applyFont="1" applyFill="1" applyAlignment="1">
      <alignment horizontal="right" vertical="center"/>
    </xf>
    <xf numFmtId="0" fontId="27" fillId="0" borderId="0" xfId="0" applyFont="1">
      <alignment vertical="center"/>
    </xf>
    <xf numFmtId="9" fontId="17" fillId="2" borderId="0" xfId="2" applyFont="1" applyFill="1" applyBorder="1" applyAlignment="1">
      <alignment horizontal="left" vertical="center"/>
    </xf>
    <xf numFmtId="0" fontId="16" fillId="0" borderId="0" xfId="3" applyFont="1" applyAlignment="1">
      <alignment horizontal="center" vertical="center"/>
    </xf>
    <xf numFmtId="181" fontId="16" fillId="0" borderId="0" xfId="3" applyNumberFormat="1" applyFont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 wrapText="1"/>
    </xf>
    <xf numFmtId="181" fontId="14" fillId="2" borderId="0" xfId="4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Border="1" applyAlignment="1">
      <alignment horizontal="right" vertical="center"/>
    </xf>
    <xf numFmtId="41" fontId="205" fillId="0" borderId="1" xfId="0" applyNumberFormat="1" applyFont="1" applyBorder="1" applyAlignment="1">
      <alignment horizontal="left" vertical="center"/>
    </xf>
    <xf numFmtId="328" fontId="206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3" fontId="13" fillId="5" borderId="0" xfId="0" applyNumberFormat="1" applyFont="1" applyFill="1" applyAlignment="1">
      <alignment horizontal="right" vertical="center"/>
    </xf>
    <xf numFmtId="181" fontId="14" fillId="0" borderId="0" xfId="4" applyNumberFormat="1" applyFont="1" applyAlignment="1">
      <alignment horizontal="right" vertical="center" wrapText="1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26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26DC1E1F-DF6C-406B-9748-CCCB9183A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3676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77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EF4142D0-D2FA-471C-86FE-A99775EFA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072755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31"/>
  <sheetViews>
    <sheetView showGridLines="0" tabSelected="1" view="pageBreakPreview" zoomScale="55" zoomScaleNormal="60" zoomScaleSheetLayoutView="55" workbookViewId="0">
      <pane xSplit="1" topLeftCell="R1" activePane="topRight" state="frozen"/>
      <selection pane="topRight" activeCell="AA28" sqref="AA28"/>
    </sheetView>
  </sheetViews>
  <sheetFormatPr defaultColWidth="9" defaultRowHeight="18.75" customHeight="1"/>
  <cols>
    <col min="1" max="1" width="41.375" style="53" customWidth="1"/>
    <col min="2" max="2" width="14.875" style="53" hidden="1" customWidth="1"/>
    <col min="3" max="3" width="15.125" style="53" hidden="1" customWidth="1"/>
    <col min="4" max="4" width="14.875" style="53" hidden="1" customWidth="1"/>
    <col min="5" max="17" width="15.125" style="53" hidden="1" customWidth="1"/>
    <col min="18" max="18" width="15.125" style="53" customWidth="1"/>
    <col min="19" max="19" width="14.375" style="53" customWidth="1"/>
    <col min="20" max="20" width="13.5" style="53" customWidth="1"/>
    <col min="21" max="27" width="15" style="53" customWidth="1"/>
    <col min="28" max="28" width="9" style="53"/>
    <col min="29" max="29" width="10.875" style="53" bestFit="1" customWidth="1"/>
    <col min="30" max="16384" width="9" style="53"/>
  </cols>
  <sheetData>
    <row r="1" spans="1:27" s="54" customFormat="1" ht="46.5" customHeight="1">
      <c r="A1" s="1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</row>
    <row r="2" spans="1:27" s="33" customFormat="1" ht="27.75" customHeight="1"/>
    <row r="3" spans="1:27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</row>
    <row r="4" spans="1:27" s="49" customFormat="1" ht="31.5" customHeight="1">
      <c r="A4" s="27" t="s">
        <v>12</v>
      </c>
      <c r="B4" s="28" t="s">
        <v>28</v>
      </c>
      <c r="C4" s="28" t="s">
        <v>29</v>
      </c>
      <c r="D4" s="28" t="s">
        <v>30</v>
      </c>
      <c r="E4" s="28" t="s">
        <v>31</v>
      </c>
      <c r="F4" s="7" t="s">
        <v>26</v>
      </c>
      <c r="G4" s="7" t="s">
        <v>27</v>
      </c>
      <c r="H4" s="7" t="s">
        <v>25</v>
      </c>
      <c r="I4" s="7" t="s">
        <v>39</v>
      </c>
      <c r="J4" s="28" t="s">
        <v>41</v>
      </c>
      <c r="K4" s="28" t="s">
        <v>43</v>
      </c>
      <c r="L4" s="28" t="s">
        <v>44</v>
      </c>
      <c r="M4" s="28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28" t="s">
        <v>53</v>
      </c>
      <c r="S4" s="28" t="s">
        <v>55</v>
      </c>
      <c r="T4" s="28" t="s">
        <v>56</v>
      </c>
      <c r="U4" s="28" t="s">
        <v>57</v>
      </c>
      <c r="V4" s="7" t="s">
        <v>58</v>
      </c>
      <c r="W4" s="7" t="s">
        <v>60</v>
      </c>
      <c r="X4" s="7" t="s">
        <v>62</v>
      </c>
      <c r="Y4" s="7" t="s">
        <v>63</v>
      </c>
      <c r="Z4" s="28" t="s">
        <v>67</v>
      </c>
      <c r="AA4" s="28" t="s">
        <v>73</v>
      </c>
    </row>
    <row r="5" spans="1:27" s="50" customFormat="1" ht="31.5" customHeight="1">
      <c r="A5" s="29" t="s">
        <v>13</v>
      </c>
      <c r="B5" s="65">
        <v>20623074</v>
      </c>
      <c r="C5" s="65">
        <v>20787130</v>
      </c>
      <c r="D5" s="65">
        <v>20960143</v>
      </c>
      <c r="E5" s="65">
        <v>21138470</v>
      </c>
      <c r="F5" s="65">
        <v>21333414</v>
      </c>
      <c r="G5" s="65">
        <v>21549275</v>
      </c>
      <c r="H5" s="65">
        <v>21771395</v>
      </c>
      <c r="I5" s="65">
        <v>21921726</v>
      </c>
      <c r="J5" s="65">
        <v>21976346</v>
      </c>
      <c r="K5" s="65">
        <v>22133418</v>
      </c>
      <c r="L5" s="65">
        <v>22332940</v>
      </c>
      <c r="M5" s="65">
        <v>22305196</v>
      </c>
      <c r="N5" s="65">
        <v>22427229</v>
      </c>
      <c r="O5" s="65">
        <v>22621043</v>
      </c>
      <c r="P5" s="65">
        <v>22735419</v>
      </c>
      <c r="Q5" s="65">
        <v>22798972</v>
      </c>
      <c r="R5" s="65">
        <v>23059858</v>
      </c>
      <c r="S5" s="65">
        <v>23408751</v>
      </c>
      <c r="T5" s="65">
        <v>23826745</v>
      </c>
      <c r="U5" s="65">
        <v>24062220</v>
      </c>
      <c r="V5" s="65">
        <v>24331780</v>
      </c>
      <c r="W5" s="65">
        <v>24620713</v>
      </c>
      <c r="X5" s="65">
        <v>24903276</v>
      </c>
      <c r="Y5" s="65">
        <v>24896794</v>
      </c>
      <c r="Z5" s="65">
        <v>24833565</v>
      </c>
      <c r="AA5" s="65">
        <v>24903683</v>
      </c>
    </row>
    <row r="6" spans="1:27" s="50" customFormat="1" ht="31.5" customHeight="1">
      <c r="A6" s="70" t="s">
        <v>65</v>
      </c>
      <c r="B6" s="71" t="s">
        <v>23</v>
      </c>
      <c r="C6" s="71">
        <f>C5-B5</f>
        <v>164056</v>
      </c>
      <c r="D6" s="71">
        <f t="shared" ref="D6:AA6" si="0">D5-C5</f>
        <v>173013</v>
      </c>
      <c r="E6" s="71">
        <f t="shared" si="0"/>
        <v>178327</v>
      </c>
      <c r="F6" s="71">
        <f t="shared" si="0"/>
        <v>194944</v>
      </c>
      <c r="G6" s="71">
        <f t="shared" si="0"/>
        <v>215861</v>
      </c>
      <c r="H6" s="71">
        <f t="shared" si="0"/>
        <v>222120</v>
      </c>
      <c r="I6" s="71">
        <f t="shared" si="0"/>
        <v>150331</v>
      </c>
      <c r="J6" s="71">
        <f t="shared" si="0"/>
        <v>54620</v>
      </c>
      <c r="K6" s="71">
        <f t="shared" si="0"/>
        <v>157072</v>
      </c>
      <c r="L6" s="71">
        <f t="shared" si="0"/>
        <v>199522</v>
      </c>
      <c r="M6" s="71">
        <f t="shared" si="0"/>
        <v>-27744</v>
      </c>
      <c r="N6" s="71">
        <f t="shared" si="0"/>
        <v>122033</v>
      </c>
      <c r="O6" s="71">
        <f t="shared" si="0"/>
        <v>193814</v>
      </c>
      <c r="P6" s="71">
        <f t="shared" si="0"/>
        <v>114376</v>
      </c>
      <c r="Q6" s="71">
        <f t="shared" si="0"/>
        <v>63553</v>
      </c>
      <c r="R6" s="71">
        <f t="shared" si="0"/>
        <v>260886</v>
      </c>
      <c r="S6" s="71">
        <f t="shared" si="0"/>
        <v>348893</v>
      </c>
      <c r="T6" s="71">
        <f t="shared" si="0"/>
        <v>417994</v>
      </c>
      <c r="U6" s="71">
        <f t="shared" si="0"/>
        <v>235475</v>
      </c>
      <c r="V6" s="71">
        <f t="shared" si="0"/>
        <v>269560</v>
      </c>
      <c r="W6" s="71">
        <f t="shared" si="0"/>
        <v>288933</v>
      </c>
      <c r="X6" s="71">
        <f t="shared" si="0"/>
        <v>282563</v>
      </c>
      <c r="Y6" s="71">
        <f t="shared" si="0"/>
        <v>-6482</v>
      </c>
      <c r="Z6" s="71">
        <f t="shared" si="0"/>
        <v>-63229</v>
      </c>
      <c r="AA6" s="71">
        <f t="shared" si="0"/>
        <v>70118</v>
      </c>
    </row>
    <row r="7" spans="1:27" s="50" customFormat="1" ht="31.5" customHeight="1">
      <c r="A7" s="67" t="s">
        <v>69</v>
      </c>
      <c r="B7" s="66">
        <v>16794524</v>
      </c>
      <c r="C7" s="66">
        <v>17017893</v>
      </c>
      <c r="D7" s="66">
        <v>17221478</v>
      </c>
      <c r="E7" s="66">
        <v>17409116</v>
      </c>
      <c r="F7" s="66">
        <v>17578076</v>
      </c>
      <c r="G7" s="66">
        <v>17781217</v>
      </c>
      <c r="H7" s="66">
        <v>17979192</v>
      </c>
      <c r="I7" s="66">
        <v>18150190</v>
      </c>
      <c r="J7" s="66">
        <v>18331607</v>
      </c>
      <c r="K7" s="66">
        <v>18616094</v>
      </c>
      <c r="L7" s="66">
        <v>18841428</v>
      </c>
      <c r="M7" s="66">
        <v>17388291</v>
      </c>
      <c r="N7" s="66">
        <v>17432913</v>
      </c>
      <c r="O7" s="66">
        <v>17497028</v>
      </c>
      <c r="P7" s="66">
        <v>17534618</v>
      </c>
      <c r="Q7" s="66">
        <v>17466923</v>
      </c>
      <c r="R7" s="66">
        <v>17444000</v>
      </c>
      <c r="S7" s="66">
        <v>17434290</v>
      </c>
      <c r="T7" s="66">
        <v>17569998</v>
      </c>
      <c r="U7" s="66">
        <v>17500419</v>
      </c>
      <c r="V7" s="66">
        <v>17505108</v>
      </c>
      <c r="W7" s="66">
        <v>17642914</v>
      </c>
      <c r="X7" s="66">
        <v>17735022</v>
      </c>
      <c r="Y7" s="66">
        <v>17758837</v>
      </c>
      <c r="Z7" s="66">
        <v>17742640</v>
      </c>
      <c r="AA7" s="66">
        <v>17770004</v>
      </c>
    </row>
    <row r="8" spans="1:27" s="50" customFormat="1" ht="31.5" customHeight="1">
      <c r="A8" s="68" t="s">
        <v>70</v>
      </c>
      <c r="B8" s="69">
        <v>3583766</v>
      </c>
      <c r="C8" s="69">
        <v>3644173</v>
      </c>
      <c r="D8" s="69">
        <v>3698288</v>
      </c>
      <c r="E8" s="69">
        <v>3711054</v>
      </c>
      <c r="F8" s="69">
        <v>3755338</v>
      </c>
      <c r="G8" s="69">
        <v>3768058</v>
      </c>
      <c r="H8" s="69">
        <v>3792203</v>
      </c>
      <c r="I8" s="69">
        <v>3771536</v>
      </c>
      <c r="J8" s="69">
        <v>3644739</v>
      </c>
      <c r="K8" s="69">
        <v>3517324</v>
      </c>
      <c r="L8" s="69">
        <v>3491512</v>
      </c>
      <c r="M8" s="69">
        <v>4916905</v>
      </c>
      <c r="N8" s="69">
        <v>4994316</v>
      </c>
      <c r="O8" s="69">
        <v>5124015</v>
      </c>
      <c r="P8" s="69">
        <v>5200801</v>
      </c>
      <c r="Q8" s="69">
        <v>5332049</v>
      </c>
      <c r="R8" s="69">
        <v>5615858</v>
      </c>
      <c r="S8" s="69">
        <v>5974461</v>
      </c>
      <c r="T8" s="69">
        <v>6256747</v>
      </c>
      <c r="U8" s="69">
        <v>6561801</v>
      </c>
      <c r="V8" s="69">
        <v>6826672</v>
      </c>
      <c r="W8" s="69">
        <v>6977799</v>
      </c>
      <c r="X8" s="69">
        <v>7168254</v>
      </c>
      <c r="Y8" s="69">
        <v>7137957</v>
      </c>
      <c r="Z8" s="69">
        <v>7090925</v>
      </c>
      <c r="AA8" s="69">
        <v>7133679</v>
      </c>
    </row>
    <row r="9" spans="1:27" s="50" customFormat="1" ht="31.5" customHeight="1">
      <c r="A9" s="72" t="s">
        <v>71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>
        <v>8796271</v>
      </c>
      <c r="W9" s="73">
        <v>9116751</v>
      </c>
      <c r="X9" s="73">
        <v>9407748</v>
      </c>
      <c r="Y9" s="73">
        <v>9721608</v>
      </c>
      <c r="Z9" s="73">
        <v>9947926</v>
      </c>
      <c r="AA9" s="73">
        <v>10093091</v>
      </c>
    </row>
    <row r="10" spans="1:27" s="50" customFormat="1" ht="21.6" customHeight="1">
      <c r="A10" s="74" t="s">
        <v>72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7" s="50" customFormat="1" ht="15" customHeight="1">
      <c r="A11" s="74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7" s="49" customFormat="1" ht="22.5" customHeight="1">
      <c r="A12" s="32" t="s">
        <v>14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8.9999999999999993E-3</v>
      </c>
    </row>
    <row r="13" spans="1:27" s="49" customFormat="1" ht="22.5" customHeight="1">
      <c r="A13" s="61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s="50" customFormat="1" ht="15" customHeight="1">
      <c r="A14" s="5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7" s="33" customFormat="1" ht="31.5" customHeight="1">
      <c r="A15" s="26" t="s">
        <v>15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50"/>
      <c r="X15" s="50"/>
      <c r="Y15" s="50"/>
      <c r="Z15" s="3">
        <v>2024</v>
      </c>
      <c r="AA15" s="50"/>
    </row>
    <row r="16" spans="1:27" s="49" customFormat="1" ht="31.5" customHeight="1">
      <c r="A16" s="34" t="s">
        <v>16</v>
      </c>
      <c r="B16" s="28" t="s">
        <v>32</v>
      </c>
      <c r="C16" s="28" t="s">
        <v>33</v>
      </c>
      <c r="D16" s="28" t="s">
        <v>34</v>
      </c>
      <c r="E16" s="28" t="s">
        <v>35</v>
      </c>
      <c r="F16" s="7" t="s">
        <v>36</v>
      </c>
      <c r="G16" s="7" t="s">
        <v>37</v>
      </c>
      <c r="H16" s="7" t="s">
        <v>38</v>
      </c>
      <c r="I16" s="7" t="s">
        <v>40</v>
      </c>
      <c r="J16" s="28" t="s">
        <v>42</v>
      </c>
      <c r="K16" s="28" t="s">
        <v>43</v>
      </c>
      <c r="L16" s="28" t="s">
        <v>45</v>
      </c>
      <c r="M16" s="28" t="s">
        <v>46</v>
      </c>
      <c r="N16" s="7" t="s">
        <v>47</v>
      </c>
      <c r="O16" s="7" t="s">
        <v>48</v>
      </c>
      <c r="P16" s="7" t="s">
        <v>49</v>
      </c>
      <c r="Q16" s="7" t="s">
        <v>50</v>
      </c>
      <c r="R16" s="28" t="s">
        <v>53</v>
      </c>
      <c r="S16" s="28" t="s">
        <v>55</v>
      </c>
      <c r="T16" s="28" t="s">
        <v>56</v>
      </c>
      <c r="U16" s="28" t="s">
        <v>57</v>
      </c>
      <c r="V16" s="7" t="s">
        <v>58</v>
      </c>
      <c r="W16" s="7" t="s">
        <v>60</v>
      </c>
      <c r="X16" s="7" t="s">
        <v>62</v>
      </c>
      <c r="Y16" s="7" t="s">
        <v>63</v>
      </c>
      <c r="Z16" s="28" t="s">
        <v>67</v>
      </c>
      <c r="AA16" s="28" t="s">
        <v>73</v>
      </c>
    </row>
    <row r="17" spans="1:27" s="33" customFormat="1" ht="31.5" hidden="1" customHeight="1">
      <c r="A17" s="35" t="s">
        <v>17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 s="33" customFormat="1" ht="31.5" hidden="1" customHeight="1">
      <c r="A18" s="37" t="s">
        <v>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s="33" customFormat="1" ht="31.5" hidden="1" customHeight="1">
      <c r="A19" s="37" t="s">
        <v>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s="51" customFormat="1" ht="31.5" hidden="1" customHeight="1">
      <c r="A20" s="37" t="s">
        <v>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s="33" customFormat="1" ht="31.5" hidden="1" customHeight="1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7" s="33" customFormat="1" ht="31.5" hidden="1" customHeight="1">
      <c r="A22" s="35" t="s">
        <v>20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s="33" customFormat="1" ht="31.5" hidden="1" customHeight="1">
      <c r="A23" s="37" t="s">
        <v>10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s="33" customFormat="1" ht="31.5" hidden="1" customHeight="1">
      <c r="A24" s="39" t="s">
        <v>11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s="33" customFormat="1" ht="8.25" hidden="1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s="33" customFormat="1" ht="22.5" hidden="1" customHeight="1">
      <c r="A26" s="44" t="s">
        <v>21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 s="33" customFormat="1" ht="22.5" hidden="1" customHeight="1">
      <c r="A27" s="46" t="s">
        <v>22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spans="1:27" s="52" customFormat="1" ht="31.5" customHeight="1">
      <c r="A28" s="64" t="s">
        <v>54</v>
      </c>
      <c r="B28" s="48"/>
      <c r="C28" s="48"/>
      <c r="D28" s="48"/>
      <c r="E28" s="48"/>
      <c r="F28" s="48"/>
      <c r="G28" s="48"/>
      <c r="H28" s="48"/>
      <c r="I28" s="48"/>
      <c r="J28" s="48">
        <v>31047.535232711263</v>
      </c>
      <c r="K28" s="48">
        <v>30656.944430499378</v>
      </c>
      <c r="L28" s="48">
        <v>30815.52324865833</v>
      </c>
      <c r="M28" s="48">
        <v>31109</v>
      </c>
      <c r="N28" s="48">
        <v>31151</v>
      </c>
      <c r="O28" s="48">
        <v>31429</v>
      </c>
      <c r="P28" s="48">
        <v>31815</v>
      </c>
      <c r="Q28" s="48">
        <v>31825</v>
      </c>
      <c r="R28" s="48">
        <v>32308.38615118797</v>
      </c>
      <c r="S28" s="48">
        <v>32446</v>
      </c>
      <c r="T28" s="48">
        <v>32916.998590049174</v>
      </c>
      <c r="U28" s="48">
        <v>33542</v>
      </c>
      <c r="V28" s="48">
        <v>33771</v>
      </c>
      <c r="W28" s="48">
        <v>33948</v>
      </c>
      <c r="X28" s="48">
        <v>33838</v>
      </c>
      <c r="Y28" s="48">
        <v>34302</v>
      </c>
      <c r="Z28" s="48">
        <v>34461</v>
      </c>
      <c r="AA28" s="75"/>
    </row>
    <row r="29" spans="1:27" s="57" customFormat="1" ht="23.25" customHeight="1">
      <c r="A29" s="61" t="s">
        <v>51</v>
      </c>
      <c r="B29" s="56"/>
      <c r="C29" s="56"/>
      <c r="D29" s="56"/>
      <c r="E29" s="56"/>
      <c r="F29" s="56"/>
      <c r="G29" s="56"/>
      <c r="H29" s="56"/>
      <c r="I29" s="56"/>
      <c r="J29" s="56"/>
    </row>
    <row r="30" spans="1:27" s="57" customFormat="1" ht="23.25" customHeight="1">
      <c r="A30" s="58" t="s">
        <v>66</v>
      </c>
      <c r="B30" s="56"/>
      <c r="C30" s="56"/>
      <c r="D30" s="56"/>
      <c r="E30" s="56"/>
      <c r="F30" s="56"/>
      <c r="G30" s="56"/>
      <c r="H30" s="56"/>
      <c r="I30" s="56"/>
      <c r="J30" s="56"/>
    </row>
    <row r="31" spans="1:27" s="57" customFormat="1" ht="23.25" customHeight="1">
      <c r="A31" s="58" t="s">
        <v>52</v>
      </c>
      <c r="B31" s="56"/>
      <c r="C31" s="56"/>
      <c r="D31" s="56"/>
      <c r="E31" s="56"/>
      <c r="F31" s="56"/>
      <c r="G31" s="56"/>
      <c r="H31" s="56"/>
      <c r="I31" s="56"/>
      <c r="J31" s="56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A24"/>
  <sheetViews>
    <sheetView showGridLines="0" view="pageBreakPreview" zoomScale="55" zoomScaleNormal="70" zoomScaleSheetLayoutView="55" workbookViewId="0">
      <pane xSplit="49" topLeftCell="AX1" activePane="topRight" state="frozen"/>
      <selection pane="topRight" activeCell="CA22" sqref="CA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16384" width="9" style="2"/>
  </cols>
  <sheetData>
    <row r="1" spans="1:79" ht="44.25" customHeight="1">
      <c r="A1" s="1" t="s">
        <v>74</v>
      </c>
    </row>
    <row r="2" spans="1:79" ht="29.25" customHeight="1">
      <c r="A2" s="2"/>
    </row>
    <row r="3" spans="1:79" s="4" customFormat="1" ht="24.75" customHeight="1">
      <c r="A3" s="7" t="s">
        <v>59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79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A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</row>
    <row r="5" spans="1:79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2">
        <v>13328900</v>
      </c>
      <c r="AR5" s="62">
        <v>13284630</v>
      </c>
      <c r="AS5" s="62">
        <v>13250333</v>
      </c>
      <c r="AT5" s="62">
        <v>13217593</v>
      </c>
      <c r="AU5" s="62">
        <v>13192273</v>
      </c>
      <c r="AV5" s="62">
        <v>13148008</v>
      </c>
      <c r="AW5" s="62">
        <v>13095613</v>
      </c>
      <c r="AX5" s="62">
        <v>13050003</v>
      </c>
      <c r="AY5" s="62">
        <v>13021420</v>
      </c>
      <c r="AZ5" s="62">
        <v>12969337</v>
      </c>
      <c r="BA5" s="62">
        <v>12931911</v>
      </c>
      <c r="BB5" s="62">
        <v>12892055</v>
      </c>
      <c r="BC5" s="62">
        <v>12841719</v>
      </c>
      <c r="BD5" s="62">
        <v>12797833</v>
      </c>
      <c r="BE5" s="62">
        <v>12743865</v>
      </c>
      <c r="BF5" s="62">
        <v>12708883</v>
      </c>
      <c r="BG5" s="62">
        <v>12671316</v>
      </c>
      <c r="BH5" s="62">
        <v>12625048</v>
      </c>
      <c r="BI5" s="62">
        <v>12581257</v>
      </c>
      <c r="BJ5" s="62">
        <v>12538182</v>
      </c>
      <c r="BK5" s="62">
        <v>12489792</v>
      </c>
      <c r="BL5" s="62">
        <v>12445495</v>
      </c>
      <c r="BM5" s="62">
        <v>12404472</v>
      </c>
      <c r="BN5" s="62">
        <v>12354285</v>
      </c>
      <c r="BO5" s="62">
        <v>12309903</v>
      </c>
      <c r="BP5" s="62">
        <v>12263824</v>
      </c>
      <c r="BQ5" s="62">
        <v>12217727</v>
      </c>
      <c r="BR5" s="62">
        <v>12184317</v>
      </c>
      <c r="BS5" s="62">
        <v>12138512</v>
      </c>
      <c r="BT5" s="62">
        <v>12093639</v>
      </c>
      <c r="BU5" s="62">
        <v>12034713</v>
      </c>
      <c r="BV5" s="62">
        <v>11977707</v>
      </c>
      <c r="BW5" s="62">
        <v>11947123</v>
      </c>
      <c r="BX5" s="62">
        <v>11903009</v>
      </c>
      <c r="BY5" s="62">
        <v>11844017</v>
      </c>
      <c r="BZ5" s="62">
        <v>11791083</v>
      </c>
      <c r="CA5" s="62">
        <v>11748461</v>
      </c>
    </row>
    <row r="6" spans="1:79" s="8" customFormat="1" ht="29.25" customHeight="1">
      <c r="A6" s="11" t="s">
        <v>68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A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</row>
    <row r="7" spans="1:79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</row>
    <row r="8" spans="1:79" s="8" customFormat="1" ht="29.25" customHeight="1">
      <c r="A8" s="14" t="s">
        <v>68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A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</row>
    <row r="9" spans="1:79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3">
        <v>9199897</v>
      </c>
      <c r="AR9" s="63">
        <v>9154600</v>
      </c>
      <c r="AS9" s="63">
        <v>9110388</v>
      </c>
      <c r="AT9" s="63">
        <v>9069568</v>
      </c>
      <c r="AU9" s="63">
        <v>9029435</v>
      </c>
      <c r="AV9" s="63">
        <v>8984196</v>
      </c>
      <c r="AW9" s="63">
        <v>8937351</v>
      </c>
      <c r="AX9" s="63">
        <v>8896608</v>
      </c>
      <c r="AY9" s="63">
        <v>8857981</v>
      </c>
      <c r="AZ9" s="63">
        <v>8814512</v>
      </c>
      <c r="BA9" s="63">
        <v>8773945</v>
      </c>
      <c r="BB9" s="63">
        <v>8730702</v>
      </c>
      <c r="BC9" s="63">
        <v>8685168</v>
      </c>
      <c r="BD9" s="63">
        <v>8643706</v>
      </c>
      <c r="BE9" s="63">
        <v>8591982</v>
      </c>
      <c r="BF9" s="63">
        <v>8551024</v>
      </c>
      <c r="BG9" s="63">
        <v>8513108</v>
      </c>
      <c r="BH9" s="63">
        <v>8473186</v>
      </c>
      <c r="BI9" s="63">
        <v>8430136</v>
      </c>
      <c r="BJ9" s="63">
        <v>8384207</v>
      </c>
      <c r="BK9" s="63">
        <v>8336527</v>
      </c>
      <c r="BL9" s="76">
        <v>8285428</v>
      </c>
      <c r="BM9" s="76">
        <v>8244472</v>
      </c>
      <c r="BN9" s="76">
        <v>8199053</v>
      </c>
      <c r="BO9" s="76">
        <v>8154495</v>
      </c>
      <c r="BP9" s="76">
        <v>8110019</v>
      </c>
      <c r="BQ9" s="76">
        <v>8063192</v>
      </c>
      <c r="BR9" s="76">
        <v>8025336</v>
      </c>
      <c r="BS9" s="76">
        <v>7980408</v>
      </c>
      <c r="BT9" s="63">
        <v>7935603</v>
      </c>
      <c r="BU9" s="63">
        <v>7891780</v>
      </c>
      <c r="BV9" s="63">
        <v>7836056</v>
      </c>
      <c r="BW9" s="63">
        <v>7789535</v>
      </c>
      <c r="BX9" s="63">
        <v>7741001</v>
      </c>
      <c r="BY9" s="63">
        <v>7692870</v>
      </c>
      <c r="BZ9" s="63">
        <v>7646629</v>
      </c>
      <c r="CA9" s="63">
        <v>7605080</v>
      </c>
    </row>
    <row r="10" spans="1:79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3">
        <v>969559</v>
      </c>
      <c r="AR10" s="63">
        <v>966010</v>
      </c>
      <c r="AS10" s="63">
        <v>965551</v>
      </c>
      <c r="AT10" s="63">
        <v>967692</v>
      </c>
      <c r="AU10" s="63">
        <v>973577</v>
      </c>
      <c r="AV10" s="63">
        <v>973559</v>
      </c>
      <c r="AW10" s="63">
        <v>967611</v>
      </c>
      <c r="AX10" s="63">
        <v>964649</v>
      </c>
      <c r="AY10" s="63">
        <v>965864</v>
      </c>
      <c r="AZ10" s="63">
        <v>953754</v>
      </c>
      <c r="BA10" s="63">
        <v>952903</v>
      </c>
      <c r="BB10" s="63">
        <v>949364</v>
      </c>
      <c r="BC10" s="63">
        <v>948383</v>
      </c>
      <c r="BD10" s="63">
        <v>950455</v>
      </c>
      <c r="BE10" s="63">
        <v>946103</v>
      </c>
      <c r="BF10" s="63">
        <v>948839</v>
      </c>
      <c r="BG10" s="63">
        <v>947433</v>
      </c>
      <c r="BH10" s="63">
        <v>947550</v>
      </c>
      <c r="BI10" s="63">
        <v>945552</v>
      </c>
      <c r="BJ10" s="63">
        <v>947970</v>
      </c>
      <c r="BK10" s="63">
        <v>944357</v>
      </c>
      <c r="BL10" s="76">
        <v>940738</v>
      </c>
      <c r="BM10" s="76">
        <v>939118</v>
      </c>
      <c r="BN10" s="76">
        <v>935470</v>
      </c>
      <c r="BO10" s="76">
        <v>934759</v>
      </c>
      <c r="BP10" s="76">
        <v>932718</v>
      </c>
      <c r="BQ10" s="76">
        <f t="shared" ref="BQ10:BV10" si="3">BQ7-BQ9</f>
        <v>933056</v>
      </c>
      <c r="BR10" s="76">
        <f t="shared" si="3"/>
        <v>934467</v>
      </c>
      <c r="BS10" s="76">
        <f t="shared" si="3"/>
        <v>934665</v>
      </c>
      <c r="BT10" s="63">
        <f t="shared" si="3"/>
        <v>934837</v>
      </c>
      <c r="BU10" s="63">
        <f t="shared" si="3"/>
        <v>928193</v>
      </c>
      <c r="BV10" s="63">
        <f t="shared" si="3"/>
        <v>926805</v>
      </c>
      <c r="BW10" s="63">
        <f t="shared" ref="BW10:BY10" si="4">BW7-BW9</f>
        <v>930328</v>
      </c>
      <c r="BX10" s="63">
        <f t="shared" si="4"/>
        <v>932429</v>
      </c>
      <c r="BY10" s="63">
        <f t="shared" si="4"/>
        <v>923014</v>
      </c>
      <c r="BZ10" s="63">
        <f t="shared" ref="BZ10:CA10" si="5">BZ7-BZ9</f>
        <v>923295</v>
      </c>
      <c r="CA10" s="63">
        <f t="shared" si="5"/>
        <v>921111</v>
      </c>
    </row>
    <row r="11" spans="1:79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</row>
    <row r="12" spans="1:79" s="8" customFormat="1" ht="29.25" customHeight="1">
      <c r="A12" s="20" t="s">
        <v>68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A12" si="6">BI11-BH11</f>
        <v>1257</v>
      </c>
      <c r="BJ12" s="12">
        <f t="shared" si="6"/>
        <v>436</v>
      </c>
      <c r="BK12" s="12">
        <f t="shared" si="6"/>
        <v>2903</v>
      </c>
      <c r="BL12" s="12">
        <f t="shared" si="6"/>
        <v>10421</v>
      </c>
      <c r="BM12" s="12">
        <f t="shared" si="6"/>
        <v>1553</v>
      </c>
      <c r="BN12" s="12">
        <f t="shared" si="6"/>
        <v>-1120</v>
      </c>
      <c r="BO12" s="12">
        <f t="shared" si="6"/>
        <v>887</v>
      </c>
      <c r="BP12" s="12">
        <f t="shared" si="6"/>
        <v>438</v>
      </c>
      <c r="BQ12" s="12">
        <f t="shared" si="6"/>
        <v>392</v>
      </c>
      <c r="BR12" s="12">
        <f t="shared" si="6"/>
        <v>3035</v>
      </c>
      <c r="BS12" s="12">
        <f t="shared" si="6"/>
        <v>-1075</v>
      </c>
      <c r="BT12" s="12">
        <f t="shared" si="6"/>
        <v>-240</v>
      </c>
      <c r="BU12" s="12">
        <f t="shared" si="6"/>
        <v>-8459</v>
      </c>
      <c r="BV12" s="12">
        <f t="shared" si="6"/>
        <v>106</v>
      </c>
      <c r="BW12" s="12">
        <f t="shared" si="6"/>
        <v>12414</v>
      </c>
      <c r="BX12" s="12">
        <f t="shared" si="6"/>
        <v>2319</v>
      </c>
      <c r="BY12" s="12">
        <f t="shared" si="6"/>
        <v>-1446</v>
      </c>
      <c r="BZ12" s="12">
        <f t="shared" si="6"/>
        <v>-6974</v>
      </c>
      <c r="CA12" s="12">
        <f t="shared" si="6"/>
        <v>1111</v>
      </c>
    </row>
    <row r="13" spans="1:79" s="57" customFormat="1" ht="23.25" customHeight="1">
      <c r="A13" s="58" t="s">
        <v>24</v>
      </c>
      <c r="BB13" s="18"/>
      <c r="BC13" s="18"/>
      <c r="BD13" s="18"/>
      <c r="BE13" s="18"/>
      <c r="BF13" s="18"/>
      <c r="BG13" s="18"/>
    </row>
    <row r="14" spans="1:79" s="50" customFormat="1" ht="15" customHeight="1">
      <c r="A14" s="55"/>
      <c r="BB14" s="18"/>
      <c r="BC14" s="18"/>
      <c r="BD14" s="18"/>
      <c r="BE14" s="18"/>
      <c r="BF14" s="18"/>
      <c r="BG14" s="18"/>
    </row>
    <row r="15" spans="1:79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9" s="59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A16" si="7">EDATE(BK16,1)</f>
        <v>44986</v>
      </c>
      <c r="BM16" s="7">
        <f t="shared" si="7"/>
        <v>45017</v>
      </c>
      <c r="BN16" s="7">
        <f t="shared" si="7"/>
        <v>45047</v>
      </c>
      <c r="BO16" s="7">
        <f t="shared" si="7"/>
        <v>45078</v>
      </c>
      <c r="BP16" s="7">
        <f t="shared" si="7"/>
        <v>45108</v>
      </c>
      <c r="BQ16" s="7">
        <f t="shared" si="7"/>
        <v>45139</v>
      </c>
      <c r="BR16" s="7">
        <f t="shared" si="7"/>
        <v>45170</v>
      </c>
      <c r="BS16" s="7">
        <f t="shared" si="7"/>
        <v>45200</v>
      </c>
      <c r="BT16" s="7">
        <f t="shared" si="7"/>
        <v>45231</v>
      </c>
      <c r="BU16" s="7">
        <f t="shared" si="7"/>
        <v>45261</v>
      </c>
      <c r="BV16" s="28">
        <f t="shared" si="7"/>
        <v>45292</v>
      </c>
      <c r="BW16" s="28">
        <f t="shared" si="7"/>
        <v>45323</v>
      </c>
      <c r="BX16" s="28">
        <f t="shared" si="7"/>
        <v>45352</v>
      </c>
      <c r="BY16" s="28">
        <f t="shared" si="7"/>
        <v>45383</v>
      </c>
      <c r="BZ16" s="28">
        <f t="shared" si="7"/>
        <v>45413</v>
      </c>
      <c r="CA16" s="28">
        <f t="shared" si="7"/>
        <v>45444</v>
      </c>
    </row>
    <row r="17" spans="1:79" s="60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</row>
    <row r="18" spans="1:79" s="60" customFormat="1" ht="29.25" customHeight="1">
      <c r="A18" s="11" t="s">
        <v>68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A18" si="8">BI17-BH17</f>
        <v>7508</v>
      </c>
      <c r="BJ18" s="12">
        <f t="shared" si="8"/>
        <v>11056</v>
      </c>
      <c r="BK18" s="12">
        <f t="shared" si="8"/>
        <v>18245</v>
      </c>
      <c r="BL18" s="12">
        <f t="shared" si="8"/>
        <v>17766</v>
      </c>
      <c r="BM18" s="12">
        <f t="shared" si="8"/>
        <v>14046</v>
      </c>
      <c r="BN18" s="12">
        <f t="shared" si="8"/>
        <v>11529</v>
      </c>
      <c r="BO18" s="12">
        <f t="shared" si="8"/>
        <v>12676</v>
      </c>
      <c r="BP18" s="12">
        <f t="shared" si="8"/>
        <v>5456</v>
      </c>
      <c r="BQ18" s="12">
        <f t="shared" si="8"/>
        <v>-18440</v>
      </c>
      <c r="BR18" s="12">
        <f t="shared" si="8"/>
        <v>11366</v>
      </c>
      <c r="BS18" s="12">
        <f t="shared" si="8"/>
        <v>6109</v>
      </c>
      <c r="BT18" s="12">
        <f t="shared" si="8"/>
        <v>7598</v>
      </c>
      <c r="BU18" s="12">
        <f t="shared" si="8"/>
        <v>3098</v>
      </c>
      <c r="BV18" s="12">
        <f t="shared" si="8"/>
        <v>7546</v>
      </c>
      <c r="BW18" s="12">
        <f t="shared" si="8"/>
        <v>8546</v>
      </c>
      <c r="BX18" s="12">
        <f t="shared" si="8"/>
        <v>18567</v>
      </c>
      <c r="BY18" s="12">
        <f t="shared" si="8"/>
        <v>11502</v>
      </c>
      <c r="BZ18" s="12">
        <f t="shared" si="8"/>
        <v>13235</v>
      </c>
      <c r="CA18" s="12">
        <f t="shared" si="8"/>
        <v>12278</v>
      </c>
    </row>
    <row r="19" spans="1:79" s="50" customFormat="1" ht="15" customHeight="1">
      <c r="A19" s="55"/>
    </row>
    <row r="20" spans="1:79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9" s="59" customFormat="1" ht="29.25" customHeight="1">
      <c r="A21" s="6" t="s">
        <v>61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A21" si="9">EDATE(BK21,1)</f>
        <v>44986</v>
      </c>
      <c r="BM21" s="7">
        <f t="shared" si="9"/>
        <v>45017</v>
      </c>
      <c r="BN21" s="7">
        <f t="shared" si="9"/>
        <v>45047</v>
      </c>
      <c r="BO21" s="7">
        <f t="shared" si="9"/>
        <v>45078</v>
      </c>
      <c r="BP21" s="7">
        <f t="shared" si="9"/>
        <v>45108</v>
      </c>
      <c r="BQ21" s="7">
        <f t="shared" si="9"/>
        <v>45139</v>
      </c>
      <c r="BR21" s="7">
        <f t="shared" si="9"/>
        <v>45170</v>
      </c>
      <c r="BS21" s="7">
        <f t="shared" si="9"/>
        <v>45200</v>
      </c>
      <c r="BT21" s="7">
        <f t="shared" si="9"/>
        <v>45231</v>
      </c>
      <c r="BU21" s="7">
        <f t="shared" si="9"/>
        <v>45261</v>
      </c>
      <c r="BV21" s="28">
        <f t="shared" si="9"/>
        <v>45292</v>
      </c>
      <c r="BW21" s="28">
        <f t="shared" si="9"/>
        <v>45323</v>
      </c>
      <c r="BX21" s="28">
        <f t="shared" si="9"/>
        <v>45352</v>
      </c>
      <c r="BY21" s="28">
        <f t="shared" si="9"/>
        <v>45383</v>
      </c>
      <c r="BZ21" s="28">
        <f t="shared" si="9"/>
        <v>45413</v>
      </c>
      <c r="CA21" s="28">
        <f t="shared" si="9"/>
        <v>45444</v>
      </c>
    </row>
    <row r="22" spans="1:79" s="60" customFormat="1" ht="29.25" customHeight="1">
      <c r="A22" s="23" t="s">
        <v>61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</row>
    <row r="23" spans="1:79" s="60" customFormat="1" ht="29.25" customHeight="1">
      <c r="A23" s="11" t="s">
        <v>68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0">BI22-BH22</f>
        <v>-2469</v>
      </c>
      <c r="BJ23" s="12">
        <f t="shared" si="10"/>
        <v>3911</v>
      </c>
      <c r="BK23" s="12">
        <f t="shared" si="10"/>
        <v>7254</v>
      </c>
      <c r="BL23" s="12">
        <f t="shared" si="10"/>
        <v>7846</v>
      </c>
      <c r="BM23" s="12">
        <f t="shared" si="10"/>
        <v>9409</v>
      </c>
      <c r="BN23" s="12">
        <f t="shared" si="10"/>
        <v>3241</v>
      </c>
      <c r="BO23" s="12">
        <f t="shared" si="10"/>
        <v>6507</v>
      </c>
      <c r="BP23" s="12">
        <f t="shared" si="10"/>
        <v>-6637</v>
      </c>
      <c r="BQ23" s="12">
        <f t="shared" si="10"/>
        <v>-32993</v>
      </c>
      <c r="BR23" s="12">
        <f t="shared" si="10"/>
        <v>-960</v>
      </c>
      <c r="BS23" s="12">
        <f t="shared" si="10"/>
        <v>-10630</v>
      </c>
      <c r="BT23" s="12">
        <f t="shared" ref="BT23:CA23" si="11">BT22-BS22</f>
        <v>-5128</v>
      </c>
      <c r="BU23" s="12">
        <f t="shared" si="11"/>
        <v>-5296</v>
      </c>
      <c r="BV23" s="12">
        <f t="shared" si="11"/>
        <v>2945</v>
      </c>
      <c r="BW23" s="12">
        <f t="shared" si="11"/>
        <v>575</v>
      </c>
      <c r="BX23" s="12">
        <f t="shared" si="11"/>
        <v>5658</v>
      </c>
      <c r="BY23" s="12">
        <f t="shared" si="11"/>
        <v>-2714</v>
      </c>
      <c r="BZ23" s="12">
        <f t="shared" si="11"/>
        <v>-1179</v>
      </c>
      <c r="CA23" s="12">
        <f t="shared" si="11"/>
        <v>8824</v>
      </c>
    </row>
    <row r="24" spans="1:79" s="50" customFormat="1" ht="15" customHeight="1">
      <c r="A24" s="55"/>
    </row>
  </sheetData>
  <phoneticPr fontId="2" type="noConversion"/>
  <pageMargins left="0.7" right="0.7" top="0.75" bottom="0.75" header="0.3" footer="0.3"/>
  <pageSetup paperSize="9" scale="52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51915dd4-8356-4c28-991d-6445ded066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2025-05-07T05:53:32Z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2025-05-07T05:52:57Z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