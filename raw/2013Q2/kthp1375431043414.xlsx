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735" yWindow="5520" windowWidth="20205" windowHeight="5685"/>
  </bookViews>
  <sheets>
    <sheet name="KT Only" sheetId="1" r:id="rId1"/>
    <sheet name="Consolidated" sheetId="4" r:id="rId2"/>
  </sheets>
  <definedNames>
    <definedName name="_xlnm.Print_Area" localSheetId="1">Consolidated!$A$1:$K$28</definedName>
    <definedName name="_xlnm.Print_Area" localSheetId="0">'KT Only'!$A$1:$J$51</definedName>
  </definedNames>
  <calcPr calcId="125725"/>
</workbook>
</file>

<file path=xl/calcChain.xml><?xml version="1.0" encoding="utf-8"?>
<calcChain xmlns="http://schemas.openxmlformats.org/spreadsheetml/2006/main">
  <c r="G33" i="1"/>
  <c r="D25" l="1"/>
  <c r="E25"/>
  <c r="F25"/>
  <c r="G25"/>
  <c r="C25"/>
  <c r="H27" i="4"/>
  <c r="F27"/>
  <c r="G27"/>
  <c r="H19"/>
  <c r="G18"/>
  <c r="H18"/>
  <c r="G19"/>
  <c r="F19"/>
  <c r="F18"/>
  <c r="G32" i="1" l="1"/>
  <c r="G35" s="1"/>
  <c r="E12" l="1"/>
  <c r="D12"/>
  <c r="C12"/>
  <c r="C33" l="1"/>
  <c r="D33"/>
  <c r="D32" s="1"/>
  <c r="D35" s="1"/>
  <c r="E33"/>
  <c r="E32" s="1"/>
  <c r="F33"/>
  <c r="F32" s="1"/>
  <c r="C32" l="1"/>
  <c r="F35"/>
  <c r="E35"/>
  <c r="C35" l="1"/>
</calcChain>
</file>

<file path=xl/sharedStrings.xml><?xml version="1.0" encoding="utf-8"?>
<sst xmlns="http://schemas.openxmlformats.org/spreadsheetml/2006/main" count="102" uniqueCount="61">
  <si>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</si>
  <si>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</si>
  <si>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</si>
  <si>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</si>
  <si>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</si>
  <si>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</si>
  <si>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</si>
  <si>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</si>
  <si>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</si>
  <si>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</si>
  <si>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</si>
  <si>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</si>
  <si>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</si>
  <si>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</si>
  <si>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</si>
  <si>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</si>
  <si>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</si>
  <si>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</si>
  <si>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</si>
  <si>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</si>
  <si>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</si>
  <si>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</si>
  <si>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</si>
  <si>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</si>
  <si>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</si>
  <si>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</si>
  <si>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</si>
  <si>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</si>
  <si>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</si>
  <si>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</si>
  <si>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</si>
  <si>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</si>
  <si>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</si>
  <si>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</si>
  <si>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</si>
  <si>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</si>
  <si>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</si>
  <si>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</si>
  <si>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</si>
  <si>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</si>
  <si>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</si>
  <si>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</si>
  <si>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</si>
  <si>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K-GAAP / pro forma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</si>
  <si>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</si>
  <si>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</si>
  <si>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</si>
  <si>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</si>
  <si>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</si>
  <si>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</si>
  <si>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</si>
  <si>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</si>
  <si>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</si>
  <si>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</si>
  <si>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</si>
  <si>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13</t>
    <phoneticPr fontId="1" type="noConversion"/>
  </si>
  <si>
    <t>1Q 13</t>
    <phoneticPr fontId="1" type="noConversion"/>
  </si>
  <si>
    <t>1Q 13</t>
    <phoneticPr fontId="1" type="noConversion"/>
  </si>
  <si>
    <t>2Q 13</t>
    <phoneticPr fontId="1" type="noConversion"/>
  </si>
  <si>
    <t>2Q 13</t>
    <phoneticPr fontId="1" type="noConversion"/>
  </si>
  <si>
    <t>2Q 13</t>
    <phoneticPr fontId="1" type="noConversion"/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</si>
</sst>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  <numFmt numFmtId="181" formatCode="_-* #,##0.0000000_-;\-* #,##0.0000000_-;_-* &quot;-&quot;??_-;_-@_-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5" xfId="1" applyNumberFormat="1" applyFont="1" applyBorder="1">
      <alignment vertical="center"/>
    </xf>
    <xf numFmtId="177" fontId="2" fillId="0" borderId="2" xfId="1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1" applyNumberFormat="1" applyFont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0" fontId="5" fillId="6" borderId="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50"/>
  <sheetViews>
    <sheetView showGridLines="0" tabSelected="1" view="pageBreakPreview" zoomScale="80" zoomScaleNormal="80" zoomScaleSheetLayoutView="80" workbookViewId="0">
      <selection activeCell="M10" sqref="M10"/>
    </sheetView>
  </sheetViews>
  <sheetFormatPr defaultRowHeight="16.5"/>
  <cols>
    <col min="1" max="1" width="3.75" style="1" customWidth="1"/>
    <col min="2" max="2" width="27" style="1" customWidth="1"/>
    <col min="3" max="5" width="10.875" style="1" bestFit="1" customWidth="1"/>
    <col min="6" max="6" width="12.75" style="1" bestFit="1" customWidth="1"/>
    <col min="7" max="8" width="10.875" style="1" bestFit="1" customWidth="1"/>
    <col min="9" max="10" width="10.5" style="1" customWidth="1"/>
    <col min="11" max="11" width="1.25" style="1" customWidth="1"/>
    <col min="12" max="12" width="12.125" style="1" bestFit="1" customWidth="1"/>
    <col min="13" max="13" width="9.875" style="1" bestFit="1" customWidth="1"/>
    <col min="14" max="14" width="15.75" style="1" bestFit="1" customWidth="1"/>
    <col min="15" max="16384" width="9" style="1"/>
  </cols>
  <sheetData>
    <row r="2" spans="1:14" ht="20.25">
      <c r="B2" s="10" t="s">
        <v>3</v>
      </c>
      <c r="D2" s="36"/>
    </row>
    <row r="3" spans="1:14">
      <c r="B3" s="12" t="s">
        <v>48</v>
      </c>
      <c r="C3" s="28"/>
      <c r="D3" s="28"/>
      <c r="E3" s="28"/>
      <c r="F3" s="28"/>
      <c r="G3" s="28"/>
      <c r="H3" s="28"/>
      <c r="I3" s="28"/>
      <c r="J3" s="28"/>
    </row>
    <row r="4" spans="1:14" ht="13.5" customHeight="1">
      <c r="C4" s="51" t="s">
        <v>43</v>
      </c>
      <c r="D4" s="51"/>
      <c r="E4" s="29" t="s">
        <v>40</v>
      </c>
      <c r="F4" s="30" t="s">
        <v>41</v>
      </c>
      <c r="G4" s="30" t="s">
        <v>41</v>
      </c>
      <c r="H4" s="30" t="s">
        <v>41</v>
      </c>
      <c r="I4" s="30" t="s">
        <v>41</v>
      </c>
      <c r="J4" s="30" t="s">
        <v>41</v>
      </c>
    </row>
    <row r="5" spans="1:14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50">
        <v>2010</v>
      </c>
      <c r="G5" s="50">
        <v>2011</v>
      </c>
      <c r="H5" s="50">
        <v>2012</v>
      </c>
      <c r="I5" s="19" t="s">
        <v>55</v>
      </c>
      <c r="J5" s="19" t="s">
        <v>58</v>
      </c>
    </row>
    <row r="6" spans="1:14">
      <c r="B6" s="8" t="s">
        <v>5</v>
      </c>
      <c r="C6" s="26">
        <v>18932.8</v>
      </c>
      <c r="D6" s="26">
        <v>18955.8</v>
      </c>
      <c r="E6" s="26">
        <v>20233.5</v>
      </c>
      <c r="F6" s="26">
        <v>19551.5</v>
      </c>
      <c r="G6" s="26">
        <v>19323.599999999999</v>
      </c>
      <c r="H6" s="26">
        <v>18863.2</v>
      </c>
      <c r="I6" s="26">
        <v>4790.5946537709997</v>
      </c>
      <c r="J6" s="26">
        <v>4359.0711324599997</v>
      </c>
      <c r="L6" s="26"/>
      <c r="M6" s="26"/>
      <c r="N6" s="47"/>
    </row>
    <row r="7" spans="1:14">
      <c r="B7" s="5" t="s">
        <v>6</v>
      </c>
      <c r="C7" s="26">
        <v>15722.2</v>
      </c>
      <c r="D7" s="26">
        <v>15434.1</v>
      </c>
      <c r="E7" s="26">
        <v>15732.6</v>
      </c>
      <c r="F7" s="26">
        <v>15796.4</v>
      </c>
      <c r="G7" s="26">
        <v>15062.9</v>
      </c>
      <c r="H7" s="26">
        <v>14462.7</v>
      </c>
      <c r="I7" s="26">
        <v>3678.8419717449997</v>
      </c>
      <c r="J7" s="26">
        <v>3560.4154531960003</v>
      </c>
      <c r="L7" s="26"/>
      <c r="M7" s="26"/>
      <c r="N7" s="5"/>
    </row>
    <row r="8" spans="1:14">
      <c r="B8" s="5" t="s">
        <v>30</v>
      </c>
      <c r="C8" s="26">
        <v>3210.6</v>
      </c>
      <c r="D8" s="26">
        <v>3521.7</v>
      </c>
      <c r="E8" s="26">
        <v>4500.8999999999996</v>
      </c>
      <c r="F8" s="26">
        <v>3755.1</v>
      </c>
      <c r="G8" s="26">
        <v>4260.7</v>
      </c>
      <c r="H8" s="26">
        <v>4400.5</v>
      </c>
      <c r="I8" s="26">
        <v>1111.7526820260005</v>
      </c>
      <c r="J8" s="26">
        <v>798.65567926400001</v>
      </c>
      <c r="L8" s="26"/>
      <c r="M8" s="26"/>
      <c r="N8" s="5"/>
    </row>
    <row r="9" spans="1:14">
      <c r="B9" s="5" t="s">
        <v>8</v>
      </c>
      <c r="C9" s="26">
        <v>1442.5</v>
      </c>
      <c r="D9" s="26">
        <v>945.2</v>
      </c>
      <c r="E9" s="26">
        <v>2053.3000000000002</v>
      </c>
      <c r="F9" s="26">
        <v>2122.6</v>
      </c>
      <c r="G9" s="26">
        <v>1665.9</v>
      </c>
      <c r="H9" s="26">
        <v>1060.8498675009989</v>
      </c>
      <c r="I9" s="26">
        <v>236.01487941399961</v>
      </c>
      <c r="J9" s="26">
        <v>193.24442549599988</v>
      </c>
      <c r="L9" s="26"/>
      <c r="M9" s="26"/>
      <c r="N9" s="5"/>
    </row>
    <row r="10" spans="1:14">
      <c r="B10" s="6" t="s">
        <v>9</v>
      </c>
      <c r="C10" s="27">
        <v>527.1</v>
      </c>
      <c r="D10" s="27">
        <v>605.1</v>
      </c>
      <c r="E10" s="27">
        <v>1171.9000000000001</v>
      </c>
      <c r="F10" s="27">
        <v>1272.2</v>
      </c>
      <c r="G10" s="27">
        <v>1289</v>
      </c>
      <c r="H10" s="27">
        <v>708.90795008299892</v>
      </c>
      <c r="I10" s="27">
        <v>139.7827978049996</v>
      </c>
      <c r="J10" s="27">
        <v>34.503996659999835</v>
      </c>
      <c r="L10" s="26"/>
      <c r="M10" s="26"/>
      <c r="N10" s="5"/>
    </row>
    <row r="11" spans="1:14">
      <c r="B11" s="13" t="s">
        <v>10</v>
      </c>
      <c r="C11" s="39">
        <v>4890.6000000000004</v>
      </c>
      <c r="D11" s="39">
        <v>4065.4</v>
      </c>
      <c r="E11" s="39">
        <v>4967.7</v>
      </c>
      <c r="F11" s="39">
        <v>5162</v>
      </c>
      <c r="G11" s="39">
        <v>4500.7</v>
      </c>
      <c r="H11" s="39">
        <v>3986.4549561889985</v>
      </c>
      <c r="I11" s="39">
        <v>968.43697350499963</v>
      </c>
      <c r="J11" s="39">
        <v>916.20727748799993</v>
      </c>
      <c r="L11" s="26"/>
      <c r="M11" s="26"/>
      <c r="N11" s="5"/>
    </row>
    <row r="12" spans="1:14" ht="17.25" thickBot="1">
      <c r="B12" s="40" t="s">
        <v>52</v>
      </c>
      <c r="C12" s="35">
        <f>+C11/C6</f>
        <v>0.25831361446801321</v>
      </c>
      <c r="D12" s="35">
        <f>+D11/D6</f>
        <v>0.21446733981156166</v>
      </c>
      <c r="E12" s="35">
        <f>+E11/E6</f>
        <v>0.24551857068722663</v>
      </c>
      <c r="F12" s="35">
        <v>0.26402066337621155</v>
      </c>
      <c r="G12" s="35">
        <v>0.23291208677472108</v>
      </c>
      <c r="H12" s="35">
        <v>0.21133473695203317</v>
      </c>
      <c r="I12" s="35">
        <v>0.20215381252151601</v>
      </c>
      <c r="J12" s="35">
        <v>0.2101840620735517</v>
      </c>
      <c r="L12" s="5"/>
      <c r="M12" s="26"/>
      <c r="N12" s="5"/>
    </row>
    <row r="13" spans="1:14">
      <c r="F13" s="25"/>
      <c r="G13" s="25"/>
      <c r="H13" s="25"/>
      <c r="I13" s="25"/>
      <c r="J13" s="25"/>
      <c r="L13" s="5"/>
      <c r="M13" s="26"/>
      <c r="N13" s="5"/>
    </row>
    <row r="14" spans="1:14" ht="18" thickBot="1">
      <c r="A14" s="3" t="s">
        <v>24</v>
      </c>
      <c r="B14" s="2" t="s">
        <v>2</v>
      </c>
      <c r="C14" s="23">
        <v>2008</v>
      </c>
      <c r="D14" s="23">
        <v>2009</v>
      </c>
      <c r="E14" s="23">
        <v>2010</v>
      </c>
      <c r="F14" s="50">
        <v>2010</v>
      </c>
      <c r="G14" s="50">
        <v>2011</v>
      </c>
      <c r="H14" s="50">
        <v>2012</v>
      </c>
      <c r="I14" s="19" t="s">
        <v>55</v>
      </c>
      <c r="J14" s="19" t="s">
        <v>58</v>
      </c>
      <c r="L14" s="5"/>
      <c r="M14" s="26"/>
      <c r="N14" s="5"/>
    </row>
    <row r="15" spans="1:14">
      <c r="B15" s="8" t="s">
        <v>11</v>
      </c>
      <c r="C15" s="26">
        <v>3150.8</v>
      </c>
      <c r="D15" s="26">
        <v>2958.7</v>
      </c>
      <c r="E15" s="26">
        <v>3057.2</v>
      </c>
      <c r="F15" s="26">
        <v>3057.2</v>
      </c>
      <c r="G15" s="26">
        <v>3318.5</v>
      </c>
      <c r="H15" s="26">
        <v>3710.5999999999995</v>
      </c>
      <c r="I15" s="26">
        <v>521.1</v>
      </c>
      <c r="J15" s="26">
        <v>603.70000000000005</v>
      </c>
      <c r="L15" s="26"/>
      <c r="M15" s="26"/>
      <c r="N15" s="5"/>
    </row>
    <row r="16" spans="1:14">
      <c r="B16" s="5" t="s">
        <v>12</v>
      </c>
      <c r="C16" s="26">
        <v>1179.3</v>
      </c>
      <c r="D16" s="26">
        <v>759.3</v>
      </c>
      <c r="E16" s="26">
        <v>1085.5999999999999</v>
      </c>
      <c r="F16" s="26">
        <v>1085.5999999999999</v>
      </c>
      <c r="G16" s="26">
        <v>1607.7</v>
      </c>
      <c r="H16" s="26">
        <v>2105.1999999999998</v>
      </c>
      <c r="I16" s="26">
        <v>247.1</v>
      </c>
      <c r="J16" s="26">
        <v>182.2</v>
      </c>
      <c r="L16" s="26"/>
      <c r="M16" s="26"/>
      <c r="N16" s="5"/>
    </row>
    <row r="17" spans="1:14">
      <c r="B17" s="5" t="s">
        <v>13</v>
      </c>
      <c r="C17" s="26">
        <v>1853.6</v>
      </c>
      <c r="D17" s="26">
        <v>1809.9</v>
      </c>
      <c r="E17" s="26">
        <v>1618.4</v>
      </c>
      <c r="F17" s="26">
        <v>1618.4</v>
      </c>
      <c r="G17" s="26">
        <v>1273.3</v>
      </c>
      <c r="H17" s="26">
        <v>1106.2</v>
      </c>
      <c r="I17" s="26">
        <v>138</v>
      </c>
      <c r="J17" s="26">
        <v>228.1</v>
      </c>
      <c r="L17" s="26"/>
      <c r="M17" s="26"/>
      <c r="N17" s="5"/>
    </row>
    <row r="18" spans="1:14">
      <c r="B18" s="6" t="s">
        <v>7</v>
      </c>
      <c r="C18" s="27">
        <v>117.9</v>
      </c>
      <c r="D18" s="27">
        <v>389.5</v>
      </c>
      <c r="E18" s="27">
        <v>353.2</v>
      </c>
      <c r="F18" s="27">
        <v>353.2</v>
      </c>
      <c r="G18" s="27">
        <v>437.5</v>
      </c>
      <c r="H18" s="27">
        <v>499.2</v>
      </c>
      <c r="I18" s="27">
        <v>136</v>
      </c>
      <c r="J18" s="27">
        <v>193.4</v>
      </c>
      <c r="L18" s="26"/>
      <c r="M18" s="26"/>
      <c r="N18" s="5"/>
    </row>
    <row r="19" spans="1:14" ht="17.25" thickBot="1">
      <c r="B19" s="9" t="s">
        <v>14</v>
      </c>
      <c r="C19" s="32">
        <v>3448.1</v>
      </c>
      <c r="D19" s="32">
        <v>3120.3</v>
      </c>
      <c r="E19" s="32">
        <v>2914.4</v>
      </c>
      <c r="F19" s="32">
        <v>3039.4</v>
      </c>
      <c r="G19" s="32">
        <v>2834.8</v>
      </c>
      <c r="H19" s="32">
        <v>2925.6</v>
      </c>
      <c r="I19" s="32">
        <v>732.42209409100008</v>
      </c>
      <c r="J19" s="32">
        <v>723</v>
      </c>
      <c r="L19" s="26"/>
      <c r="M19" s="26"/>
      <c r="N19" s="5"/>
    </row>
    <row r="20" spans="1:14">
      <c r="L20" s="5"/>
      <c r="M20" s="26"/>
      <c r="N20" s="5"/>
    </row>
    <row r="21" spans="1:14" ht="18" thickBot="1">
      <c r="A21" s="3" t="s">
        <v>24</v>
      </c>
      <c r="B21" s="2" t="s">
        <v>31</v>
      </c>
      <c r="C21" s="23">
        <v>2008</v>
      </c>
      <c r="D21" s="23">
        <v>2009</v>
      </c>
      <c r="E21" s="23">
        <v>2010</v>
      </c>
      <c r="F21" s="50">
        <v>2010</v>
      </c>
      <c r="G21" s="50">
        <v>2011</v>
      </c>
      <c r="H21" s="50">
        <v>2012</v>
      </c>
      <c r="I21" s="19" t="s">
        <v>55</v>
      </c>
      <c r="J21" s="19" t="s">
        <v>58</v>
      </c>
      <c r="L21" s="5"/>
      <c r="M21" s="26"/>
      <c r="N21" s="5"/>
    </row>
    <row r="22" spans="1:14">
      <c r="B22" s="8" t="s">
        <v>15</v>
      </c>
      <c r="C22" s="26">
        <v>8567.1</v>
      </c>
      <c r="D22" s="26">
        <v>8136.3</v>
      </c>
      <c r="E22" s="26">
        <v>7665.7</v>
      </c>
      <c r="F22" s="26">
        <v>7651.7</v>
      </c>
      <c r="G22" s="26">
        <v>8917.4</v>
      </c>
      <c r="H22" s="26">
        <v>8023.5</v>
      </c>
      <c r="I22" s="26">
        <v>8117.4314393249988</v>
      </c>
      <c r="J22" s="26">
        <v>8072.6</v>
      </c>
      <c r="L22" s="43"/>
      <c r="M22" s="26"/>
      <c r="N22" s="5"/>
    </row>
    <row r="23" spans="1:14">
      <c r="B23" s="6" t="s">
        <v>50</v>
      </c>
      <c r="C23" s="27">
        <v>6742.3</v>
      </c>
      <c r="D23" s="27">
        <v>6561.7</v>
      </c>
      <c r="E23" s="27">
        <v>6730.6</v>
      </c>
      <c r="F23" s="27">
        <v>6750.4</v>
      </c>
      <c r="G23" s="27">
        <v>8127.2</v>
      </c>
      <c r="H23" s="27">
        <v>6850.5</v>
      </c>
      <c r="I23" s="27">
        <v>7586.0339720539987</v>
      </c>
      <c r="J23" s="27">
        <v>7278.9</v>
      </c>
      <c r="L23" s="43"/>
      <c r="M23" s="26"/>
      <c r="N23" s="5"/>
    </row>
    <row r="24" spans="1:14">
      <c r="B24" s="5" t="s">
        <v>16</v>
      </c>
      <c r="C24" s="31">
        <v>0.622</v>
      </c>
      <c r="D24" s="31">
        <v>0.63100000000000001</v>
      </c>
      <c r="E24" s="31">
        <v>0.61</v>
      </c>
      <c r="F24" s="31">
        <v>0.60899999999999999</v>
      </c>
      <c r="G24" s="31">
        <v>0.69299999999999995</v>
      </c>
      <c r="H24" s="31">
        <v>0.5770730626483197</v>
      </c>
      <c r="I24" s="31">
        <v>0.65823267164991228</v>
      </c>
      <c r="J24" s="31">
        <v>0.63049189583439125</v>
      </c>
      <c r="L24" s="5"/>
      <c r="M24" s="5"/>
      <c r="N24" s="5"/>
    </row>
    <row r="25" spans="1:14" ht="17.25" thickBot="1">
      <c r="B25" s="9" t="s">
        <v>39</v>
      </c>
      <c r="C25" s="32">
        <f>C23/C11</f>
        <v>1.3786242996769311</v>
      </c>
      <c r="D25" s="32">
        <f t="shared" ref="D25:G25" si="0">D23/D11</f>
        <v>1.6140355192600973</v>
      </c>
      <c r="E25" s="32">
        <f t="shared" si="0"/>
        <v>1.3548724761962279</v>
      </c>
      <c r="F25" s="32">
        <f t="shared" si="0"/>
        <v>1.3077101898488956</v>
      </c>
      <c r="G25" s="32">
        <f t="shared" si="0"/>
        <v>1.80576354789255</v>
      </c>
      <c r="H25" s="32">
        <v>1.7184441001558419</v>
      </c>
      <c r="I25" s="32"/>
      <c r="J25" s="32"/>
    </row>
    <row r="27" spans="1:14" ht="18" thickBot="1">
      <c r="A27" s="3" t="s">
        <v>24</v>
      </c>
      <c r="B27" s="2" t="s">
        <v>0</v>
      </c>
      <c r="C27" s="23">
        <v>2008</v>
      </c>
      <c r="D27" s="23">
        <v>2009</v>
      </c>
      <c r="E27" s="23">
        <v>2010</v>
      </c>
      <c r="F27" s="50">
        <v>2010</v>
      </c>
      <c r="G27" s="50">
        <v>2011</v>
      </c>
      <c r="H27" s="50">
        <v>2012</v>
      </c>
      <c r="I27" s="19" t="s">
        <v>55</v>
      </c>
      <c r="J27" s="19" t="s">
        <v>58</v>
      </c>
    </row>
    <row r="28" spans="1:14">
      <c r="B28" s="8" t="s">
        <v>44</v>
      </c>
      <c r="C28" s="20">
        <v>202035.296</v>
      </c>
      <c r="D28" s="20">
        <v>243196.46799999999</v>
      </c>
      <c r="E28" s="20">
        <v>243215.84400000001</v>
      </c>
      <c r="F28" s="20">
        <v>243215.84400000001</v>
      </c>
      <c r="G28" s="20">
        <v>243301.24600000001</v>
      </c>
      <c r="H28" s="20">
        <v>243722.391</v>
      </c>
      <c r="I28" s="20">
        <v>243722.391</v>
      </c>
      <c r="J28" s="20">
        <v>243890.23300000001</v>
      </c>
    </row>
    <row r="29" spans="1:14">
      <c r="B29" s="5" t="s">
        <v>45</v>
      </c>
      <c r="C29" s="20">
        <v>71500.403999999995</v>
      </c>
      <c r="D29" s="20">
        <v>17915.34</v>
      </c>
      <c r="E29" s="20">
        <v>17895.964</v>
      </c>
      <c r="F29" s="20">
        <v>17895.964</v>
      </c>
      <c r="G29" s="20">
        <v>17810.562000000002</v>
      </c>
      <c r="H29" s="20">
        <v>17389.417000000001</v>
      </c>
      <c r="I29" s="20">
        <v>17389.417000000001</v>
      </c>
      <c r="J29" s="20">
        <v>17221.575000000001</v>
      </c>
    </row>
    <row r="30" spans="1:14">
      <c r="B30" s="6" t="s">
        <v>29</v>
      </c>
      <c r="C30" s="21">
        <v>37500</v>
      </c>
      <c r="D30" s="21">
        <v>39100</v>
      </c>
      <c r="E30" s="21">
        <v>46250</v>
      </c>
      <c r="F30" s="21">
        <v>46250</v>
      </c>
      <c r="G30" s="21">
        <v>35650</v>
      </c>
      <c r="H30" s="21">
        <v>35500</v>
      </c>
      <c r="I30" s="21">
        <v>35300</v>
      </c>
      <c r="J30" s="21">
        <v>35800</v>
      </c>
    </row>
    <row r="31" spans="1:14">
      <c r="B31" s="5" t="s">
        <v>17</v>
      </c>
      <c r="C31" s="20">
        <v>1120</v>
      </c>
      <c r="D31" s="20">
        <v>2000</v>
      </c>
      <c r="E31" s="20">
        <v>2410</v>
      </c>
      <c r="F31" s="20">
        <v>2410</v>
      </c>
      <c r="G31" s="20">
        <v>2000</v>
      </c>
      <c r="H31" s="20">
        <v>2000</v>
      </c>
      <c r="I31" s="20"/>
      <c r="J31" s="20"/>
    </row>
    <row r="32" spans="1:14">
      <c r="B32" s="4" t="s">
        <v>35</v>
      </c>
      <c r="C32" s="33">
        <f>C33+C34</f>
        <v>226.27953152000003</v>
      </c>
      <c r="D32" s="33">
        <f t="shared" ref="D32:F32" si="1">D33+D34</f>
        <v>994.9929360000001</v>
      </c>
      <c r="E32" s="33">
        <f t="shared" si="1"/>
        <v>586.15018404000011</v>
      </c>
      <c r="F32" s="33">
        <f t="shared" si="1"/>
        <v>586.15018404000011</v>
      </c>
      <c r="G32" s="33">
        <f>G33+G34</f>
        <v>486.60249199999998</v>
      </c>
      <c r="H32" s="33">
        <v>487.44478200000003</v>
      </c>
      <c r="I32" s="33"/>
      <c r="J32" s="33"/>
    </row>
    <row r="33" spans="1:10">
      <c r="B33" s="5" t="s">
        <v>46</v>
      </c>
      <c r="C33" s="26">
        <f t="shared" ref="C33:G33" si="2">(C31*C28/1000000000)*1000</f>
        <v>226.27953152000003</v>
      </c>
      <c r="D33" s="26">
        <f t="shared" si="2"/>
        <v>486.39293600000002</v>
      </c>
      <c r="E33" s="26">
        <f t="shared" si="2"/>
        <v>586.15018404000011</v>
      </c>
      <c r="F33" s="26">
        <f t="shared" si="2"/>
        <v>586.15018404000011</v>
      </c>
      <c r="G33" s="26">
        <f t="shared" si="2"/>
        <v>486.60249199999998</v>
      </c>
      <c r="H33" s="26">
        <v>487.44478200000003</v>
      </c>
      <c r="I33" s="26"/>
      <c r="J33" s="26"/>
    </row>
    <row r="34" spans="1:10">
      <c r="B34" s="6" t="s">
        <v>47</v>
      </c>
      <c r="C34" s="21">
        <v>0</v>
      </c>
      <c r="D34" s="38">
        <v>508.6</v>
      </c>
      <c r="E34" s="21">
        <v>0</v>
      </c>
      <c r="F34" s="21">
        <v>0</v>
      </c>
      <c r="G34" s="21">
        <v>0</v>
      </c>
      <c r="H34" s="21">
        <v>0</v>
      </c>
      <c r="I34" s="21"/>
      <c r="J34" s="21"/>
    </row>
    <row r="35" spans="1:10" ht="17.25" thickBot="1">
      <c r="B35" s="9" t="s">
        <v>18</v>
      </c>
      <c r="C35" s="24">
        <f t="shared" ref="C35:E35" si="3">C32/C10</f>
        <v>0.42929146560424969</v>
      </c>
      <c r="D35" s="24">
        <f t="shared" si="3"/>
        <v>1.6443446306395637</v>
      </c>
      <c r="E35" s="24">
        <f t="shared" si="3"/>
        <v>0.50017082006997193</v>
      </c>
      <c r="F35" s="24">
        <f>F32/E10</f>
        <v>0.50017082006997193</v>
      </c>
      <c r="G35" s="35">
        <f>G32/G10</f>
        <v>0.3775038727695888</v>
      </c>
      <c r="H35" s="35">
        <v>0.68759954228603304</v>
      </c>
      <c r="I35" s="35"/>
      <c r="J35" s="35"/>
    </row>
    <row r="37" spans="1:10" ht="18" thickBot="1">
      <c r="A37" s="3" t="s">
        <v>24</v>
      </c>
      <c r="B37" s="2" t="s">
        <v>1</v>
      </c>
      <c r="C37" s="23">
        <v>2008</v>
      </c>
      <c r="D37" s="23">
        <v>2009</v>
      </c>
      <c r="E37" s="23">
        <v>2010</v>
      </c>
      <c r="F37" s="50">
        <v>2010</v>
      </c>
      <c r="G37" s="50">
        <v>2011</v>
      </c>
      <c r="H37" s="50">
        <v>2012</v>
      </c>
      <c r="I37" s="19" t="s">
        <v>55</v>
      </c>
      <c r="J37" s="19" t="s">
        <v>58</v>
      </c>
    </row>
    <row r="38" spans="1:10">
      <c r="B38" s="8" t="s">
        <v>19</v>
      </c>
      <c r="C38" s="20">
        <v>2609.1999999999998</v>
      </c>
      <c r="D38" s="20">
        <v>2718</v>
      </c>
      <c r="E38" s="20">
        <v>4818.3999999999996</v>
      </c>
      <c r="F38" s="20">
        <v>5240</v>
      </c>
      <c r="G38" s="20">
        <v>5299</v>
      </c>
      <c r="H38" s="20">
        <v>2951.3086468940805</v>
      </c>
      <c r="I38" s="20"/>
      <c r="J38" s="20"/>
    </row>
    <row r="39" spans="1:10">
      <c r="B39" s="5" t="s">
        <v>20</v>
      </c>
      <c r="C39" s="26">
        <v>14.4</v>
      </c>
      <c r="D39" s="26">
        <v>14.4</v>
      </c>
      <c r="E39" s="26">
        <v>9.6</v>
      </c>
      <c r="F39" s="26">
        <v>8.8000000000000007</v>
      </c>
      <c r="G39" s="26">
        <v>6.7</v>
      </c>
      <c r="H39" s="26">
        <v>12.028562325177255</v>
      </c>
      <c r="I39" s="26"/>
      <c r="J39" s="26"/>
    </row>
    <row r="40" spans="1:10">
      <c r="B40" s="5" t="s">
        <v>21</v>
      </c>
      <c r="C40" s="26">
        <v>3.5</v>
      </c>
      <c r="D40" s="26">
        <v>4.0999999999999996</v>
      </c>
      <c r="E40" s="26">
        <v>3.8</v>
      </c>
      <c r="F40" s="26">
        <v>3.7</v>
      </c>
      <c r="G40" s="26">
        <v>3.6</v>
      </c>
      <c r="H40" s="26">
        <v>4.0296900692448068</v>
      </c>
      <c r="I40" s="26"/>
      <c r="J40" s="26"/>
    </row>
    <row r="41" spans="1:10">
      <c r="B41" s="5" t="s">
        <v>22</v>
      </c>
      <c r="C41" s="31">
        <v>5.3999999999999999E-2</v>
      </c>
      <c r="D41" s="31">
        <v>5.7000000000000002E-2</v>
      </c>
      <c r="E41" s="31">
        <v>0.109</v>
      </c>
      <c r="F41" s="31">
        <v>0.11899999999999999</v>
      </c>
      <c r="G41" s="31">
        <v>0.113</v>
      </c>
      <c r="H41" s="31">
        <v>6.059204588784068E-2</v>
      </c>
      <c r="I41" s="31"/>
      <c r="J41" s="31"/>
    </row>
    <row r="42" spans="1:10" ht="17.25" thickBot="1">
      <c r="B42" s="9" t="s">
        <v>23</v>
      </c>
      <c r="C42" s="24">
        <v>2.5000000000000001E-2</v>
      </c>
      <c r="D42" s="24">
        <v>2.5000000000000001E-2</v>
      </c>
      <c r="E42" s="24">
        <v>4.8000000000000001E-2</v>
      </c>
      <c r="F42" s="24">
        <v>5.1999999999999998E-2</v>
      </c>
      <c r="G42" s="24">
        <v>5.0999999999999997E-2</v>
      </c>
      <c r="H42" s="24">
        <v>2.7134410346011561E-2</v>
      </c>
      <c r="I42" s="24"/>
      <c r="J42" s="24"/>
    </row>
    <row r="43" spans="1:10">
      <c r="F43" s="49"/>
      <c r="G43" s="49"/>
      <c r="H43" s="46"/>
    </row>
    <row r="45" spans="1:10">
      <c r="B45" s="11" t="s">
        <v>25</v>
      </c>
      <c r="C45" s="11"/>
      <c r="D45" s="11"/>
      <c r="E45" s="11"/>
      <c r="F45" s="11"/>
      <c r="G45" s="11"/>
      <c r="H45" s="11"/>
      <c r="I45" s="11"/>
      <c r="J45" s="11"/>
    </row>
    <row r="46" spans="1:10">
      <c r="B46" s="11" t="s">
        <v>26</v>
      </c>
      <c r="C46" s="11"/>
      <c r="D46" s="11"/>
      <c r="E46" s="11"/>
      <c r="F46" s="11"/>
      <c r="G46" s="11"/>
      <c r="H46" s="11"/>
      <c r="I46" s="11"/>
      <c r="J46" s="11"/>
    </row>
    <row r="47" spans="1:10">
      <c r="B47" s="11" t="s">
        <v>27</v>
      </c>
      <c r="C47" s="11"/>
      <c r="D47" s="11"/>
      <c r="E47" s="11"/>
      <c r="F47" s="11"/>
      <c r="G47" s="11"/>
      <c r="H47" s="11"/>
      <c r="I47" s="11"/>
      <c r="J47" s="11"/>
    </row>
    <row r="48" spans="1:10">
      <c r="B48" s="11" t="s">
        <v>28</v>
      </c>
      <c r="C48" s="11"/>
      <c r="D48" s="11"/>
      <c r="E48" s="11"/>
      <c r="F48" s="11"/>
      <c r="G48" s="11"/>
      <c r="H48" s="11"/>
      <c r="I48" s="11"/>
      <c r="J48" s="11"/>
    </row>
    <row r="49" spans="2:10">
      <c r="B49" s="11" t="s">
        <v>32</v>
      </c>
      <c r="C49" s="11"/>
      <c r="D49" s="11"/>
      <c r="E49" s="11"/>
      <c r="F49" s="11"/>
      <c r="G49" s="11"/>
      <c r="H49" s="11"/>
      <c r="I49" s="11"/>
      <c r="J49" s="11"/>
    </row>
    <row r="50" spans="2:10">
      <c r="B50" s="11" t="s">
        <v>33</v>
      </c>
      <c r="C50" s="11"/>
      <c r="D50" s="11"/>
      <c r="E50" s="11"/>
      <c r="F50" s="11"/>
      <c r="G50" s="11"/>
      <c r="H50" s="11"/>
      <c r="I50" s="11"/>
      <c r="J50" s="11"/>
    </row>
  </sheetData>
  <mergeCells count="1">
    <mergeCell ref="C4:D4"/>
  </mergeCells>
  <phoneticPr fontId="1" type="noConversion"/>
  <pageMargins left="0.39370078740157483" right="0.39370078740157483" top="0.74803149606299213" bottom="0.74803149606299213" header="0.31496062992125984" footer="0.31496062992125984"/>
  <pageSetup paperSize="9" scale="69" orientation="portrait" verticalDpi="0" r:id="rId1"/>
  <colBreaks count="1" manualBreakCount="1">
    <brk id="10" max="51" man="1"/>
  </colBreaks>
  <ignoredErrors>
    <ignoredError sqref="F3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O27"/>
  <sheetViews>
    <sheetView showGridLines="0" view="pageBreakPreview" zoomScale="80" zoomScaleNormal="80" zoomScaleSheetLayoutView="80" workbookViewId="0">
      <selection activeCell="I9" sqref="I9:J9"/>
    </sheetView>
  </sheetViews>
  <sheetFormatPr defaultRowHeight="16.5"/>
  <cols>
    <col min="1" max="1" width="3.75" style="1" customWidth="1"/>
    <col min="2" max="2" width="38" style="1" customWidth="1"/>
    <col min="3" max="5" width="13" style="1" hidden="1" customWidth="1"/>
    <col min="6" max="7" width="10.875" style="1" bestFit="1" customWidth="1"/>
    <col min="8" max="10" width="10.875" style="1" customWidth="1"/>
    <col min="11" max="11" width="2.75" style="1" customWidth="1"/>
    <col min="12" max="12" width="9" style="1"/>
    <col min="13" max="14" width="9.875" style="1" bestFit="1" customWidth="1"/>
    <col min="15" max="15" width="14.25" style="1" bestFit="1" customWidth="1"/>
    <col min="16" max="16384" width="9" style="1"/>
  </cols>
  <sheetData>
    <row r="2" spans="1:15" ht="20.25">
      <c r="B2" s="10" t="s">
        <v>34</v>
      </c>
      <c r="G2" s="36"/>
      <c r="H2" s="36"/>
      <c r="I2" s="36"/>
      <c r="J2" s="36"/>
    </row>
    <row r="3" spans="1:15">
      <c r="B3" s="12" t="s">
        <v>48</v>
      </c>
    </row>
    <row r="4" spans="1:15">
      <c r="B4" s="7"/>
      <c r="C4" s="29" t="s">
        <v>40</v>
      </c>
      <c r="D4" s="29" t="s">
        <v>40</v>
      </c>
      <c r="E4" s="29" t="s">
        <v>40</v>
      </c>
      <c r="F4" s="30" t="s">
        <v>41</v>
      </c>
      <c r="G4" s="30" t="s">
        <v>41</v>
      </c>
      <c r="H4" s="30" t="s">
        <v>41</v>
      </c>
      <c r="I4" s="30" t="s">
        <v>41</v>
      </c>
      <c r="J4" s="30" t="s">
        <v>41</v>
      </c>
    </row>
    <row r="5" spans="1:15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8">
        <v>2012</v>
      </c>
      <c r="I5" s="19" t="s">
        <v>56</v>
      </c>
      <c r="J5" s="19" t="s">
        <v>59</v>
      </c>
    </row>
    <row r="6" spans="1:15">
      <c r="B6" s="8" t="s">
        <v>5</v>
      </c>
      <c r="C6" s="20"/>
      <c r="D6" s="20"/>
      <c r="E6" s="20"/>
      <c r="F6" s="26">
        <v>20009.400000000001</v>
      </c>
      <c r="G6" s="26">
        <v>21272</v>
      </c>
      <c r="H6" s="26">
        <v>23790.3</v>
      </c>
      <c r="I6" s="26">
        <v>6104.4659038485943</v>
      </c>
      <c r="J6" s="26">
        <v>5757.0376057774229</v>
      </c>
      <c r="M6" s="45"/>
      <c r="N6" s="46"/>
      <c r="O6" s="48"/>
    </row>
    <row r="7" spans="1:15">
      <c r="B7" s="5" t="s">
        <v>6</v>
      </c>
      <c r="C7" s="20"/>
      <c r="D7" s="20"/>
      <c r="E7" s="20"/>
      <c r="F7" s="26">
        <v>16415.2</v>
      </c>
      <c r="G7" s="26">
        <v>16946.900000000001</v>
      </c>
      <c r="H7" s="26">
        <v>19189.400000000001</v>
      </c>
      <c r="I7" s="26">
        <v>4941.1671603555942</v>
      </c>
      <c r="J7" s="26">
        <v>4938.1770597384229</v>
      </c>
      <c r="M7" s="45"/>
      <c r="N7" s="46"/>
    </row>
    <row r="8" spans="1:15">
      <c r="B8" s="5" t="s">
        <v>30</v>
      </c>
      <c r="C8" s="20"/>
      <c r="D8" s="20"/>
      <c r="E8" s="20"/>
      <c r="F8" s="26">
        <v>3594.2</v>
      </c>
      <c r="G8" s="26">
        <v>4325.1000000000004</v>
      </c>
      <c r="H8" s="26">
        <v>4600.8999999999996</v>
      </c>
      <c r="I8" s="26">
        <v>1163.2987434930005</v>
      </c>
      <c r="J8" s="26">
        <v>818.86054603900004</v>
      </c>
      <c r="M8" s="45"/>
      <c r="N8" s="46"/>
    </row>
    <row r="9" spans="1:15">
      <c r="B9" s="5" t="s">
        <v>8</v>
      </c>
      <c r="C9" s="20"/>
      <c r="D9" s="20"/>
      <c r="E9" s="20"/>
      <c r="F9" s="26">
        <v>2188.5</v>
      </c>
      <c r="G9" s="26">
        <v>1748.4</v>
      </c>
      <c r="H9" s="26">
        <v>1213.8</v>
      </c>
      <c r="I9" s="26">
        <v>367.29587072345333</v>
      </c>
      <c r="J9" s="26">
        <v>348.25736206283329</v>
      </c>
      <c r="M9" s="45"/>
      <c r="N9" s="46"/>
    </row>
    <row r="10" spans="1:15">
      <c r="B10" s="15" t="s">
        <v>38</v>
      </c>
      <c r="C10" s="20"/>
      <c r="D10" s="20"/>
      <c r="E10" s="20"/>
      <c r="F10" s="26">
        <v>1320.1</v>
      </c>
      <c r="G10" s="26">
        <v>1287.4000000000001</v>
      </c>
      <c r="H10" s="26">
        <v>1143</v>
      </c>
      <c r="I10" s="26">
        <v>212.62971757730335</v>
      </c>
      <c r="J10" s="26">
        <v>133.35707586539323</v>
      </c>
      <c r="M10" s="45"/>
      <c r="N10" s="46"/>
    </row>
    <row r="11" spans="1:15">
      <c r="B11" s="13" t="s">
        <v>37</v>
      </c>
      <c r="C11" s="20"/>
      <c r="D11" s="20"/>
      <c r="E11" s="20"/>
      <c r="F11" s="26">
        <v>18.100000000000001</v>
      </c>
      <c r="G11" s="26">
        <v>164.6</v>
      </c>
      <c r="H11" s="26">
        <v>-31.5</v>
      </c>
      <c r="I11" s="26">
        <v>0</v>
      </c>
      <c r="J11" s="26">
        <v>0</v>
      </c>
      <c r="M11" s="45"/>
      <c r="N11" s="46"/>
    </row>
    <row r="12" spans="1:15">
      <c r="B12" s="5" t="s">
        <v>9</v>
      </c>
      <c r="C12" s="20"/>
      <c r="D12" s="20"/>
      <c r="E12" s="20"/>
      <c r="F12" s="26">
        <v>1338.3</v>
      </c>
      <c r="G12" s="26">
        <v>1452</v>
      </c>
      <c r="H12" s="26">
        <v>1111.5</v>
      </c>
      <c r="I12" s="26">
        <v>212.62971757730335</v>
      </c>
      <c r="J12" s="26">
        <v>133.35707586539323</v>
      </c>
      <c r="M12" s="45"/>
      <c r="N12" s="46"/>
    </row>
    <row r="13" spans="1:15">
      <c r="B13" s="14" t="s">
        <v>36</v>
      </c>
      <c r="C13" s="21"/>
      <c r="D13" s="21"/>
      <c r="E13" s="21"/>
      <c r="F13" s="27">
        <v>1321.4</v>
      </c>
      <c r="G13" s="27">
        <v>1446.6</v>
      </c>
      <c r="H13" s="27">
        <v>1057.0999999999999</v>
      </c>
      <c r="I13" s="27">
        <v>181.58908370932997</v>
      </c>
      <c r="J13" s="27">
        <v>108.51218405144007</v>
      </c>
      <c r="M13" s="45"/>
      <c r="N13" s="46"/>
    </row>
    <row r="14" spans="1:15" ht="17.25" thickBot="1">
      <c r="B14" s="17" t="s">
        <v>10</v>
      </c>
      <c r="C14" s="34"/>
      <c r="D14" s="34"/>
      <c r="E14" s="34"/>
      <c r="F14" s="37">
        <v>5297</v>
      </c>
      <c r="G14" s="37">
        <v>4710.8999999999996</v>
      </c>
      <c r="H14" s="37">
        <v>4481.6000000000004</v>
      </c>
      <c r="I14" s="37">
        <v>1245.9595329275933</v>
      </c>
      <c r="J14" s="37">
        <v>1228.1389972291233</v>
      </c>
      <c r="M14" s="45"/>
      <c r="N14" s="46"/>
    </row>
    <row r="17" spans="1:14" ht="18" thickBot="1">
      <c r="A17" s="3" t="s">
        <v>24</v>
      </c>
      <c r="B17" s="16" t="s">
        <v>42</v>
      </c>
      <c r="C17" s="23">
        <v>2008</v>
      </c>
      <c r="D17" s="23">
        <v>2009</v>
      </c>
      <c r="E17" s="23">
        <v>2010</v>
      </c>
      <c r="F17" s="18">
        <v>2010</v>
      </c>
      <c r="G17" s="18">
        <v>2011</v>
      </c>
      <c r="H17" s="18">
        <v>2012</v>
      </c>
      <c r="I17" s="19" t="s">
        <v>57</v>
      </c>
      <c r="J17" s="19" t="s">
        <v>60</v>
      </c>
    </row>
    <row r="18" spans="1:14">
      <c r="B18" s="13" t="s">
        <v>51</v>
      </c>
      <c r="C18" s="41"/>
      <c r="D18" s="41"/>
      <c r="E18" s="41"/>
      <c r="F18" s="42">
        <f>F9/F6</f>
        <v>0.109373594410627</v>
      </c>
      <c r="G18" s="42">
        <f t="shared" ref="G18:H18" si="0">G9/G6</f>
        <v>8.219255359157579E-2</v>
      </c>
      <c r="H18" s="42">
        <f t="shared" si="0"/>
        <v>5.1020794189228384E-2</v>
      </c>
      <c r="I18" s="42">
        <v>6.0168387621247849E-2</v>
      </c>
      <c r="J18" s="42">
        <v>6.0492459127476042E-2</v>
      </c>
    </row>
    <row r="19" spans="1:14">
      <c r="B19" s="13" t="s">
        <v>52</v>
      </c>
      <c r="C19" s="41"/>
      <c r="D19" s="41"/>
      <c r="E19" s="41"/>
      <c r="F19" s="42">
        <f>F14/F6</f>
        <v>0.2647255789778804</v>
      </c>
      <c r="G19" s="42">
        <f t="shared" ref="G19" si="1">G14/G6</f>
        <v>0.22146013538924406</v>
      </c>
      <c r="H19" s="42">
        <f>H14/H6</f>
        <v>0.18837929744475693</v>
      </c>
      <c r="I19" s="42">
        <v>0.20410623182317575</v>
      </c>
      <c r="J19" s="42">
        <v>0.21332829161939737</v>
      </c>
    </row>
    <row r="20" spans="1:14" ht="17.25" thickBot="1">
      <c r="B20" s="9" t="s">
        <v>53</v>
      </c>
      <c r="C20" s="22"/>
      <c r="D20" s="22"/>
      <c r="E20" s="22"/>
      <c r="F20" s="24">
        <v>0.23432515515341337</v>
      </c>
      <c r="G20" s="24">
        <v>0.19701883497567668</v>
      </c>
      <c r="H20" s="24">
        <v>0.19642857142857142</v>
      </c>
      <c r="I20" s="24">
        <v>0.27998520685956274</v>
      </c>
      <c r="J20" s="24">
        <v>0.33646229875928402</v>
      </c>
    </row>
    <row r="23" spans="1:14" ht="18" thickBot="1">
      <c r="A23" s="3" t="s">
        <v>24</v>
      </c>
      <c r="B23" s="2" t="s">
        <v>31</v>
      </c>
      <c r="C23" s="23">
        <v>2008</v>
      </c>
      <c r="D23" s="23">
        <v>2009</v>
      </c>
      <c r="E23" s="23">
        <v>2010</v>
      </c>
      <c r="F23" s="18">
        <v>2010</v>
      </c>
      <c r="G23" s="18">
        <v>2011</v>
      </c>
      <c r="H23" s="18">
        <v>2012</v>
      </c>
      <c r="I23" s="19" t="s">
        <v>57</v>
      </c>
      <c r="J23" s="19" t="s">
        <v>60</v>
      </c>
    </row>
    <row r="24" spans="1:14">
      <c r="B24" s="8" t="s">
        <v>54</v>
      </c>
      <c r="C24" s="20"/>
      <c r="D24" s="20"/>
      <c r="E24" s="20"/>
      <c r="F24" s="26">
        <v>9382.4</v>
      </c>
      <c r="G24" s="26">
        <v>10998.6</v>
      </c>
      <c r="H24" s="26">
        <v>11423.4</v>
      </c>
      <c r="I24" s="26">
        <v>11587.624018317621</v>
      </c>
      <c r="J24" s="26">
        <v>11810.33666928759</v>
      </c>
      <c r="N24" s="46"/>
    </row>
    <row r="25" spans="1:14">
      <c r="B25" s="6" t="s">
        <v>50</v>
      </c>
      <c r="C25" s="21"/>
      <c r="D25" s="21"/>
      <c r="E25" s="21"/>
      <c r="F25" s="27">
        <v>8220.7000000000007</v>
      </c>
      <c r="G25" s="27">
        <v>9553.4</v>
      </c>
      <c r="H25" s="27">
        <v>9368.7000000000007</v>
      </c>
      <c r="I25" s="27">
        <v>10095.075551299511</v>
      </c>
      <c r="J25" s="27">
        <v>9928.7712161728396</v>
      </c>
      <c r="N25" s="46"/>
    </row>
    <row r="26" spans="1:14">
      <c r="B26" s="5" t="s">
        <v>16</v>
      </c>
      <c r="C26" s="20"/>
      <c r="D26" s="20"/>
      <c r="E26" s="20"/>
      <c r="F26" s="31">
        <v>0.72399999999999998</v>
      </c>
      <c r="G26" s="31">
        <v>0.76300000000000001</v>
      </c>
      <c r="H26" s="31">
        <v>0.71204075087308916</v>
      </c>
      <c r="I26" s="31">
        <v>0.78017527287581967</v>
      </c>
      <c r="J26" s="31">
        <v>0.75903424346148962</v>
      </c>
    </row>
    <row r="27" spans="1:14" ht="17.25" thickBot="1">
      <c r="B27" s="9" t="s">
        <v>49</v>
      </c>
      <c r="C27" s="22"/>
      <c r="D27" s="22"/>
      <c r="E27" s="22"/>
      <c r="F27" s="32">
        <f>F25/F14</f>
        <v>1.5519539361902965</v>
      </c>
      <c r="G27" s="32">
        <f t="shared" ref="G27" si="2">G25/G14</f>
        <v>2.0279352140779894</v>
      </c>
      <c r="H27" s="32">
        <f>H25/H14</f>
        <v>2.0904810781863619</v>
      </c>
      <c r="I27" s="44"/>
      <c r="J27" s="44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8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2012-05-03T12:47:17Z</cp:lastPrinted>
  <dcterms:created xsi:type="dcterms:W3CDTF">2012-01-10T00:01:55Z</dcterms:created>
  <dcterms:modified xsi:type="dcterms:W3CDTF">2013-07-31T07:42:18Z</dcterms:modified>
</cp:coreProperties>
</file>