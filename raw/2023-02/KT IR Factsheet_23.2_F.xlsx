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★Factbook\Factsheet\"/>
    </mc:Choice>
  </mc:AlternateContent>
  <bookViews>
    <workbookView xWindow="12348" yWindow="72" windowWidth="11688" windowHeight="9912" tabRatio="555"/>
  </bookViews>
  <sheets>
    <sheet name="Fixed(M)" sheetId="1" r:id="rId1"/>
    <sheet name="Wireless(Q)" sheetId="2" r:id="rId2"/>
  </sheets>
  <definedNames>
    <definedName name="_xlnm.Print_Area" localSheetId="0">'Fixed(M)'!$A$1:$BK$39</definedName>
    <definedName name="_xlnm.Print_Area" localSheetId="1">'Wireless(Q)'!$A$1:$U$39</definedName>
  </definedNames>
  <calcPr calcId="162913"/>
</workbook>
</file>

<file path=xl/calcChain.xml><?xml version="1.0" encoding="utf-8"?>
<calcChain xmlns="http://schemas.openxmlformats.org/spreadsheetml/2006/main">
  <c r="BK6" i="1" l="1"/>
  <c r="BK8" i="1"/>
  <c r="BK12" i="1"/>
  <c r="BK18" i="1"/>
  <c r="BK33" i="1"/>
  <c r="BJ6" i="1" l="1"/>
  <c r="BJ8" i="1"/>
  <c r="BJ12" i="1"/>
  <c r="BJ18" i="1"/>
  <c r="BJ33" i="1"/>
  <c r="U17" i="2" l="1"/>
  <c r="U5" i="2"/>
  <c r="U13" i="2" s="1"/>
  <c r="BI33" i="1"/>
  <c r="BI18" i="1"/>
  <c r="BI12" i="1"/>
  <c r="BI8" i="1"/>
  <c r="BI6" i="1"/>
</calcChain>
</file>

<file path=xl/sharedStrings.xml><?xml version="1.0" encoding="utf-8"?>
<sst xmlns="http://schemas.openxmlformats.org/spreadsheetml/2006/main" count="135" uniqueCount="104">
  <si>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</si>
  <si>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</si>
  <si>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</si>
  <si>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</si>
  <si>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</si>
  <si>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</si>
  <si>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</si>
  <si>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</si>
  <si>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</si>
  <si>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</si>
  <si>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</si>
  <si>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</si>
  <si>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</si>
  <si>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</si>
  <si>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</si>
  <si>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</si>
  <si>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</si>
  <si>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</si>
  <si>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</si>
  <si>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</si>
  <si>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</si>
  <si>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</si>
  <si>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</si>
  <si>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</si>
  <si>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</si>
  <si>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</si>
  <si>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</si>
  <si>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</si>
  <si>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</si>
  <si>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</si>
  <si>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</si>
  <si>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</si>
  <si>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</si>
  <si>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</si>
  <si>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</si>
  <si>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</si>
  <si>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</si>
  <si>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</si>
  <si>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</si>
  <si>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</si>
  <si>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</si>
  <si>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</si>
  <si>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</si>
  <si>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</si>
  <si>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</si>
  <si>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</si>
  <si>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</si>
  <si>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</si>
  <si>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</si>
  <si>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</si>
  <si>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</si>
  <si>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</si>
  <si>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</si>
  <si>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</si>
  <si>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</si>
  <si>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</si>
  <si>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</si>
  <si>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</si>
  <si>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</si>
  <si>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</si>
  <si>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</si>
  <si>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</si>
  <si>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</si>
  <si>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</si>
  <si>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</si>
  <si>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</si>
  <si>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</si>
  <si>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</si>
  <si>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</si>
  <si>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</si>
  <si>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</si>
  <si>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</si>
  <si>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</si>
  <si>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</si>
  <si>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</si>
  <si>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</si>
  <si>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</si>
  <si>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</si>
  <si>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</si>
  <si>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</si>
  <si>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</si>
  <si>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</si>
  <si>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</si>
  <si>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</si>
  <si>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</si>
  <si>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</si>
  <si>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</si>
  <si>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</si>
  <si>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</si>
  <si>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</si>
  <si>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</si>
  <si>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</si>
  <si>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</si>
  <si>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</si>
  <si>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</si>
  <si>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</si>
  <si>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</si>
  <si>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</si>
  <si>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</si>
  <si>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</si>
  <si>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</si>
  <si>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: Launched service in April 2019</t>
    </r>
    <phoneticPr fontId="5" type="noConversion"/>
  </si>
  <si>
    <t>`</t>
    <phoneticPr fontId="2" type="noConversion"/>
  </si>
  <si>
    <t>KT Monthly Factsheet (February 2023)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</si>
</sst>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  <numFmt numFmtId="329" formatCode="#,###,"/>
  </numFmts>
  <fonts count="20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54" fillId="0" borderId="0" applyNumberFormat="0" applyFill="0" applyBorder="0" applyAlignment="0" applyProtection="0"/>
    <xf numFmtId="214" fontId="55" fillId="0" borderId="0"/>
    <xf numFmtId="0" fontId="55" fillId="0" borderId="0"/>
    <xf numFmtId="0" fontId="55" fillId="0" borderId="0"/>
    <xf numFmtId="0" fontId="34" fillId="0" borderId="0"/>
    <xf numFmtId="0" fontId="56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 applyFont="0" applyFill="0" applyBorder="0" applyAlignment="0" applyProtection="0"/>
    <xf numFmtId="0" fontId="34" fillId="0" borderId="0"/>
    <xf numFmtId="0" fontId="34" fillId="0" borderId="0"/>
    <xf numFmtId="205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/>
    <xf numFmtId="201" fontId="34" fillId="0" borderId="0" applyFont="0" applyFill="0" applyBorder="0" applyAlignment="0" applyProtection="0"/>
    <xf numFmtId="199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39" fontId="34" fillId="0" borderId="0" applyFont="0" applyFill="0" applyBorder="0" applyAlignment="0" applyProtection="0"/>
    <xf numFmtId="0" fontId="34" fillId="0" borderId="0"/>
    <xf numFmtId="204" fontId="34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4" fillId="44" borderId="0" applyNumberFormat="0" applyFont="0" applyAlignment="0" applyProtection="0"/>
    <xf numFmtId="20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21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/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7" fillId="0" borderId="0"/>
    <xf numFmtId="0" fontId="55" fillId="0" borderId="0"/>
    <xf numFmtId="0" fontId="28" fillId="0" borderId="0"/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0" fontId="35" fillId="64" borderId="17" applyNumberFormat="0" applyFont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4" fillId="0" borderId="0"/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34" fillId="0" borderId="0"/>
    <xf numFmtId="0" fontId="52" fillId="63" borderId="24" applyNumberFormat="0" applyAlignment="0" applyProtection="0">
      <alignment vertical="center"/>
    </xf>
    <xf numFmtId="0" fontId="57" fillId="0" borderId="0" applyFont="0" applyFill="0" applyBorder="0" applyAlignment="0" applyProtection="0"/>
    <xf numFmtId="0" fontId="3" fillId="0" borderId="0"/>
    <xf numFmtId="0" fontId="3" fillId="0" borderId="0"/>
    <xf numFmtId="0" fontId="84" fillId="0" borderId="0" applyNumberFormat="0" applyFill="0" applyBorder="0" applyAlignment="0" applyProtection="0">
      <alignment vertical="top"/>
      <protection locked="0"/>
    </xf>
    <xf numFmtId="188" fontId="64" fillId="0" borderId="0" applyFont="0" applyFill="0" applyBorder="0" applyAlignment="0" applyProtection="0"/>
    <xf numFmtId="190" fontId="64" fillId="0" borderId="0" applyFont="0" applyFill="0" applyBorder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6" fillId="0" borderId="0"/>
    <xf numFmtId="0" fontId="67" fillId="66" borderId="25" applyNumberFormat="0" applyAlignment="0" applyProtection="0"/>
    <xf numFmtId="189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0" fillId="0" borderId="0"/>
    <xf numFmtId="0" fontId="34" fillId="0" borderId="0"/>
    <xf numFmtId="38" fontId="68" fillId="67" borderId="26">
      <alignment horizontal="right"/>
    </xf>
    <xf numFmtId="0" fontId="69" fillId="0" borderId="0"/>
    <xf numFmtId="215" fontId="70" fillId="0" borderId="0"/>
    <xf numFmtId="216" fontId="34" fillId="0" borderId="0"/>
    <xf numFmtId="38" fontId="71" fillId="68" borderId="26">
      <protection locked="0"/>
    </xf>
    <xf numFmtId="2" fontId="68" fillId="69" borderId="0">
      <alignment horizontal="left"/>
      <protection hidden="1"/>
    </xf>
    <xf numFmtId="217" fontId="34" fillId="0" borderId="0"/>
    <xf numFmtId="218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38" fontId="72" fillId="70" borderId="0" applyNumberFormat="0" applyBorder="0" applyAlignment="0" applyProtection="0"/>
    <xf numFmtId="0" fontId="73" fillId="0" borderId="0">
      <alignment horizontal="left"/>
    </xf>
    <xf numFmtId="0" fontId="53" fillId="0" borderId="27" applyNumberFormat="0" applyAlignment="0" applyProtection="0">
      <alignment horizontal="left" vertical="center"/>
    </xf>
    <xf numFmtId="0" fontId="53" fillId="0" borderId="2">
      <alignment horizontal="left" vertical="center"/>
    </xf>
    <xf numFmtId="192" fontId="74" fillId="0" borderId="0" applyBorder="0" applyAlignment="0"/>
    <xf numFmtId="182" fontId="70" fillId="0" borderId="0" applyAlignment="0">
      <protection locked="0"/>
    </xf>
    <xf numFmtId="194" fontId="75" fillId="0" borderId="0"/>
    <xf numFmtId="196" fontId="75" fillId="0" borderId="0"/>
    <xf numFmtId="195" fontId="75" fillId="0" borderId="0"/>
    <xf numFmtId="10" fontId="72" fillId="70" borderId="28" applyNumberFormat="0" applyBorder="0" applyAlignment="0" applyProtection="0"/>
    <xf numFmtId="0" fontId="76" fillId="0" borderId="29"/>
    <xf numFmtId="213" fontId="55" fillId="0" borderId="0"/>
    <xf numFmtId="191" fontId="55" fillId="0" borderId="0"/>
    <xf numFmtId="194" fontId="77" fillId="0" borderId="0"/>
    <xf numFmtId="196" fontId="77" fillId="0" borderId="0"/>
    <xf numFmtId="195" fontId="77" fillId="0" borderId="0"/>
    <xf numFmtId="197" fontId="77" fillId="0" borderId="0">
      <alignment horizontal="right"/>
    </xf>
    <xf numFmtId="0" fontId="55" fillId="0" borderId="3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0" fontId="78" fillId="11" borderId="0">
      <alignment horizontal="right"/>
    </xf>
    <xf numFmtId="0" fontId="76" fillId="0" borderId="0"/>
    <xf numFmtId="0" fontId="79" fillId="0" borderId="31" applyBorder="0">
      <alignment horizontal="center"/>
    </xf>
    <xf numFmtId="193" fontId="80" fillId="71" borderId="0"/>
    <xf numFmtId="0" fontId="72" fillId="72" borderId="26">
      <alignment horizontal="right"/>
    </xf>
    <xf numFmtId="0" fontId="81" fillId="72" borderId="26"/>
    <xf numFmtId="0" fontId="82" fillId="0" borderId="0"/>
    <xf numFmtId="191" fontId="55" fillId="0" borderId="0"/>
    <xf numFmtId="198" fontId="83" fillId="72" borderId="28" applyFont="0" applyFill="0" applyBorder="0" applyAlignment="0" applyProtection="0">
      <alignment horizontal="center"/>
      <protection locked="0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7" fillId="0" borderId="0"/>
    <xf numFmtId="2" fontId="88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87" fillId="0" borderId="0">
      <alignment vertical="center"/>
    </xf>
    <xf numFmtId="0" fontId="3" fillId="0" borderId="0">
      <alignment vertical="center"/>
    </xf>
    <xf numFmtId="0" fontId="88" fillId="0" borderId="40" applyNumberFormat="0" applyFont="0" applyFill="0" applyAlignment="0" applyProtection="0"/>
    <xf numFmtId="219" fontId="92" fillId="0" borderId="0" applyFont="0" applyFill="0" applyBorder="0" applyAlignment="0" applyProtection="0"/>
    <xf numFmtId="219" fontId="9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7" fillId="66" borderId="25" applyNumberFormat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66" borderId="25" applyNumberFormat="0" applyAlignment="0" applyProtection="0"/>
    <xf numFmtId="0" fontId="76" fillId="0" borderId="29"/>
    <xf numFmtId="0" fontId="79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6" fillId="0" borderId="29"/>
    <xf numFmtId="41" fontId="95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1" fillId="0" borderId="42" applyAlignment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4" fillId="0" borderId="0"/>
    <xf numFmtId="0" fontId="3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34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4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7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1" fillId="0" borderId="0"/>
    <xf numFmtId="0" fontId="98" fillId="0" borderId="0" applyNumberFormat="0" applyFill="0" applyBorder="0" applyAlignment="0" applyProtection="0"/>
    <xf numFmtId="0" fontId="34" fillId="0" borderId="0" applyFont="0" applyFill="0" applyBorder="0" applyAlignment="0" applyProtection="0"/>
    <xf numFmtId="40" fontId="66" fillId="0" borderId="0" applyFont="0" applyFill="0" applyBorder="0" applyAlignment="0" applyProtection="0"/>
    <xf numFmtId="38" fontId="66" fillId="0" borderId="0" applyFon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86" fillId="0" borderId="0"/>
    <xf numFmtId="0" fontId="34" fillId="0" borderId="0"/>
    <xf numFmtId="38" fontId="96" fillId="0" borderId="26">
      <alignment horizontal="right" vertical="center"/>
      <protection locked="0"/>
    </xf>
    <xf numFmtId="0" fontId="3" fillId="0" borderId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0" fontId="88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10" fontId="88" fillId="0" borderId="0" applyFont="0" applyFill="0" applyBorder="0" applyAlignment="0" applyProtection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88" fillId="0" borderId="0" applyFont="0" applyFill="0" applyBorder="0" applyAlignment="0" applyProtection="0"/>
    <xf numFmtId="225" fontId="101" fillId="0" borderId="0" applyFont="0" applyFill="0" applyBorder="0" applyAlignment="0" applyProtection="0"/>
    <xf numFmtId="226" fontId="101" fillId="0" borderId="0" applyFont="0" applyFill="0" applyBorder="0" applyAlignment="0" applyProtection="0"/>
    <xf numFmtId="0" fontId="101" fillId="0" borderId="0"/>
    <xf numFmtId="38" fontId="86" fillId="0" borderId="0" applyFont="0" applyFill="0" applyBorder="0" applyAlignment="0" applyProtection="0"/>
    <xf numFmtId="227" fontId="86" fillId="0" borderId="0" applyFont="0" applyFill="0" applyBorder="0" applyAlignment="0" applyProtection="0"/>
    <xf numFmtId="228" fontId="3" fillId="0" borderId="0"/>
    <xf numFmtId="0" fontId="20" fillId="0" borderId="0" applyFill="0" applyBorder="0" applyAlignment="0" applyProtection="0"/>
    <xf numFmtId="229" fontId="3" fillId="0" borderId="0"/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2" fontId="20" fillId="0" borderId="0" applyFill="0" applyBorder="0" applyAlignment="0" applyProtection="0"/>
    <xf numFmtId="38" fontId="72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10" fontId="72" fillId="72" borderId="28" applyNumberFormat="0" applyBorder="0" applyAlignment="0" applyProtection="0"/>
    <xf numFmtId="191" fontId="106" fillId="0" borderId="0"/>
    <xf numFmtId="0" fontId="34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20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>
      <alignment vertical="center"/>
    </xf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34" fillId="0" borderId="0"/>
    <xf numFmtId="9" fontId="107" fillId="0" borderId="0" applyFont="0" applyFill="0" applyBorder="0" applyAlignment="0" applyProtection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0" fontId="34" fillId="0" borderId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5" fillId="0" borderId="0">
      <alignment vertical="center"/>
    </xf>
    <xf numFmtId="0" fontId="109" fillId="0" borderId="5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5" fillId="16" borderId="8" applyNumberFormat="0" applyAlignment="0" applyProtection="0">
      <alignment vertical="center"/>
    </xf>
    <xf numFmtId="0" fontId="116" fillId="17" borderId="9" applyNumberFormat="0" applyAlignment="0" applyProtection="0">
      <alignment vertical="center"/>
    </xf>
    <xf numFmtId="0" fontId="117" fillId="17" borderId="8" applyNumberFormat="0" applyAlignment="0" applyProtection="0">
      <alignment vertical="center"/>
    </xf>
    <xf numFmtId="0" fontId="118" fillId="0" borderId="10" applyNumberFormat="0" applyFill="0" applyAlignment="0" applyProtection="0">
      <alignment vertical="center"/>
    </xf>
    <xf numFmtId="0" fontId="119" fillId="18" borderId="11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95" fillId="19" borderId="12" applyNumberFormat="0" applyFont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13" applyNumberFormat="0" applyFill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5" fillId="2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3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123" fillId="43" borderId="0" applyNumberFormat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3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" fillId="0" borderId="0"/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28" fillId="0" borderId="0">
      <alignment vertical="center"/>
    </xf>
    <xf numFmtId="0" fontId="1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91" fillId="0" borderId="32">
      <alignment horizontal="centerContinuous" vertical="center"/>
    </xf>
    <xf numFmtId="3" fontId="57" fillId="0" borderId="0">
      <alignment vertical="center"/>
    </xf>
    <xf numFmtId="186" fontId="57" fillId="0" borderId="0">
      <alignment vertical="center"/>
    </xf>
    <xf numFmtId="4" fontId="57" fillId="0" borderId="0">
      <alignment vertical="center"/>
    </xf>
    <xf numFmtId="230" fontId="57" fillId="0" borderId="0">
      <alignment vertical="center"/>
    </xf>
    <xf numFmtId="0" fontId="91" fillId="0" borderId="32">
      <alignment horizontal="centerContinuous" vertical="center"/>
    </xf>
    <xf numFmtId="0" fontId="91" fillId="0" borderId="32">
      <alignment horizontal="centerContinuous" vertical="center"/>
    </xf>
    <xf numFmtId="0" fontId="96" fillId="0" borderId="0"/>
    <xf numFmtId="0" fontId="124" fillId="0" borderId="0" applyNumberForma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57" fillId="0" borderId="0"/>
    <xf numFmtId="0" fontId="86" fillId="0" borderId="0"/>
    <xf numFmtId="0" fontId="34" fillId="0" borderId="0" applyNumberForma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34" fillId="0" borderId="0"/>
    <xf numFmtId="0" fontId="57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125" fillId="0" borderId="0" applyNumberFormat="0" applyFill="0" applyBorder="0" applyAlignment="0" applyProtection="0"/>
    <xf numFmtId="0" fontId="86" fillId="0" borderId="0"/>
    <xf numFmtId="0" fontId="126" fillId="0" borderId="0"/>
    <xf numFmtId="0" fontId="125" fillId="0" borderId="0" applyNumberForma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57" fillId="0" borderId="0"/>
    <xf numFmtId="0" fontId="34" fillId="0" borderId="0"/>
    <xf numFmtId="0" fontId="37" fillId="0" borderId="0"/>
    <xf numFmtId="0" fontId="34" fillId="0" borderId="0"/>
    <xf numFmtId="0" fontId="127" fillId="0" borderId="0"/>
    <xf numFmtId="0" fontId="3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" fillId="0" borderId="0">
      <alignment vertical="center"/>
    </xf>
    <xf numFmtId="0" fontId="34" fillId="0" borderId="0"/>
    <xf numFmtId="0" fontId="57" fillId="0" borderId="0"/>
    <xf numFmtId="0" fontId="86" fillId="0" borderId="0"/>
    <xf numFmtId="0" fontId="34" fillId="0" borderId="0" applyFont="0" applyFill="0" applyBorder="0" applyAlignment="0" applyProtection="0"/>
    <xf numFmtId="0" fontId="86" fillId="0" borderId="0"/>
    <xf numFmtId="0" fontId="37" fillId="0" borderId="0"/>
    <xf numFmtId="0" fontId="3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7" fillId="0" borderId="0"/>
    <xf numFmtId="0" fontId="86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86" fillId="0" borderId="0"/>
    <xf numFmtId="0" fontId="57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86" fillId="0" borderId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57" fillId="0" borderId="0"/>
    <xf numFmtId="0" fontId="127" fillId="0" borderId="0"/>
    <xf numFmtId="0" fontId="57" fillId="0" borderId="0"/>
    <xf numFmtId="0" fontId="57" fillId="0" borderId="0"/>
    <xf numFmtId="0" fontId="34" fillId="0" borderId="0"/>
    <xf numFmtId="0" fontId="3" fillId="0" borderId="0"/>
    <xf numFmtId="0" fontId="34" fillId="0" borderId="0"/>
    <xf numFmtId="0" fontId="57" fillId="0" borderId="0"/>
    <xf numFmtId="0" fontId="57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1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4" fontId="34" fillId="0" borderId="0" applyFont="0" applyFill="0" applyBorder="0" applyAlignment="0" applyProtection="0"/>
    <xf numFmtId="0" fontId="86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34" fillId="0" borderId="0"/>
    <xf numFmtId="9" fontId="34" fillId="68" borderId="0"/>
    <xf numFmtId="41" fontId="128" fillId="0" borderId="44" applyBorder="0">
      <alignment horizontal="center" vertical="center"/>
    </xf>
    <xf numFmtId="9" fontId="91" fillId="0" borderId="0">
      <alignment vertical="center"/>
    </xf>
    <xf numFmtId="0" fontId="127" fillId="0" borderId="0"/>
    <xf numFmtId="0" fontId="91" fillId="0" borderId="0">
      <alignment vertical="center"/>
    </xf>
    <xf numFmtId="10" fontId="91" fillId="0" borderId="0">
      <alignment vertical="center"/>
    </xf>
    <xf numFmtId="0" fontId="91" fillId="0" borderId="0">
      <alignment vertical="center"/>
    </xf>
    <xf numFmtId="188" fontId="3" fillId="0" borderId="0">
      <alignment vertical="center"/>
    </xf>
    <xf numFmtId="0" fontId="34" fillId="0" borderId="0" applyNumberForma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57" fillId="0" borderId="0"/>
    <xf numFmtId="0" fontId="37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7" fillId="0" borderId="0"/>
    <xf numFmtId="0" fontId="37" fillId="0" borderId="0"/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231" fontId="34" fillId="0" borderId="28">
      <alignment horizontal="right" vertical="center" shrinkToFit="1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7" fillId="74" borderId="0">
      <alignment horizontal="left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9" fontId="129" fillId="70" borderId="0" applyFill="0" applyBorder="0" applyProtection="0">
      <alignment horizontal="right"/>
    </xf>
    <xf numFmtId="10" fontId="129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1" fillId="0" borderId="28"/>
    <xf numFmtId="0" fontId="132" fillId="0" borderId="0">
      <alignment horizontal="center"/>
    </xf>
    <xf numFmtId="0" fontId="124" fillId="0" borderId="41">
      <alignment horizont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0" fontId="86" fillId="0" borderId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33" fillId="0" borderId="35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91" fillId="0" borderId="45">
      <alignment vertical="justify" wrapText="1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7" fillId="0" borderId="0"/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57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" fillId="0" borderId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57" fillId="0" borderId="0" applyFont="0" applyFill="0" applyBorder="0" applyAlignment="0" applyProtection="0"/>
    <xf numFmtId="233" fontId="34" fillId="0" borderId="0" applyFont="0" applyFill="0" applyBorder="0" applyAlignment="0" applyProtection="0"/>
    <xf numFmtId="234" fontId="86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5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5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5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86" fillId="0" borderId="0" applyFill="0" applyBorder="0" applyAlignment="0"/>
    <xf numFmtId="237" fontId="86" fillId="0" borderId="0" applyFill="0" applyBorder="0" applyAlignment="0"/>
    <xf numFmtId="238" fontId="34" fillId="0" borderId="0" applyFill="0" applyBorder="0" applyAlignment="0"/>
    <xf numFmtId="239" fontId="34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38" fontId="66" fillId="0" borderId="0" applyFont="0" applyFill="0" applyBorder="0" applyAlignment="0" applyProtection="0"/>
    <xf numFmtId="240" fontId="86" fillId="0" borderId="0" applyFont="0" applyFill="0" applyBorder="0" applyAlignment="0" applyProtection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42" fontId="57" fillId="0" borderId="0" applyFont="0" applyFill="0" applyBorder="0" applyAlignment="0" applyProtection="0"/>
    <xf numFmtId="199" fontId="86" fillId="0" borderId="0" applyFont="0" applyFill="0" applyBorder="0" applyAlignment="0" applyProtection="0"/>
    <xf numFmtId="0" fontId="34" fillId="0" borderId="0" applyFont="0" applyFill="0" applyBorder="0" applyAlignment="0" applyProtection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14" fontId="79" fillId="0" borderId="0" applyFill="0" applyBorder="0" applyAlignment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0" fontId="55" fillId="0" borderId="0">
      <alignment wrapText="1"/>
    </xf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14" fontId="136" fillId="75" borderId="29">
      <alignment horizontal="center" vertical="center" wrapText="1"/>
    </xf>
    <xf numFmtId="0" fontId="86" fillId="0" borderId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37" fillId="0" borderId="0" applyFont="0" applyFill="0" applyBorder="0" applyAlignment="0" applyProtection="0">
      <alignment horizontal="centerContinuous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" fontId="86" fillId="0" borderId="0" applyFont="0" applyFill="0" applyBorder="0" applyAlignment="0" applyProtection="0"/>
    <xf numFmtId="244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45" fontId="34" fillId="0" borderId="0" applyFont="0" applyFill="0" applyBorder="0" applyAlignment="0" applyProtection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" fontId="79" fillId="76" borderId="24" applyNumberFormat="0" applyProtection="0">
      <alignment horizontal="right" vertical="center"/>
    </xf>
    <xf numFmtId="0" fontId="79" fillId="77" borderId="46" applyNumberFormat="0" applyProtection="0">
      <alignment horizontal="left" vertical="top" indent="1"/>
    </xf>
    <xf numFmtId="0" fontId="138" fillId="70" borderId="47">
      <protection locked="0"/>
    </xf>
    <xf numFmtId="0" fontId="138" fillId="78" borderId="0"/>
    <xf numFmtId="49" fontId="79" fillId="0" borderId="0" applyFill="0" applyBorder="0" applyAlignment="0"/>
    <xf numFmtId="246" fontId="34" fillId="0" borderId="0" applyFill="0" applyBorder="0" applyAlignment="0"/>
    <xf numFmtId="247" fontId="34" fillId="0" borderId="0" applyFill="0" applyBorder="0" applyAlignment="0"/>
    <xf numFmtId="0" fontId="139" fillId="0" borderId="0" applyFill="0" applyBorder="0" applyProtection="0">
      <alignment horizontal="left" vertical="top"/>
    </xf>
    <xf numFmtId="0" fontId="140" fillId="0" borderId="0" applyFill="0" applyBorder="0" applyProtection="0">
      <alignment horizontal="centerContinuous" vertical="center"/>
    </xf>
    <xf numFmtId="0" fontId="85" fillId="70" borderId="0" applyFill="0" applyBorder="0" applyProtection="0">
      <alignment horizontal="center" vertical="center"/>
    </xf>
    <xf numFmtId="41" fontId="87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8" fillId="0" borderId="44" applyBorder="0">
      <alignment horizontal="center"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91" fillId="0" borderId="45">
      <alignment vertical="justify" wrapText="1"/>
    </xf>
    <xf numFmtId="0" fontId="91" fillId="0" borderId="45">
      <alignment vertical="justify" wrapText="1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14" fontId="136" fillId="75" borderId="29">
      <alignment horizontal="center" vertical="center" wrapText="1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4" fontId="79" fillId="76" borderId="51" applyNumberFormat="0" applyProtection="0">
      <alignment horizontal="right" vertical="center"/>
    </xf>
    <xf numFmtId="4" fontId="79" fillId="76" borderId="51" applyNumberFormat="0" applyProtection="0">
      <alignment horizontal="right" vertical="center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0" fontId="79" fillId="77" borderId="46" applyNumberFormat="0" applyProtection="0">
      <alignment horizontal="left" vertical="top" indent="1"/>
    </xf>
    <xf numFmtId="0" fontId="79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/>
    <xf numFmtId="0" fontId="34" fillId="0" borderId="0" applyFont="0" applyFill="0" applyBorder="0" applyAlignment="0" applyProtection="0"/>
    <xf numFmtId="0" fontId="142" fillId="0" borderId="0"/>
    <xf numFmtId="0" fontId="87" fillId="0" borderId="0">
      <alignment vertical="center"/>
    </xf>
    <xf numFmtId="0" fontId="34" fillId="0" borderId="0"/>
    <xf numFmtId="41" fontId="3" fillId="0" borderId="0"/>
    <xf numFmtId="0" fontId="34" fillId="0" borderId="0"/>
    <xf numFmtId="0" fontId="34" fillId="0" borderId="0"/>
    <xf numFmtId="0" fontId="34" fillId="0" borderId="0"/>
    <xf numFmtId="41" fontId="3" fillId="0" borderId="0"/>
    <xf numFmtId="249" fontId="129" fillId="0" borderId="0" applyFont="0" applyFill="0" applyBorder="0" applyAlignment="0" applyProtection="0"/>
    <xf numFmtId="250" fontId="129" fillId="0" borderId="0" applyFont="0" applyFill="0" applyBorder="0" applyAlignment="0" applyProtection="0"/>
    <xf numFmtId="251" fontId="129" fillId="0" borderId="28" applyFont="0" applyFill="0" applyBorder="0" applyAlignment="0" applyProtection="0">
      <alignment vertical="center"/>
    </xf>
    <xf numFmtId="252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4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5" fontId="129" fillId="0" borderId="0" applyFont="0" applyFill="0" applyBorder="0" applyAlignment="0" applyProtection="0"/>
    <xf numFmtId="256" fontId="129" fillId="0" borderId="0" applyFont="0" applyFill="0" applyBorder="0" applyAlignment="0" applyProtection="0"/>
    <xf numFmtId="257" fontId="129" fillId="0" borderId="0" applyFont="0" applyFill="0" applyBorder="0" applyAlignment="0" applyProtection="0"/>
    <xf numFmtId="258" fontId="129" fillId="0" borderId="0" applyFont="0" applyFill="0" applyBorder="0" applyAlignment="0" applyProtection="0"/>
    <xf numFmtId="259" fontId="129" fillId="0" borderId="0" applyFont="0" applyFill="0" applyBorder="0" applyAlignment="0" applyProtection="0"/>
    <xf numFmtId="260" fontId="129" fillId="0" borderId="0" applyFont="0" applyFill="0" applyBorder="0" applyAlignment="0" applyProtection="0"/>
    <xf numFmtId="261" fontId="129" fillId="0" borderId="0" applyFont="0" applyFill="0" applyBorder="0" applyAlignment="0" applyProtection="0"/>
    <xf numFmtId="262" fontId="129" fillId="0" borderId="0" applyFont="0" applyFill="0" applyBorder="0" applyAlignment="0" applyProtection="0"/>
    <xf numFmtId="263" fontId="129" fillId="0" borderId="0" applyFont="0" applyFill="0" applyBorder="0" applyAlignment="0" applyProtection="0"/>
    <xf numFmtId="264" fontId="129" fillId="0" borderId="0" applyFont="0" applyFill="0" applyBorder="0" applyAlignment="0" applyProtection="0"/>
    <xf numFmtId="265" fontId="129" fillId="0" borderId="28" applyFont="0" applyFill="0" applyBorder="0" applyAlignment="0" applyProtection="0">
      <alignment vertical="center"/>
    </xf>
    <xf numFmtId="266" fontId="129" fillId="0" borderId="0" applyFont="0" applyFill="0" applyBorder="0" applyAlignment="0" applyProtection="0"/>
    <xf numFmtId="267" fontId="129" fillId="0" borderId="0" applyFont="0" applyFill="0" applyBorder="0" applyAlignment="0" applyProtection="0"/>
    <xf numFmtId="268" fontId="129" fillId="0" borderId="0" applyFont="0" applyFill="0" applyBorder="0" applyAlignment="0" applyProtection="0"/>
    <xf numFmtId="269" fontId="129" fillId="0" borderId="0" applyFont="0" applyFill="0" applyBorder="0" applyAlignment="0" applyProtection="0"/>
    <xf numFmtId="270" fontId="129" fillId="0" borderId="0" applyFont="0" applyFill="0" applyBorder="0" applyAlignment="0" applyProtection="0"/>
    <xf numFmtId="271" fontId="129" fillId="0" borderId="0" applyFont="0" applyFill="0" applyBorder="0" applyAlignment="0" applyProtection="0"/>
    <xf numFmtId="272" fontId="129" fillId="0" borderId="0" applyFont="0" applyFill="0" applyBorder="0" applyAlignment="0" applyProtection="0"/>
    <xf numFmtId="273" fontId="129" fillId="0" borderId="0" applyFont="0" applyFill="0" applyBorder="0" applyAlignment="0" applyProtection="0"/>
    <xf numFmtId="248" fontId="129" fillId="0" borderId="0" applyFont="0" applyFill="0" applyBorder="0" applyAlignment="0" applyProtection="0"/>
    <xf numFmtId="177" fontId="129" fillId="0" borderId="0" applyFont="0" applyFill="0" applyBorder="0" applyAlignment="0" applyProtection="0"/>
    <xf numFmtId="3" fontId="57" fillId="0" borderId="0">
      <alignment vertical="center"/>
    </xf>
    <xf numFmtId="0" fontId="3" fillId="0" borderId="0"/>
    <xf numFmtId="0" fontId="57" fillId="0" borderId="0"/>
    <xf numFmtId="0" fontId="34" fillId="0" borderId="0" applyFont="0" applyFill="0" applyBorder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/>
    <xf numFmtId="0" fontId="86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4" fillId="0" borderId="0"/>
    <xf numFmtId="0" fontId="34" fillId="0" borderId="0"/>
    <xf numFmtId="0" fontId="54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70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66" fillId="0" borderId="0"/>
    <xf numFmtId="0" fontId="34" fillId="0" borderId="0"/>
    <xf numFmtId="0" fontId="86" fillId="0" borderId="0"/>
    <xf numFmtId="0" fontId="86" fillId="0" borderId="0"/>
    <xf numFmtId="0" fontId="107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66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9" fillId="0" borderId="0" applyFont="0" applyFill="0" applyBorder="0" applyAlignment="0" applyProtection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0" fontId="34" fillId="0" borderId="0"/>
    <xf numFmtId="0" fontId="34" fillId="0" borderId="0"/>
    <xf numFmtId="0" fontId="37" fillId="0" borderId="0"/>
    <xf numFmtId="0" fontId="34" fillId="0" borderId="0"/>
    <xf numFmtId="0" fontId="34" fillId="0" borderId="0"/>
    <xf numFmtId="0" fontId="57" fillId="0" borderId="0"/>
    <xf numFmtId="0" fontId="57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127" fillId="0" borderId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145" fillId="0" borderId="0"/>
    <xf numFmtId="1" fontId="91" fillId="0" borderId="34">
      <alignment horizontal="center" vertical="center"/>
    </xf>
    <xf numFmtId="49" fontId="146" fillId="0" borderId="31" applyBorder="0">
      <alignment vertical="center"/>
    </xf>
    <xf numFmtId="275" fontId="91" fillId="0" borderId="0" applyFont="0" applyFill="0" applyBorder="0" applyAlignment="0" applyProtection="0"/>
    <xf numFmtId="4" fontId="147" fillId="0" borderId="37">
      <alignment vertical="center"/>
    </xf>
    <xf numFmtId="0" fontId="57" fillId="0" borderId="0"/>
    <xf numFmtId="9" fontId="102" fillId="0" borderId="0" applyFont="0" applyFill="0" applyBorder="0" applyAlignment="0" applyProtection="0"/>
    <xf numFmtId="0" fontId="57" fillId="0" borderId="0"/>
    <xf numFmtId="276" fontId="57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48" fillId="0" borderId="0" applyFont="0" applyFill="0" applyBorder="0" applyAlignment="0" applyProtection="0"/>
    <xf numFmtId="9" fontId="135" fillId="0" borderId="0">
      <protection locked="0"/>
    </xf>
    <xf numFmtId="0" fontId="37" fillId="0" borderId="0"/>
    <xf numFmtId="0" fontId="37" fillId="0" borderId="0"/>
    <xf numFmtId="0" fontId="34" fillId="0" borderId="0"/>
    <xf numFmtId="0" fontId="37" fillId="0" borderId="0"/>
    <xf numFmtId="0" fontId="34" fillId="0" borderId="0"/>
    <xf numFmtId="0" fontId="37" fillId="0" borderId="0"/>
    <xf numFmtId="3" fontId="149" fillId="0" borderId="0">
      <alignment horizontal="left" wrapText="1"/>
    </xf>
    <xf numFmtId="278" fontId="149" fillId="0" borderId="0">
      <alignment horizontal="right"/>
    </xf>
    <xf numFmtId="0" fontId="150" fillId="0" borderId="0" applyNumberFormat="0" applyFill="0" applyBorder="0" applyAlignment="0" applyProtection="0">
      <alignment vertical="top"/>
      <protection locked="0"/>
    </xf>
    <xf numFmtId="37" fontId="86" fillId="0" borderId="30"/>
    <xf numFmtId="3" fontId="149" fillId="0" borderId="0">
      <alignment horizontal="left"/>
    </xf>
    <xf numFmtId="0" fontId="151" fillId="0" borderId="0" applyFill="0" applyBorder="0" applyProtection="0">
      <alignment vertical="center"/>
    </xf>
    <xf numFmtId="43" fontId="34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2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86" fillId="0" borderId="30">
      <alignment horizontal="left"/>
    </xf>
    <xf numFmtId="0" fontId="15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86" fillId="0" borderId="30">
      <alignment horizontal="left"/>
    </xf>
    <xf numFmtId="0" fontId="70" fillId="0" borderId="0"/>
    <xf numFmtId="221" fontId="57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85" fillId="0" borderId="0"/>
    <xf numFmtId="0" fontId="57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3" fillId="79" borderId="28">
      <alignment horizontal="distributed" vertical="center"/>
    </xf>
    <xf numFmtId="284" fontId="57" fillId="0" borderId="0" applyFont="0" applyFill="0" applyBorder="0" applyAlignment="0" applyProtection="0"/>
    <xf numFmtId="285" fontId="34" fillId="0" borderId="0" applyFont="0" applyFill="0" applyBorder="0" applyAlignment="0" applyProtection="0"/>
    <xf numFmtId="284" fontId="34" fillId="0" borderId="0" applyFont="0" applyFill="0" applyBorder="0" applyAlignment="0" applyProtection="0"/>
    <xf numFmtId="0" fontId="1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5" fillId="0" borderId="0" applyNumberFormat="0" applyFont="0" applyFill="0" applyBorder="0" applyProtection="0">
      <alignment vertical="center"/>
    </xf>
    <xf numFmtId="0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55" fillId="0" borderId="54" applyNumberFormat="0" applyFont="0" applyFill="0" applyProtection="0">
      <alignment horizontal="center" vertical="center" wrapText="1"/>
    </xf>
    <xf numFmtId="189" fontId="156" fillId="0" borderId="0" applyFont="0" applyFill="0" applyBorder="0" applyAlignment="0" applyProtection="0"/>
    <xf numFmtId="0" fontId="156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57" fillId="0" borderId="0" applyFont="0" applyFill="0" applyBorder="0" applyAlignment="0" applyProtection="0"/>
    <xf numFmtId="225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88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2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2" fontId="102" fillId="0" borderId="0" applyFont="0" applyFill="0" applyBorder="0" applyAlignment="0" applyProtection="0"/>
    <xf numFmtId="292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6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9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0" fontId="135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56" fillId="0" borderId="0" applyFont="0" applyFill="0" applyBorder="0" applyAlignment="0" applyProtection="0"/>
    <xf numFmtId="190" fontId="156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1" fontId="157" fillId="0" borderId="0" applyFont="0" applyFill="0" applyBorder="0" applyAlignment="0" applyProtection="0"/>
    <xf numFmtId="223" fontId="159" fillId="0" borderId="0" applyFont="0" applyFill="0" applyBorder="0" applyAlignment="0" applyProtection="0"/>
    <xf numFmtId="303" fontId="102" fillId="0" borderId="0" applyFont="0" applyFill="0" applyBorder="0" applyAlignment="0" applyProtection="0"/>
    <xf numFmtId="189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2" fontId="159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02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9" fontId="160" fillId="0" borderId="0">
      <alignment horizontal="center"/>
    </xf>
    <xf numFmtId="310" fontId="161" fillId="0" borderId="0">
      <alignment horizontal="right"/>
      <protection locked="0"/>
    </xf>
    <xf numFmtId="0" fontId="162" fillId="0" borderId="29" applyNumberFormat="0" applyFont="0" applyFill="0" applyAlignment="0" applyProtection="0"/>
    <xf numFmtId="0" fontId="162" fillId="0" borderId="55" applyNumberFormat="0" applyFont="0" applyFill="0" applyAlignment="0" applyProtection="0"/>
    <xf numFmtId="311" fontId="163" fillId="0" borderId="0" applyFont="0" applyFill="0" applyBorder="0" applyAlignment="0" applyProtection="0"/>
    <xf numFmtId="0" fontId="164" fillId="0" borderId="0"/>
    <xf numFmtId="0" fontId="165" fillId="0" borderId="0"/>
    <xf numFmtId="0" fontId="102" fillId="0" borderId="0"/>
    <xf numFmtId="0" fontId="166" fillId="0" borderId="0"/>
    <xf numFmtId="0" fontId="158" fillId="0" borderId="0"/>
    <xf numFmtId="0" fontId="167" fillId="0" borderId="0"/>
    <xf numFmtId="37" fontId="135" fillId="0" borderId="0" applyFill="0" applyBorder="0"/>
    <xf numFmtId="0" fontId="102" fillId="0" borderId="0"/>
    <xf numFmtId="0" fontId="135" fillId="0" borderId="0"/>
    <xf numFmtId="0" fontId="168" fillId="0" borderId="0"/>
    <xf numFmtId="0" fontId="135" fillId="0" borderId="0"/>
    <xf numFmtId="0" fontId="102" fillId="0" borderId="0"/>
    <xf numFmtId="0" fontId="34" fillId="0" borderId="0"/>
    <xf numFmtId="0" fontId="34" fillId="0" borderId="0"/>
    <xf numFmtId="0" fontId="135" fillId="0" borderId="0"/>
    <xf numFmtId="0" fontId="169" fillId="0" borderId="0"/>
    <xf numFmtId="0" fontId="170" fillId="0" borderId="0"/>
    <xf numFmtId="0" fontId="171" fillId="0" borderId="0"/>
    <xf numFmtId="0" fontId="166" fillId="0" borderId="0"/>
    <xf numFmtId="0" fontId="157" fillId="0" borderId="0"/>
    <xf numFmtId="0" fontId="159" fillId="0" borderId="0"/>
    <xf numFmtId="0" fontId="172" fillId="0" borderId="0"/>
    <xf numFmtId="0" fontId="17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35" fillId="0" borderId="0"/>
    <xf numFmtId="0" fontId="102" fillId="0" borderId="0"/>
    <xf numFmtId="0" fontId="135" fillId="0" borderId="0"/>
    <xf numFmtId="191" fontId="72" fillId="81" borderId="0" applyNumberFormat="0" applyFont="0" applyBorder="0" applyAlignment="0">
      <protection locked="0"/>
    </xf>
    <xf numFmtId="0" fontId="174" fillId="0" borderId="0">
      <alignment horizontal="left" vertical="center"/>
    </xf>
    <xf numFmtId="0" fontId="175" fillId="82" borderId="0">
      <alignment horizontal="left"/>
    </xf>
    <xf numFmtId="0" fontId="78" fillId="82" borderId="0">
      <alignment horizontal="right"/>
    </xf>
    <xf numFmtId="0" fontId="68" fillId="83" borderId="0">
      <alignment horizontal="center"/>
    </xf>
    <xf numFmtId="0" fontId="78" fillId="82" borderId="0">
      <alignment horizontal="right"/>
    </xf>
    <xf numFmtId="0" fontId="176" fillId="83" borderId="0">
      <alignment horizontal="left"/>
    </xf>
    <xf numFmtId="312" fontId="55" fillId="0" borderId="0" applyFont="0" applyFill="0" applyBorder="0" applyAlignment="0" applyProtection="0"/>
    <xf numFmtId="0" fontId="107" fillId="0" borderId="0" applyFont="0" applyFill="0" applyBorder="0" applyAlignment="0" applyProtection="0"/>
    <xf numFmtId="313" fontId="57" fillId="0" borderId="0" applyFont="0" applyFill="0" applyBorder="0" applyAlignment="0" applyProtection="0"/>
    <xf numFmtId="38" fontId="66" fillId="0" borderId="0" applyFont="0" applyFill="0" applyBorder="0" applyAlignment="0" applyProtection="0"/>
    <xf numFmtId="40" fontId="66" fillId="0" borderId="0" applyFont="0" applyFill="0" applyBorder="0" applyAlignment="0" applyProtection="0"/>
    <xf numFmtId="49" fontId="177" fillId="0" borderId="0"/>
    <xf numFmtId="314" fontId="178" fillId="0" borderId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0"/>
    <xf numFmtId="0" fontId="7" fillId="0" borderId="0"/>
    <xf numFmtId="3" fontId="136" fillId="0" borderId="0"/>
    <xf numFmtId="0" fontId="179" fillId="0" borderId="0"/>
    <xf numFmtId="0" fontId="180" fillId="0" borderId="0"/>
    <xf numFmtId="0" fontId="29" fillId="0" borderId="0">
      <alignment horizontal="left"/>
    </xf>
    <xf numFmtId="199" fontId="136" fillId="0" borderId="0" applyProtection="0"/>
    <xf numFmtId="315" fontId="181" fillId="0" borderId="0" applyAlignment="0">
      <alignment horizontal="right"/>
      <protection hidden="1"/>
    </xf>
    <xf numFmtId="0" fontId="182" fillId="84" borderId="1" applyNumberFormat="0" applyFont="0" applyBorder="0" applyAlignment="0">
      <alignment horizontal="center"/>
      <protection locked="0"/>
    </xf>
    <xf numFmtId="0" fontId="67" fillId="0" borderId="0" applyNumberFormat="0" applyFill="0" applyBorder="0" applyAlignment="0">
      <protection locked="0"/>
    </xf>
    <xf numFmtId="1" fontId="72" fillId="0" borderId="0"/>
    <xf numFmtId="0" fontId="175" fillId="82" borderId="0">
      <alignment horizontal="left"/>
    </xf>
    <xf numFmtId="0" fontId="183" fillId="83" borderId="0">
      <alignment horizontal="left"/>
    </xf>
    <xf numFmtId="0" fontId="184" fillId="70" borderId="56">
      <alignment horizontal="left" vertical="top" indent="2"/>
    </xf>
    <xf numFmtId="0" fontId="184" fillId="70" borderId="56">
      <alignment horizontal="left" vertical="top" indent="2"/>
    </xf>
    <xf numFmtId="316" fontId="70" fillId="0" borderId="0" applyFont="0" applyFill="0" applyBorder="0" applyAlignment="0" applyProtection="0"/>
    <xf numFmtId="317" fontId="57" fillId="0" borderId="0"/>
    <xf numFmtId="0" fontId="70" fillId="0" borderId="33" applyFont="0" applyFill="0" applyBorder="0" applyAlignment="0" applyProtection="0">
      <alignment horizontal="right"/>
    </xf>
    <xf numFmtId="0" fontId="185" fillId="0" borderId="0" applyFont="0" applyFill="0" applyBorder="0" applyAlignment="0" applyProtection="0">
      <alignment horizontal="centerContinuous"/>
    </xf>
    <xf numFmtId="0" fontId="185" fillId="0" borderId="0" applyFont="0" applyFill="0" applyBorder="0" applyAlignment="0" applyProtection="0">
      <alignment horizontal="centerContinuous"/>
    </xf>
    <xf numFmtId="37" fontId="186" fillId="0" borderId="0"/>
    <xf numFmtId="0" fontId="187" fillId="0" borderId="0">
      <alignment horizontal="left"/>
    </xf>
    <xf numFmtId="38" fontId="188" fillId="70" borderId="0">
      <alignment horizontal="right"/>
    </xf>
    <xf numFmtId="0" fontId="189" fillId="70" borderId="0">
      <alignment horizontal="right"/>
    </xf>
    <xf numFmtId="0" fontId="190" fillId="70" borderId="33"/>
    <xf numFmtId="0" fontId="191" fillId="0" borderId="0" applyBorder="0">
      <alignment horizontal="centerContinuous"/>
    </xf>
    <xf numFmtId="0" fontId="192" fillId="0" borderId="0" applyBorder="0">
      <alignment horizontal="centerContinuous"/>
    </xf>
    <xf numFmtId="0" fontId="193" fillId="70" borderId="0"/>
    <xf numFmtId="0" fontId="194" fillId="70" borderId="29"/>
    <xf numFmtId="0" fontId="195" fillId="0" borderId="57" applyNumberFormat="0" applyAlignment="0" applyProtection="0"/>
    <xf numFmtId="0" fontId="70" fillId="68" borderId="0" applyNumberFormat="0" applyFont="0" applyBorder="0" applyAlignment="0" applyProtection="0"/>
    <xf numFmtId="0" fontId="72" fillId="67" borderId="30" applyNumberFormat="0" applyFont="0" applyBorder="0" applyAlignment="0" applyProtection="0">
      <alignment horizontal="center"/>
    </xf>
    <xf numFmtId="0" fontId="72" fillId="79" borderId="30" applyNumberFormat="0" applyFont="0" applyBorder="0" applyAlignment="0" applyProtection="0">
      <alignment horizontal="center"/>
    </xf>
    <xf numFmtId="0" fontId="70" fillId="0" borderId="58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195" fillId="0" borderId="60" applyNumberFormat="0" applyAlignment="0" applyProtection="0"/>
    <xf numFmtId="318" fontId="55" fillId="0" borderId="0" applyFont="0" applyFill="0" applyBorder="0" applyAlignment="0" applyProtection="0"/>
    <xf numFmtId="319" fontId="196" fillId="85" borderId="54"/>
    <xf numFmtId="0" fontId="197" fillId="0" borderId="28" applyNumberFormat="0" applyAlignment="0"/>
    <xf numFmtId="0" fontId="57" fillId="0" borderId="0"/>
    <xf numFmtId="0" fontId="57" fillId="0" borderId="0"/>
    <xf numFmtId="0" fontId="91" fillId="0" borderId="0" applyNumberFormat="0" applyBorder="0" applyAlignment="0">
      <alignment horizontal="right"/>
    </xf>
    <xf numFmtId="320" fontId="34" fillId="0" borderId="0"/>
    <xf numFmtId="0" fontId="183" fillId="44" borderId="0">
      <alignment horizontal="center"/>
    </xf>
    <xf numFmtId="49" fontId="180" fillId="83" borderId="0">
      <alignment horizontal="center"/>
    </xf>
    <xf numFmtId="0" fontId="78" fillId="82" borderId="0">
      <alignment horizontal="center"/>
    </xf>
    <xf numFmtId="0" fontId="78" fillId="82" borderId="0">
      <alignment horizontal="centerContinuous"/>
    </xf>
    <xf numFmtId="0" fontId="71" fillId="83" borderId="0">
      <alignment horizontal="left"/>
    </xf>
    <xf numFmtId="49" fontId="71" fillId="83" borderId="0">
      <alignment horizontal="center"/>
    </xf>
    <xf numFmtId="0" fontId="175" fillId="82" borderId="0">
      <alignment horizontal="left"/>
    </xf>
    <xf numFmtId="49" fontId="71" fillId="83" borderId="0">
      <alignment horizontal="left"/>
    </xf>
    <xf numFmtId="0" fontId="175" fillId="82" borderId="0">
      <alignment horizontal="centerContinuous"/>
    </xf>
    <xf numFmtId="0" fontId="175" fillId="82" borderId="0">
      <alignment horizontal="right"/>
    </xf>
    <xf numFmtId="49" fontId="183" fillId="83" borderId="0">
      <alignment horizontal="left"/>
    </xf>
    <xf numFmtId="0" fontId="78" fillId="82" borderId="0">
      <alignment horizontal="right"/>
    </xf>
    <xf numFmtId="0" fontId="71" fillId="50" borderId="0">
      <alignment horizontal="center"/>
    </xf>
    <xf numFmtId="0" fontId="198" fillId="50" borderId="0">
      <alignment horizontal="center"/>
    </xf>
    <xf numFmtId="314" fontId="163" fillId="0" borderId="0" applyFill="0" applyBorder="0" applyAlignment="0" applyProtection="0"/>
    <xf numFmtId="0" fontId="66" fillId="0" borderId="0"/>
    <xf numFmtId="321" fontId="34" fillId="0" borderId="0"/>
    <xf numFmtId="0" fontId="57" fillId="0" borderId="0"/>
    <xf numFmtId="0" fontId="57" fillId="0" borderId="0"/>
    <xf numFmtId="0" fontId="136" fillId="0" borderId="0" applyFill="0" applyBorder="0" applyProtection="0">
      <alignment horizontal="left"/>
    </xf>
    <xf numFmtId="0" fontId="102" fillId="0" borderId="0"/>
    <xf numFmtId="0" fontId="70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99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63" fillId="0" borderId="0" applyFont="0" applyFill="0" applyBorder="0" applyAlignment="0" applyProtection="0"/>
    <xf numFmtId="0" fontId="200" fillId="0" borderId="0"/>
    <xf numFmtId="323" fontId="200" fillId="0" borderId="0" applyFont="0" applyFill="0" applyBorder="0" applyAlignment="0" applyProtection="0"/>
    <xf numFmtId="0" fontId="201" fillId="0" borderId="0" applyNumberFormat="0" applyFill="0" applyBorder="0" applyAlignment="0" applyProtection="0">
      <alignment vertical="top"/>
      <protection locked="0"/>
    </xf>
    <xf numFmtId="0" fontId="14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/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155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4" fillId="0" borderId="0" applyNumberFormat="0" applyFill="0" applyBorder="0" applyAlignment="0" applyProtection="0"/>
    <xf numFmtId="0" fontId="3" fillId="0" borderId="0"/>
    <xf numFmtId="1" fontId="91" fillId="0" borderId="63">
      <alignment horizontal="center" vertical="center"/>
    </xf>
    <xf numFmtId="0" fontId="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34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4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1" fillId="0" borderId="61" applyAlignment="0"/>
    <xf numFmtId="0" fontId="70" fillId="0" borderId="0"/>
    <xf numFmtId="0" fontId="34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57" fillId="0" borderId="0" applyFont="0" applyFill="0" applyBorder="0" applyAlignment="0" applyProtection="0"/>
    <xf numFmtId="0" fontId="34" fillId="0" borderId="0"/>
    <xf numFmtId="0" fontId="60" fillId="0" borderId="0"/>
    <xf numFmtId="37" fontId="34" fillId="0" borderId="0"/>
    <xf numFmtId="0" fontId="6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5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4" fillId="0" borderId="0" applyFont="0" applyFill="0" applyBorder="0" applyAlignment="0" applyProtection="0"/>
    <xf numFmtId="3" fontId="92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285" fontId="34" fillId="0" borderId="0" applyFont="0" applyFill="0" applyBorder="0" applyAlignment="0" applyProtection="0"/>
    <xf numFmtId="0" fontId="57" fillId="0" borderId="0"/>
    <xf numFmtId="324" fontId="103" fillId="0" borderId="0">
      <protection locked="0"/>
    </xf>
    <xf numFmtId="0" fontId="3" fillId="0" borderId="0"/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6" fontId="103" fillId="0" borderId="0">
      <protection locked="0"/>
    </xf>
    <xf numFmtId="0" fontId="53" fillId="0" borderId="2">
      <alignment horizontal="left" vertical="center"/>
    </xf>
    <xf numFmtId="327" fontId="205" fillId="0" borderId="0">
      <protection locked="0"/>
    </xf>
    <xf numFmtId="327" fontId="205" fillId="0" borderId="0">
      <protection locked="0"/>
    </xf>
    <xf numFmtId="0" fontId="206" fillId="0" borderId="0" applyNumberFormat="0" applyFill="0" applyBorder="0" applyAlignment="0" applyProtection="0"/>
    <xf numFmtId="10" fontId="72" fillId="72" borderId="28" applyNumberFormat="0" applyBorder="0" applyAlignment="0" applyProtection="0"/>
    <xf numFmtId="0" fontId="76" fillId="0" borderId="62"/>
    <xf numFmtId="328" fontId="34" fillId="0" borderId="0"/>
    <xf numFmtId="0" fontId="34" fillId="0" borderId="0"/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327" fontId="103" fillId="0" borderId="36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0" fontId="28" fillId="0" borderId="0">
      <alignment vertical="center"/>
    </xf>
  </cellStyleXfs>
  <cellXfs count="14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7" fillId="2" borderId="0" xfId="3" applyNumberFormat="1" applyFont="1" applyFill="1" applyBorder="1" applyAlignment="1">
      <alignment horizontal="left" vertical="center" wrapText="1"/>
    </xf>
    <xf numFmtId="181" fontId="17" fillId="2" borderId="0" xfId="3" applyNumberFormat="1" applyFont="1" applyFill="1" applyBorder="1" applyAlignment="1">
      <alignment horizontal="right" vertical="center" wrapText="1"/>
    </xf>
    <xf numFmtId="41" fontId="17" fillId="2" borderId="0" xfId="3" applyNumberFormat="1" applyFont="1" applyFill="1" applyBorder="1" applyAlignment="1">
      <alignment horizontal="right" vertical="center" wrapText="1"/>
    </xf>
    <xf numFmtId="180" fontId="16" fillId="2" borderId="0" xfId="3" applyNumberFormat="1" applyFont="1" applyFill="1" applyBorder="1" applyAlignment="1">
      <alignment horizontal="left" vertical="center" wrapText="1"/>
    </xf>
    <xf numFmtId="180" fontId="16" fillId="8" borderId="0" xfId="3" applyNumberFormat="1" applyFont="1" applyFill="1" applyBorder="1" applyAlignment="1">
      <alignment horizontal="center" vertical="center"/>
    </xf>
    <xf numFmtId="180" fontId="16" fillId="2" borderId="2" xfId="3" applyNumberFormat="1" applyFont="1" applyFill="1" applyBorder="1" applyAlignment="1">
      <alignment horizontal="left" vertical="center" wrapText="1"/>
    </xf>
    <xf numFmtId="41" fontId="16" fillId="0" borderId="2" xfId="1" applyFont="1" applyFill="1" applyBorder="1" applyAlignment="1">
      <alignment horizontal="center" vertical="center"/>
    </xf>
    <xf numFmtId="180" fontId="13" fillId="2" borderId="3" xfId="3" applyNumberFormat="1" applyFont="1" applyFill="1" applyBorder="1" applyAlignment="1">
      <alignment horizontal="left" vertical="center" wrapText="1"/>
    </xf>
    <xf numFmtId="182" fontId="13" fillId="0" borderId="3" xfId="2" applyNumberFormat="1" applyFont="1" applyFill="1" applyBorder="1" applyAlignment="1">
      <alignment horizontal="center" vertical="center"/>
    </xf>
    <xf numFmtId="182" fontId="16" fillId="0" borderId="0" xfId="2" applyNumberFormat="1" applyFont="1" applyFill="1" applyBorder="1" applyAlignment="1">
      <alignment horizontal="center" vertical="center"/>
    </xf>
    <xf numFmtId="180" fontId="16" fillId="2" borderId="1" xfId="3" applyNumberFormat="1" applyFont="1" applyFill="1" applyBorder="1" applyAlignment="1">
      <alignment horizontal="left" vertical="center" wrapText="1"/>
    </xf>
    <xf numFmtId="182" fontId="16" fillId="0" borderId="1" xfId="2" applyNumberFormat="1" applyFont="1" applyFill="1" applyBorder="1" applyAlignment="1">
      <alignment horizontal="center" vertical="center"/>
    </xf>
    <xf numFmtId="182" fontId="16" fillId="2" borderId="0" xfId="2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left" vertical="center"/>
    </xf>
    <xf numFmtId="181" fontId="13" fillId="2" borderId="3" xfId="4" applyNumberFormat="1" applyFont="1" applyFill="1" applyBorder="1" applyAlignment="1">
      <alignment horizontal="left" vertical="center"/>
    </xf>
    <xf numFmtId="182" fontId="13" fillId="2" borderId="3" xfId="2" applyNumberFormat="1" applyFont="1" applyFill="1" applyBorder="1" applyAlignment="1">
      <alignment horizontal="right" vertical="center"/>
    </xf>
    <xf numFmtId="182" fontId="13" fillId="0" borderId="3" xfId="2" applyNumberFormat="1" applyFont="1" applyFill="1" applyBorder="1" applyAlignment="1">
      <alignment horizontal="right" vertical="center"/>
    </xf>
    <xf numFmtId="182" fontId="16" fillId="0" borderId="0" xfId="2" applyNumberFormat="1" applyFont="1" applyFill="1" applyBorder="1" applyAlignment="1">
      <alignment horizontal="right" vertical="center"/>
    </xf>
    <xf numFmtId="181" fontId="16" fillId="2" borderId="1" xfId="4" applyNumberFormat="1" applyFont="1" applyFill="1" applyBorder="1" applyAlignment="1">
      <alignment horizontal="left" vertical="center"/>
    </xf>
    <xf numFmtId="182" fontId="16" fillId="2" borderId="1" xfId="2" applyNumberFormat="1" applyFont="1" applyFill="1" applyBorder="1" applyAlignment="1">
      <alignment horizontal="right" vertical="center"/>
    </xf>
    <xf numFmtId="182" fontId="16" fillId="0" borderId="1" xfId="2" applyNumberFormat="1" applyFont="1" applyFill="1" applyBorder="1" applyAlignment="1">
      <alignment horizontal="right" vertical="center"/>
    </xf>
    <xf numFmtId="0" fontId="20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183" fontId="21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1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1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1" fillId="2" borderId="0" xfId="0" applyNumberFormat="1" applyFont="1" applyFill="1" applyBorder="1" applyAlignment="1">
      <alignment horizontal="right" vertical="center"/>
    </xf>
    <xf numFmtId="41" fontId="21" fillId="7" borderId="3" xfId="0" applyNumberFormat="1" applyFont="1" applyFill="1" applyBorder="1" applyAlignment="1">
      <alignment horizontal="right" vertical="center"/>
    </xf>
    <xf numFmtId="9" fontId="22" fillId="2" borderId="0" xfId="2" applyFont="1" applyFill="1" applyBorder="1" applyAlignment="1">
      <alignment horizontal="right" vertical="center"/>
    </xf>
    <xf numFmtId="41" fontId="23" fillId="2" borderId="0" xfId="1" applyFont="1" applyFill="1" applyBorder="1" applyAlignment="1">
      <alignment horizontal="right" vertical="center"/>
    </xf>
    <xf numFmtId="179" fontId="23" fillId="2" borderId="0" xfId="1" applyNumberFormat="1" applyFont="1" applyFill="1" applyBorder="1" applyAlignment="1">
      <alignment horizontal="right" vertical="center"/>
    </xf>
    <xf numFmtId="41" fontId="23" fillId="2" borderId="0" xfId="1" applyNumberFormat="1" applyFont="1" applyFill="1" applyBorder="1" applyAlignment="1">
      <alignment horizontal="right" vertical="center"/>
    </xf>
    <xf numFmtId="183" fontId="23" fillId="2" borderId="0" xfId="1" applyNumberFormat="1" applyFont="1" applyFill="1" applyBorder="1" applyAlignment="1">
      <alignment horizontal="right" vertical="center"/>
    </xf>
    <xf numFmtId="9" fontId="24" fillId="2" borderId="1" xfId="2" applyFont="1" applyFill="1" applyBorder="1" applyAlignment="1">
      <alignment horizontal="right" vertical="center"/>
    </xf>
    <xf numFmtId="180" fontId="24" fillId="2" borderId="1" xfId="1" applyNumberFormat="1" applyFont="1" applyFill="1" applyBorder="1" applyAlignment="1">
      <alignment horizontal="right" vertical="center"/>
    </xf>
    <xf numFmtId="182" fontId="21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2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41" fontId="14" fillId="2" borderId="0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6" fillId="0" borderId="0" xfId="0" applyFont="1" applyAlignment="1"/>
    <xf numFmtId="0" fontId="16" fillId="10" borderId="0" xfId="0" applyFont="1" applyFill="1" applyAlignment="1">
      <alignment vertical="center"/>
    </xf>
    <xf numFmtId="41" fontId="16" fillId="0" borderId="0" xfId="0" applyNumberFormat="1" applyFont="1" applyFill="1" applyAlignment="1">
      <alignment vertical="center"/>
    </xf>
    <xf numFmtId="41" fontId="29" fillId="2" borderId="0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41" fontId="32" fillId="2" borderId="0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9" fontId="18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180" fontId="16" fillId="0" borderId="0" xfId="3" applyNumberFormat="1" applyFont="1" applyFill="1" applyBorder="1" applyAlignment="1">
      <alignment horizontal="center" vertical="center"/>
    </xf>
    <xf numFmtId="9" fontId="30" fillId="2" borderId="0" xfId="2" applyFont="1" applyFill="1" applyBorder="1" applyAlignment="1">
      <alignment horizontal="left" vertical="center"/>
    </xf>
    <xf numFmtId="0" fontId="207" fillId="0" borderId="0" xfId="0" applyFont="1" applyFill="1" applyAlignment="1">
      <alignment horizontal="righ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vertical="center"/>
    </xf>
    <xf numFmtId="183" fontId="21" fillId="7" borderId="4" xfId="0" applyNumberFormat="1" applyFont="1" applyFill="1" applyBorder="1" applyAlignment="1">
      <alignment vertical="center" wrapText="1"/>
    </xf>
    <xf numFmtId="41" fontId="21" fillId="7" borderId="0" xfId="0" applyNumberFormat="1" applyFont="1" applyFill="1" applyBorder="1" applyAlignment="1">
      <alignment vertical="center"/>
    </xf>
    <xf numFmtId="182" fontId="13" fillId="0" borderId="3" xfId="2" applyNumberFormat="1" applyFont="1" applyFill="1" applyBorder="1" applyAlignment="1">
      <alignment vertical="center"/>
    </xf>
    <xf numFmtId="182" fontId="16" fillId="0" borderId="0" xfId="2" applyNumberFormat="1" applyFont="1" applyFill="1" applyBorder="1" applyAlignment="1">
      <alignment vertical="center"/>
    </xf>
    <xf numFmtId="182" fontId="16" fillId="0" borderId="1" xfId="2" applyNumberFormat="1" applyFont="1" applyFill="1" applyBorder="1" applyAlignment="1">
      <alignment vertical="center"/>
    </xf>
    <xf numFmtId="183" fontId="21" fillId="7" borderId="0" xfId="0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41" fontId="16" fillId="0" borderId="61" xfId="1" applyFont="1" applyFill="1" applyBorder="1" applyAlignment="1">
      <alignment horizontal="center" vertical="center"/>
    </xf>
    <xf numFmtId="182" fontId="13" fillId="0" borderId="61" xfId="2" applyNumberFormat="1" applyFont="1" applyFill="1" applyBorder="1" applyAlignment="1">
      <alignment horizontal="center" vertical="center"/>
    </xf>
    <xf numFmtId="182" fontId="13" fillId="5" borderId="61" xfId="2" applyNumberFormat="1" applyFont="1" applyFill="1" applyBorder="1" applyAlignment="1">
      <alignment horizontal="center" vertical="center"/>
    </xf>
    <xf numFmtId="182" fontId="16" fillId="5" borderId="0" xfId="2" applyNumberFormat="1" applyFont="1" applyFill="1" applyBorder="1" applyAlignment="1">
      <alignment horizontal="center" vertical="center"/>
    </xf>
    <xf numFmtId="182" fontId="16" fillId="5" borderId="1" xfId="2" applyNumberFormat="1" applyFont="1" applyFill="1" applyBorder="1" applyAlignment="1">
      <alignment horizontal="center" vertical="center"/>
    </xf>
    <xf numFmtId="41" fontId="16" fillId="0" borderId="43" xfId="1" applyFont="1" applyFill="1" applyBorder="1" applyAlignment="1">
      <alignment horizontal="center" vertical="center"/>
    </xf>
    <xf numFmtId="182" fontId="13" fillId="2" borderId="61" xfId="2" applyNumberFormat="1" applyFont="1" applyFill="1" applyBorder="1" applyAlignment="1">
      <alignment horizontal="right" vertical="center"/>
    </xf>
    <xf numFmtId="182" fontId="13" fillId="5" borderId="61" xfId="2" applyNumberFormat="1" applyFont="1" applyFill="1" applyBorder="1" applyAlignment="1">
      <alignment horizontal="right" vertical="center"/>
    </xf>
    <xf numFmtId="182" fontId="16" fillId="5" borderId="0" xfId="2" applyNumberFormat="1" applyFont="1" applyFill="1" applyBorder="1" applyAlignment="1">
      <alignment horizontal="right" vertical="center"/>
    </xf>
    <xf numFmtId="182" fontId="16" fillId="5" borderId="1" xfId="2" applyNumberFormat="1" applyFont="1" applyFill="1" applyBorder="1" applyAlignment="1">
      <alignment horizontal="right" vertical="center"/>
    </xf>
    <xf numFmtId="182" fontId="13" fillId="0" borderId="61" xfId="2" applyNumberFormat="1" applyFont="1" applyFill="1" applyBorder="1" applyAlignment="1">
      <alignment horizontal="right" vertical="center"/>
    </xf>
    <xf numFmtId="329" fontId="21" fillId="7" borderId="0" xfId="0" applyNumberFormat="1" applyFont="1" applyFill="1" applyBorder="1" applyAlignment="1">
      <alignment horizontal="right" vertical="center" wrapText="1"/>
    </xf>
    <xf numFmtId="329" fontId="16" fillId="0" borderId="0" xfId="0" applyNumberFormat="1" applyFont="1" applyFill="1" applyAlignment="1">
      <alignment vertical="center"/>
    </xf>
    <xf numFmtId="329" fontId="24" fillId="2" borderId="1" xfId="1" applyNumberFormat="1" applyFont="1" applyFill="1" applyBorder="1" applyAlignment="1">
      <alignment horizontal="right" vertical="center"/>
    </xf>
    <xf numFmtId="41" fontId="7" fillId="7" borderId="64" xfId="0" applyNumberFormat="1" applyFont="1" applyFill="1" applyBorder="1" applyAlignment="1">
      <alignment horizontal="left" vertical="center"/>
    </xf>
    <xf numFmtId="41" fontId="21" fillId="7" borderId="64" xfId="0" applyNumberFormat="1" applyFont="1" applyFill="1" applyBorder="1" applyAlignment="1">
      <alignment horizontal="right" vertical="center"/>
    </xf>
    <xf numFmtId="184" fontId="21" fillId="7" borderId="64" xfId="0" applyNumberFormat="1" applyFont="1" applyFill="1" applyBorder="1" applyAlignment="1">
      <alignment horizontal="right" vertical="center"/>
    </xf>
    <xf numFmtId="41" fontId="21" fillId="7" borderId="64" xfId="0" applyNumberFormat="1" applyFont="1" applyFill="1" applyBorder="1" applyAlignment="1">
      <alignment vertical="center"/>
    </xf>
    <xf numFmtId="41" fontId="21" fillId="7" borderId="64" xfId="0" applyNumberFormat="1" applyFont="1" applyFill="1" applyBorder="1" applyAlignment="1">
      <alignment vertical="center" wrapText="1"/>
    </xf>
    <xf numFmtId="41" fontId="21" fillId="7" borderId="64" xfId="0" applyNumberFormat="1" applyFont="1" applyFill="1" applyBorder="1" applyAlignment="1">
      <alignment horizontal="right" vertical="center" wrapText="1"/>
    </xf>
    <xf numFmtId="329" fontId="21" fillId="7" borderId="64" xfId="0" applyNumberFormat="1" applyFont="1" applyFill="1" applyBorder="1" applyAlignment="1">
      <alignment horizontal="right" vertical="center" wrapText="1"/>
    </xf>
    <xf numFmtId="41" fontId="21" fillId="7" borderId="1" xfId="0" applyNumberFormat="1" applyFont="1" applyFill="1" applyBorder="1" applyAlignment="1">
      <alignment vertical="center"/>
    </xf>
    <xf numFmtId="183" fontId="21" fillId="7" borderId="1" xfId="0" applyNumberFormat="1" applyFont="1" applyFill="1" applyBorder="1" applyAlignment="1">
      <alignment horizontal="right" vertical="center" wrapText="1"/>
    </xf>
    <xf numFmtId="329" fontId="21" fillId="7" borderId="1" xfId="0" applyNumberFormat="1" applyFont="1" applyFill="1" applyBorder="1" applyAlignment="1">
      <alignment horizontal="right" vertical="center" wrapText="1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62</xdr:col>
      <xdr:colOff>13190</xdr:colOff>
      <xdr:row>0</xdr:row>
      <xdr:rowOff>66303</xdr:rowOff>
    </xdr:from>
    <xdr:ext cx="672073" cy="598714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2914754" y="6630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17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20</xdr:col>
      <xdr:colOff>208053</xdr:colOff>
      <xdr:row>0</xdr:row>
      <xdr:rowOff>199465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835980" y="1994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L39"/>
  <sheetViews>
    <sheetView showGridLines="0" tabSelected="1" view="pageBreakPreview" zoomScale="55" zoomScaleNormal="70" zoomScaleSheetLayoutView="55" workbookViewId="0">
      <selection activeCell="BF13" sqref="BF13"/>
    </sheetView>
  </sheetViews>
  <sheetFormatPr defaultColWidth="9" defaultRowHeight="30.75" customHeight="1"/>
  <cols>
    <col min="1" max="1" width="35.8984375" style="48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100" hidden="1" customWidth="1"/>
    <col min="30" max="30" width="10.69921875" style="100" hidden="1" customWidth="1"/>
    <col min="31" max="32" width="11.69921875" style="100" hidden="1" customWidth="1"/>
    <col min="33" max="37" width="10.8984375" style="100" hidden="1" customWidth="1"/>
    <col min="38" max="38" width="10.8984375" style="100" bestFit="1" customWidth="1"/>
    <col min="39" max="39" width="11" style="100" bestFit="1" customWidth="1"/>
    <col min="40" max="52" width="11" style="100" customWidth="1"/>
    <col min="53" max="53" width="10.296875" style="100" bestFit="1" customWidth="1"/>
    <col min="54" max="55" width="11" style="100" bestFit="1" customWidth="1"/>
    <col min="56" max="56" width="10.59765625" style="100" bestFit="1" customWidth="1"/>
    <col min="57" max="57" width="10.8984375" style="100" bestFit="1" customWidth="1"/>
    <col min="58" max="58" width="10.8984375" style="100" customWidth="1"/>
    <col min="59" max="59" width="11" style="100" bestFit="1" customWidth="1"/>
    <col min="60" max="63" width="11.19921875" style="100" bestFit="1" customWidth="1"/>
    <col min="64" max="16384" width="9" style="100"/>
  </cols>
  <sheetData>
    <row r="1" spans="1:64" ht="44.25" customHeight="1">
      <c r="A1" s="1" t="s">
        <v>103</v>
      </c>
    </row>
    <row r="2" spans="1:64" ht="29.25" customHeight="1">
      <c r="A2" s="2"/>
    </row>
    <row r="3" spans="1:64" s="5" customFormat="1" ht="24.75" customHeight="1">
      <c r="A3" s="3" t="s">
        <v>89</v>
      </c>
      <c r="B3" s="4">
        <v>2018</v>
      </c>
      <c r="N3" s="4">
        <v>2019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4">
        <v>2020</v>
      </c>
      <c r="AA3" s="6"/>
      <c r="AB3" s="6"/>
      <c r="AL3" s="4">
        <v>2021</v>
      </c>
      <c r="AX3" s="4">
        <v>2022</v>
      </c>
      <c r="BJ3" s="4">
        <v>2023</v>
      </c>
    </row>
    <row r="4" spans="1:64" s="9" customFormat="1" ht="29.25" customHeight="1">
      <c r="A4" s="7" t="s">
        <v>0</v>
      </c>
      <c r="B4" s="8">
        <v>43101</v>
      </c>
      <c r="C4" s="8">
        <v>43132</v>
      </c>
      <c r="D4" s="8">
        <v>43160</v>
      </c>
      <c r="E4" s="8">
        <v>43191</v>
      </c>
      <c r="F4" s="8">
        <v>43221</v>
      </c>
      <c r="G4" s="8">
        <v>43252</v>
      </c>
      <c r="H4" s="8">
        <v>43282</v>
      </c>
      <c r="I4" s="8">
        <v>43313</v>
      </c>
      <c r="J4" s="8">
        <v>43344</v>
      </c>
      <c r="K4" s="8">
        <v>43374</v>
      </c>
      <c r="L4" s="8">
        <v>43405</v>
      </c>
      <c r="M4" s="8">
        <v>43435</v>
      </c>
      <c r="N4" s="52">
        <v>43466</v>
      </c>
      <c r="O4" s="52">
        <v>43497</v>
      </c>
      <c r="P4" s="52">
        <v>43525</v>
      </c>
      <c r="Q4" s="52">
        <v>43556</v>
      </c>
      <c r="R4" s="52">
        <v>43586</v>
      </c>
      <c r="S4" s="52">
        <v>43617</v>
      </c>
      <c r="T4" s="52">
        <v>43647</v>
      </c>
      <c r="U4" s="52">
        <v>43678</v>
      </c>
      <c r="V4" s="52">
        <v>43709</v>
      </c>
      <c r="W4" s="52">
        <v>43739</v>
      </c>
      <c r="X4" s="52">
        <v>43770</v>
      </c>
      <c r="Y4" s="52">
        <v>43800</v>
      </c>
      <c r="Z4" s="8">
        <v>43831</v>
      </c>
      <c r="AA4" s="8">
        <v>43862</v>
      </c>
      <c r="AB4" s="8">
        <v>43891</v>
      </c>
      <c r="AC4" s="8">
        <v>43922</v>
      </c>
      <c r="AD4" s="8">
        <v>43952</v>
      </c>
      <c r="AE4" s="8">
        <v>43983</v>
      </c>
      <c r="AF4" s="8">
        <v>44013</v>
      </c>
      <c r="AG4" s="8">
        <v>44044</v>
      </c>
      <c r="AH4" s="8">
        <v>44075</v>
      </c>
      <c r="AI4" s="8">
        <v>44105</v>
      </c>
      <c r="AJ4" s="8">
        <v>44136</v>
      </c>
      <c r="AK4" s="8">
        <v>44166</v>
      </c>
      <c r="AL4" s="8">
        <v>44197</v>
      </c>
      <c r="AM4" s="8">
        <v>44228</v>
      </c>
      <c r="AN4" s="8">
        <v>44256</v>
      </c>
      <c r="AO4" s="8">
        <v>44287</v>
      </c>
      <c r="AP4" s="8">
        <v>44317</v>
      </c>
      <c r="AQ4" s="8">
        <v>44348</v>
      </c>
      <c r="AR4" s="8">
        <v>44378</v>
      </c>
      <c r="AS4" s="8">
        <v>44409</v>
      </c>
      <c r="AT4" s="8">
        <v>44440</v>
      </c>
      <c r="AU4" s="8">
        <v>44470</v>
      </c>
      <c r="AV4" s="8">
        <v>44501</v>
      </c>
      <c r="AW4" s="8">
        <v>44531</v>
      </c>
      <c r="AX4" s="8">
        <v>44562</v>
      </c>
      <c r="AY4" s="8">
        <v>44593</v>
      </c>
      <c r="AZ4" s="8">
        <v>44621</v>
      </c>
      <c r="BA4" s="8">
        <v>44652</v>
      </c>
      <c r="BB4" s="8">
        <v>44682</v>
      </c>
      <c r="BC4" s="8">
        <v>44713</v>
      </c>
      <c r="BD4" s="8">
        <v>44744</v>
      </c>
      <c r="BE4" s="8">
        <v>44776</v>
      </c>
      <c r="BF4" s="8">
        <v>44808</v>
      </c>
      <c r="BG4" s="8">
        <v>44839</v>
      </c>
      <c r="BH4" s="8">
        <v>44870</v>
      </c>
      <c r="BI4" s="8">
        <v>44926</v>
      </c>
      <c r="BJ4" s="8">
        <v>44927</v>
      </c>
      <c r="BK4" s="8">
        <v>44958</v>
      </c>
    </row>
    <row r="5" spans="1:64" s="9" customFormat="1" ht="29.25" customHeight="1">
      <c r="A5" s="10" t="s">
        <v>1</v>
      </c>
      <c r="B5" s="11">
        <v>15570837</v>
      </c>
      <c r="C5" s="11">
        <v>15529540</v>
      </c>
      <c r="D5" s="11">
        <v>15477717</v>
      </c>
      <c r="E5" s="11">
        <v>15437983</v>
      </c>
      <c r="F5" s="11">
        <v>15395562</v>
      </c>
      <c r="G5" s="11">
        <v>15342823</v>
      </c>
      <c r="H5" s="11">
        <v>15264697</v>
      </c>
      <c r="I5" s="11">
        <v>15210126</v>
      </c>
      <c r="J5" s="11">
        <v>15162634</v>
      </c>
      <c r="K5" s="11">
        <v>15113144</v>
      </c>
      <c r="L5" s="11">
        <v>15054999</v>
      </c>
      <c r="M5" s="11">
        <v>14991559</v>
      </c>
      <c r="N5" s="11">
        <v>14923497</v>
      </c>
      <c r="O5" s="11">
        <v>14878500</v>
      </c>
      <c r="P5" s="11">
        <v>14829652</v>
      </c>
      <c r="Q5" s="11">
        <v>14779829</v>
      </c>
      <c r="R5" s="11">
        <v>14602162</v>
      </c>
      <c r="S5" s="11">
        <v>14553643</v>
      </c>
      <c r="T5" s="11">
        <v>14500174</v>
      </c>
      <c r="U5" s="11">
        <v>14430533</v>
      </c>
      <c r="V5" s="11">
        <v>14385696</v>
      </c>
      <c r="W5" s="11">
        <v>14283072</v>
      </c>
      <c r="X5" s="11">
        <v>14235148</v>
      </c>
      <c r="Y5" s="11">
        <v>14184875</v>
      </c>
      <c r="Z5" s="11">
        <v>14139086</v>
      </c>
      <c r="AA5" s="11">
        <v>14091524</v>
      </c>
      <c r="AB5" s="11">
        <v>14033364</v>
      </c>
      <c r="AC5" s="11">
        <v>13971852</v>
      </c>
      <c r="AD5" s="11">
        <v>13914094</v>
      </c>
      <c r="AE5" s="11">
        <v>13863019</v>
      </c>
      <c r="AF5" s="11">
        <v>13821925</v>
      </c>
      <c r="AG5" s="11">
        <v>13775275</v>
      </c>
      <c r="AH5" s="11">
        <v>13731677</v>
      </c>
      <c r="AI5" s="11">
        <v>13685850</v>
      </c>
      <c r="AJ5" s="11">
        <v>13636059</v>
      </c>
      <c r="AK5" s="11">
        <v>13582298</v>
      </c>
      <c r="AL5" s="11">
        <v>13536668</v>
      </c>
      <c r="AM5" s="11">
        <v>13498343</v>
      </c>
      <c r="AN5" s="11">
        <v>13460102</v>
      </c>
      <c r="AO5" s="11">
        <v>13414001</v>
      </c>
      <c r="AP5" s="11">
        <v>13372611</v>
      </c>
      <c r="AQ5" s="106">
        <v>13328900</v>
      </c>
      <c r="AR5" s="106">
        <v>13284630</v>
      </c>
      <c r="AS5" s="106">
        <v>13250333</v>
      </c>
      <c r="AT5" s="106">
        <v>13217593</v>
      </c>
      <c r="AU5" s="106">
        <v>13192273</v>
      </c>
      <c r="AV5" s="106">
        <v>13148008</v>
      </c>
      <c r="AW5" s="106">
        <v>13095613</v>
      </c>
      <c r="AX5" s="106">
        <v>13050003</v>
      </c>
      <c r="AY5" s="106">
        <v>13021420</v>
      </c>
      <c r="AZ5" s="106">
        <v>12969337</v>
      </c>
      <c r="BA5" s="106">
        <v>12931911</v>
      </c>
      <c r="BB5" s="106">
        <v>12892055</v>
      </c>
      <c r="BC5" s="106">
        <v>12841719</v>
      </c>
      <c r="BD5" s="106">
        <v>12797833</v>
      </c>
      <c r="BE5" s="106">
        <v>12743865</v>
      </c>
      <c r="BF5" s="106">
        <v>12708883</v>
      </c>
      <c r="BG5" s="106">
        <v>12671316</v>
      </c>
      <c r="BH5" s="106">
        <v>12625048</v>
      </c>
      <c r="BI5" s="106">
        <v>12581257</v>
      </c>
      <c r="BJ5" s="106">
        <v>12538182</v>
      </c>
      <c r="BK5" s="106">
        <v>12489792</v>
      </c>
    </row>
    <row r="6" spans="1:64" s="9" customFormat="1" ht="29.25" customHeight="1">
      <c r="A6" s="12" t="s">
        <v>2</v>
      </c>
      <c r="B6" s="13">
        <v>-38788</v>
      </c>
      <c r="C6" s="13">
        <v>-41297</v>
      </c>
      <c r="D6" s="13">
        <v>-51823</v>
      </c>
      <c r="E6" s="13">
        <v>-39734</v>
      </c>
      <c r="F6" s="13">
        <v>-42421</v>
      </c>
      <c r="G6" s="13">
        <v>-52739</v>
      </c>
      <c r="H6" s="13">
        <v>-78126</v>
      </c>
      <c r="I6" s="13">
        <v>-54571</v>
      </c>
      <c r="J6" s="13">
        <v>-47492</v>
      </c>
      <c r="K6" s="13">
        <v>-49490</v>
      </c>
      <c r="L6" s="13">
        <v>-58145</v>
      </c>
      <c r="M6" s="13">
        <v>-63440</v>
      </c>
      <c r="N6" s="13">
        <v>-68062</v>
      </c>
      <c r="O6" s="13">
        <v>-44997</v>
      </c>
      <c r="P6" s="13">
        <v>-48848</v>
      </c>
      <c r="Q6" s="13">
        <v>-49823</v>
      </c>
      <c r="R6" s="13">
        <v>-177667</v>
      </c>
      <c r="S6" s="13">
        <v>-48519</v>
      </c>
      <c r="T6" s="13">
        <v>-53469</v>
      </c>
      <c r="U6" s="13">
        <v>-69641</v>
      </c>
      <c r="V6" s="13">
        <v>-44837</v>
      </c>
      <c r="W6" s="13">
        <v>-102624</v>
      </c>
      <c r="X6" s="13">
        <v>-47924</v>
      </c>
      <c r="Y6" s="13">
        <v>-50273</v>
      </c>
      <c r="Z6" s="13">
        <v>-45789</v>
      </c>
      <c r="AA6" s="13">
        <v>-47562</v>
      </c>
      <c r="AB6" s="13">
        <v>-58160</v>
      </c>
      <c r="AC6" s="13">
        <v>-61512</v>
      </c>
      <c r="AD6" s="13">
        <v>-57758</v>
      </c>
      <c r="AE6" s="13">
        <v>-51075</v>
      </c>
      <c r="AF6" s="13">
        <v>-41094</v>
      </c>
      <c r="AG6" s="13">
        <v>-46650</v>
      </c>
      <c r="AH6" s="13">
        <v>-43598</v>
      </c>
      <c r="AI6" s="13">
        <v>-45827</v>
      </c>
      <c r="AJ6" s="13">
        <v>-49791</v>
      </c>
      <c r="AK6" s="13">
        <v>-53761</v>
      </c>
      <c r="AL6" s="13">
        <v>-45630</v>
      </c>
      <c r="AM6" s="13">
        <v>-38325</v>
      </c>
      <c r="AN6" s="13">
        <v>-38241</v>
      </c>
      <c r="AO6" s="13">
        <v>-46101</v>
      </c>
      <c r="AP6" s="13">
        <v>-41390</v>
      </c>
      <c r="AQ6" s="13">
        <v>-43711</v>
      </c>
      <c r="AR6" s="13">
        <v>-44270</v>
      </c>
      <c r="AS6" s="13">
        <v>-34297</v>
      </c>
      <c r="AT6" s="13">
        <v>-32740</v>
      </c>
      <c r="AU6" s="13">
        <v>-25320</v>
      </c>
      <c r="AV6" s="13">
        <v>-44265</v>
      </c>
      <c r="AW6" s="13">
        <v>-52395</v>
      </c>
      <c r="AX6" s="13">
        <v>-45610</v>
      </c>
      <c r="AY6" s="13">
        <v>-28583</v>
      </c>
      <c r="AZ6" s="13">
        <v>-52083</v>
      </c>
      <c r="BA6" s="13">
        <v>-37426</v>
      </c>
      <c r="BB6" s="13">
        <v>-39856</v>
      </c>
      <c r="BC6" s="13">
        <v>-50336</v>
      </c>
      <c r="BD6" s="13">
        <v>-43886</v>
      </c>
      <c r="BE6" s="13">
        <v>-53968</v>
      </c>
      <c r="BF6" s="13">
        <v>-34982</v>
      </c>
      <c r="BG6" s="13">
        <v>-37567</v>
      </c>
      <c r="BH6" s="13">
        <v>-46268</v>
      </c>
      <c r="BI6" s="13">
        <f>BI5-BH5</f>
        <v>-43791</v>
      </c>
      <c r="BJ6" s="13">
        <f>BJ5-BI5</f>
        <v>-43075</v>
      </c>
      <c r="BK6" s="13">
        <f>BK5-BJ5</f>
        <v>-48390</v>
      </c>
    </row>
    <row r="7" spans="1:64" s="9" customFormat="1" ht="29.25" customHeight="1">
      <c r="A7" s="14" t="s">
        <v>3</v>
      </c>
      <c r="B7" s="11">
        <v>12165986</v>
      </c>
      <c r="C7" s="11">
        <v>12130602</v>
      </c>
      <c r="D7" s="11">
        <v>12079624</v>
      </c>
      <c r="E7" s="11">
        <v>12040267</v>
      </c>
      <c r="F7" s="11">
        <v>11999833</v>
      </c>
      <c r="G7" s="11">
        <v>11948664</v>
      </c>
      <c r="H7" s="11">
        <v>11876356</v>
      </c>
      <c r="I7" s="11">
        <v>11826454</v>
      </c>
      <c r="J7" s="11">
        <v>11785945</v>
      </c>
      <c r="K7" s="11">
        <v>11739238</v>
      </c>
      <c r="L7" s="11">
        <v>11689882</v>
      </c>
      <c r="M7" s="11">
        <v>11636898</v>
      </c>
      <c r="N7" s="11">
        <v>11580615</v>
      </c>
      <c r="O7" s="11">
        <v>11532766</v>
      </c>
      <c r="P7" s="11">
        <v>11489373</v>
      </c>
      <c r="Q7" s="11">
        <v>11443491</v>
      </c>
      <c r="R7" s="11">
        <v>11387753</v>
      </c>
      <c r="S7" s="11">
        <v>11342798</v>
      </c>
      <c r="T7" s="11">
        <v>11288675</v>
      </c>
      <c r="U7" s="11">
        <v>11234789</v>
      </c>
      <c r="V7" s="11">
        <v>11191540</v>
      </c>
      <c r="W7" s="11">
        <v>11141986</v>
      </c>
      <c r="X7" s="11">
        <v>11098712</v>
      </c>
      <c r="Y7" s="11">
        <v>11051940</v>
      </c>
      <c r="Z7" s="11">
        <v>11001468</v>
      </c>
      <c r="AA7" s="11">
        <v>10954017</v>
      </c>
      <c r="AB7" s="11">
        <v>10897979</v>
      </c>
      <c r="AC7" s="11">
        <v>10840865</v>
      </c>
      <c r="AD7" s="11">
        <v>10786650</v>
      </c>
      <c r="AE7" s="11">
        <v>10735639</v>
      </c>
      <c r="AF7" s="11">
        <v>10692331</v>
      </c>
      <c r="AG7" s="11">
        <v>10644123</v>
      </c>
      <c r="AH7" s="11">
        <v>10593883</v>
      </c>
      <c r="AI7" s="11">
        <v>10548072</v>
      </c>
      <c r="AJ7" s="11">
        <v>10501435</v>
      </c>
      <c r="AK7" s="11">
        <v>10448918</v>
      </c>
      <c r="AL7" s="11">
        <v>10400105</v>
      </c>
      <c r="AM7" s="11">
        <v>10357557</v>
      </c>
      <c r="AN7" s="11">
        <v>10310867</v>
      </c>
      <c r="AO7" s="11">
        <v>10258575</v>
      </c>
      <c r="AP7" s="11">
        <v>10215764</v>
      </c>
      <c r="AQ7" s="11">
        <v>10169456</v>
      </c>
      <c r="AR7" s="11">
        <v>10120610</v>
      </c>
      <c r="AS7" s="11">
        <v>10075939</v>
      </c>
      <c r="AT7" s="11">
        <v>10037260</v>
      </c>
      <c r="AU7" s="11">
        <v>10003012</v>
      </c>
      <c r="AV7" s="11">
        <v>9957755</v>
      </c>
      <c r="AW7" s="11">
        <v>9904962</v>
      </c>
      <c r="AX7" s="11">
        <v>9861257</v>
      </c>
      <c r="AY7" s="11">
        <v>9823845</v>
      </c>
      <c r="AZ7" s="11">
        <v>9768266</v>
      </c>
      <c r="BA7" s="11">
        <v>9726848</v>
      </c>
      <c r="BB7" s="11">
        <v>9680066</v>
      </c>
      <c r="BC7" s="11">
        <v>9633551</v>
      </c>
      <c r="BD7" s="11">
        <v>9594161</v>
      </c>
      <c r="BE7" s="11">
        <v>9538085</v>
      </c>
      <c r="BF7" s="11">
        <v>9499863</v>
      </c>
      <c r="BG7" s="11">
        <v>9460541</v>
      </c>
      <c r="BH7" s="11">
        <v>9420736</v>
      </c>
      <c r="BI7" s="11">
        <v>9375688</v>
      </c>
      <c r="BJ7" s="11">
        <v>9332177</v>
      </c>
      <c r="BK7" s="11">
        <v>9280884</v>
      </c>
    </row>
    <row r="8" spans="1:64" s="9" customFormat="1" ht="29.25" customHeight="1">
      <c r="A8" s="15" t="s">
        <v>2</v>
      </c>
      <c r="B8" s="16">
        <v>-34886</v>
      </c>
      <c r="C8" s="16">
        <v>-35384</v>
      </c>
      <c r="D8" s="16">
        <v>-50978</v>
      </c>
      <c r="E8" s="16">
        <v>-39357</v>
      </c>
      <c r="F8" s="16">
        <v>-40434</v>
      </c>
      <c r="G8" s="16">
        <v>-51169</v>
      </c>
      <c r="H8" s="16">
        <v>-72308</v>
      </c>
      <c r="I8" s="16">
        <v>-49902</v>
      </c>
      <c r="J8" s="16">
        <v>-40509</v>
      </c>
      <c r="K8" s="16">
        <v>-46707</v>
      </c>
      <c r="L8" s="16">
        <v>-49356</v>
      </c>
      <c r="M8" s="16">
        <v>-52984</v>
      </c>
      <c r="N8" s="16">
        <v>-56283</v>
      </c>
      <c r="O8" s="16">
        <v>-47849</v>
      </c>
      <c r="P8" s="16">
        <v>-43393</v>
      </c>
      <c r="Q8" s="16">
        <v>-45882</v>
      </c>
      <c r="R8" s="16">
        <v>-55738</v>
      </c>
      <c r="S8" s="16">
        <v>-44955</v>
      </c>
      <c r="T8" s="16">
        <v>-54123</v>
      </c>
      <c r="U8" s="16">
        <v>-53886</v>
      </c>
      <c r="V8" s="16">
        <v>-43249</v>
      </c>
      <c r="W8" s="16">
        <v>-49554</v>
      </c>
      <c r="X8" s="16">
        <v>-43274</v>
      </c>
      <c r="Y8" s="16">
        <v>-46772</v>
      </c>
      <c r="Z8" s="16">
        <v>-50472</v>
      </c>
      <c r="AA8" s="16">
        <v>-47451</v>
      </c>
      <c r="AB8" s="16">
        <v>-56038</v>
      </c>
      <c r="AC8" s="16">
        <v>-57114</v>
      </c>
      <c r="AD8" s="16">
        <v>-54215</v>
      </c>
      <c r="AE8" s="16">
        <v>-51011</v>
      </c>
      <c r="AF8" s="16">
        <v>-43308</v>
      </c>
      <c r="AG8" s="16">
        <v>-48208</v>
      </c>
      <c r="AH8" s="16">
        <v>-50240</v>
      </c>
      <c r="AI8" s="16">
        <v>-45811</v>
      </c>
      <c r="AJ8" s="16">
        <v>-46637</v>
      </c>
      <c r="AK8" s="16">
        <v>-52517</v>
      </c>
      <c r="AL8" s="16">
        <v>-48813</v>
      </c>
      <c r="AM8" s="16">
        <v>-42548</v>
      </c>
      <c r="AN8" s="16">
        <v>-46690</v>
      </c>
      <c r="AO8" s="16">
        <v>-52292</v>
      </c>
      <c r="AP8" s="16">
        <v>-42811</v>
      </c>
      <c r="AQ8" s="16">
        <v>-46308</v>
      </c>
      <c r="AR8" s="16">
        <v>-48846</v>
      </c>
      <c r="AS8" s="16">
        <v>-44671</v>
      </c>
      <c r="AT8" s="16">
        <v>-38679</v>
      </c>
      <c r="AU8" s="16">
        <v>-34248</v>
      </c>
      <c r="AV8" s="16">
        <v>-45257</v>
      </c>
      <c r="AW8" s="16">
        <v>-52793</v>
      </c>
      <c r="AX8" s="16">
        <v>-43705</v>
      </c>
      <c r="AY8" s="16">
        <v>-37412</v>
      </c>
      <c r="AZ8" s="16">
        <v>-55579</v>
      </c>
      <c r="BA8" s="16">
        <v>-41418</v>
      </c>
      <c r="BB8" s="16">
        <v>-46782</v>
      </c>
      <c r="BC8" s="16">
        <v>-46515</v>
      </c>
      <c r="BD8" s="16">
        <v>-39390</v>
      </c>
      <c r="BE8" s="16">
        <v>-56076</v>
      </c>
      <c r="BF8" s="16">
        <v>-38222</v>
      </c>
      <c r="BG8" s="16">
        <v>-39322</v>
      </c>
      <c r="BH8" s="16">
        <v>-39805</v>
      </c>
      <c r="BI8" s="16">
        <f>BI7-BH7</f>
        <v>-45048</v>
      </c>
      <c r="BJ8" s="16">
        <f>BJ7-BI7</f>
        <v>-43511</v>
      </c>
      <c r="BK8" s="16">
        <f>BK7-BJ7</f>
        <v>-51293</v>
      </c>
    </row>
    <row r="9" spans="1:64" s="19" customFormat="1" ht="29.25" customHeight="1">
      <c r="A9" s="17" t="s">
        <v>4</v>
      </c>
      <c r="B9" s="18">
        <v>11176016</v>
      </c>
      <c r="C9" s="18">
        <v>11139935</v>
      </c>
      <c r="D9" s="18">
        <v>11093027</v>
      </c>
      <c r="E9" s="18">
        <v>11049590</v>
      </c>
      <c r="F9" s="18">
        <v>11006366</v>
      </c>
      <c r="G9" s="18">
        <v>10954016</v>
      </c>
      <c r="H9" s="18">
        <v>10883414</v>
      </c>
      <c r="I9" s="18">
        <v>10830647</v>
      </c>
      <c r="J9" s="18">
        <v>10793732</v>
      </c>
      <c r="K9" s="18">
        <v>10747737</v>
      </c>
      <c r="L9" s="18">
        <v>10705602</v>
      </c>
      <c r="M9" s="18">
        <v>10653738</v>
      </c>
      <c r="N9" s="18">
        <v>10596197</v>
      </c>
      <c r="O9" s="18">
        <v>10547606</v>
      </c>
      <c r="P9" s="18">
        <v>10504077</v>
      </c>
      <c r="Q9" s="18">
        <v>10455265</v>
      </c>
      <c r="R9" s="18">
        <v>10404110</v>
      </c>
      <c r="S9" s="18">
        <v>10362118</v>
      </c>
      <c r="T9" s="18">
        <v>10307290</v>
      </c>
      <c r="U9" s="18">
        <v>10254167</v>
      </c>
      <c r="V9" s="18">
        <v>10212999</v>
      </c>
      <c r="W9" s="18">
        <v>10165229</v>
      </c>
      <c r="X9" s="18">
        <v>10122342</v>
      </c>
      <c r="Y9" s="18">
        <v>10076178</v>
      </c>
      <c r="Z9" s="18">
        <v>10026851</v>
      </c>
      <c r="AA9" s="18">
        <v>9978052</v>
      </c>
      <c r="AB9" s="18">
        <v>9923889</v>
      </c>
      <c r="AC9" s="18">
        <v>9868899</v>
      </c>
      <c r="AD9" s="18">
        <v>9816152</v>
      </c>
      <c r="AE9" s="18">
        <v>9766896</v>
      </c>
      <c r="AF9" s="18">
        <v>9719976</v>
      </c>
      <c r="AG9" s="18">
        <v>9672240</v>
      </c>
      <c r="AH9" s="18">
        <v>9622784</v>
      </c>
      <c r="AI9" s="18">
        <v>9576490</v>
      </c>
      <c r="AJ9" s="18">
        <v>9528762</v>
      </c>
      <c r="AK9" s="18">
        <v>9475456</v>
      </c>
      <c r="AL9" s="18">
        <v>9426496</v>
      </c>
      <c r="AM9" s="18">
        <v>9383257</v>
      </c>
      <c r="AN9" s="18">
        <v>9333782</v>
      </c>
      <c r="AO9" s="18">
        <v>9287580</v>
      </c>
      <c r="AP9" s="18">
        <v>9244333</v>
      </c>
      <c r="AQ9" s="107">
        <v>9199897</v>
      </c>
      <c r="AR9" s="107">
        <v>9154600</v>
      </c>
      <c r="AS9" s="107">
        <v>9110388</v>
      </c>
      <c r="AT9" s="107">
        <v>9069568</v>
      </c>
      <c r="AU9" s="107">
        <v>9029435</v>
      </c>
      <c r="AV9" s="107">
        <v>8984196</v>
      </c>
      <c r="AW9" s="107">
        <v>8937351</v>
      </c>
      <c r="AX9" s="107">
        <v>8896608</v>
      </c>
      <c r="AY9" s="107">
        <v>8857981</v>
      </c>
      <c r="AZ9" s="107">
        <v>8814512</v>
      </c>
      <c r="BA9" s="107">
        <v>8773945</v>
      </c>
      <c r="BB9" s="107">
        <v>8730702</v>
      </c>
      <c r="BC9" s="107">
        <v>8685168</v>
      </c>
      <c r="BD9" s="107">
        <v>8643706</v>
      </c>
      <c r="BE9" s="107">
        <v>8591982</v>
      </c>
      <c r="BF9" s="107">
        <v>8551024</v>
      </c>
      <c r="BG9" s="107">
        <v>8513108</v>
      </c>
      <c r="BH9" s="107">
        <v>8473186</v>
      </c>
      <c r="BI9" s="107">
        <v>8430136</v>
      </c>
      <c r="BJ9" s="107">
        <v>8384207</v>
      </c>
      <c r="BK9" s="107">
        <v>8336527</v>
      </c>
    </row>
    <row r="10" spans="1:64" s="19" customFormat="1" ht="29.25" customHeight="1">
      <c r="A10" s="17" t="s">
        <v>5</v>
      </c>
      <c r="B10" s="18">
        <v>989970</v>
      </c>
      <c r="C10" s="18">
        <v>990667</v>
      </c>
      <c r="D10" s="18">
        <v>986597</v>
      </c>
      <c r="E10" s="18">
        <v>990677</v>
      </c>
      <c r="F10" s="18">
        <v>993467</v>
      </c>
      <c r="G10" s="18">
        <v>994648</v>
      </c>
      <c r="H10" s="18">
        <v>992942</v>
      </c>
      <c r="I10" s="18">
        <v>995807</v>
      </c>
      <c r="J10" s="18">
        <v>992213</v>
      </c>
      <c r="K10" s="18">
        <v>991501</v>
      </c>
      <c r="L10" s="18">
        <v>984280</v>
      </c>
      <c r="M10" s="18">
        <v>983160</v>
      </c>
      <c r="N10" s="18">
        <v>984418</v>
      </c>
      <c r="O10" s="18">
        <v>985160</v>
      </c>
      <c r="P10" s="18">
        <v>985296</v>
      </c>
      <c r="Q10" s="18">
        <v>988226</v>
      </c>
      <c r="R10" s="18">
        <v>983643</v>
      </c>
      <c r="S10" s="18">
        <v>980680</v>
      </c>
      <c r="T10" s="18">
        <v>981385</v>
      </c>
      <c r="U10" s="18">
        <v>980622</v>
      </c>
      <c r="V10" s="18">
        <v>978541</v>
      </c>
      <c r="W10" s="18">
        <v>976757</v>
      </c>
      <c r="X10" s="18">
        <v>976370</v>
      </c>
      <c r="Y10" s="18">
        <v>975762</v>
      </c>
      <c r="Z10" s="18">
        <v>974617</v>
      </c>
      <c r="AA10" s="18">
        <v>975965</v>
      </c>
      <c r="AB10" s="18">
        <v>974090</v>
      </c>
      <c r="AC10" s="18">
        <v>971966</v>
      </c>
      <c r="AD10" s="18">
        <v>970498</v>
      </c>
      <c r="AE10" s="18">
        <v>968743</v>
      </c>
      <c r="AF10" s="18">
        <v>972355</v>
      </c>
      <c r="AG10" s="18">
        <v>971883</v>
      </c>
      <c r="AH10" s="18">
        <v>971099</v>
      </c>
      <c r="AI10" s="18">
        <v>971582</v>
      </c>
      <c r="AJ10" s="18">
        <v>972673</v>
      </c>
      <c r="AK10" s="18">
        <v>973462</v>
      </c>
      <c r="AL10" s="18">
        <v>973609</v>
      </c>
      <c r="AM10" s="18">
        <v>974300</v>
      </c>
      <c r="AN10" s="18">
        <v>977085</v>
      </c>
      <c r="AO10" s="18">
        <v>970995</v>
      </c>
      <c r="AP10" s="18">
        <v>971431</v>
      </c>
      <c r="AQ10" s="107">
        <v>969559</v>
      </c>
      <c r="AR10" s="107">
        <v>966010</v>
      </c>
      <c r="AS10" s="107">
        <v>965551</v>
      </c>
      <c r="AT10" s="107">
        <v>967692</v>
      </c>
      <c r="AU10" s="107">
        <v>973577</v>
      </c>
      <c r="AV10" s="107">
        <v>973559</v>
      </c>
      <c r="AW10" s="107">
        <v>967611</v>
      </c>
      <c r="AX10" s="107">
        <v>964649</v>
      </c>
      <c r="AY10" s="107">
        <v>965864</v>
      </c>
      <c r="AZ10" s="107">
        <v>953754</v>
      </c>
      <c r="BA10" s="107">
        <v>952903</v>
      </c>
      <c r="BB10" s="107">
        <v>949364</v>
      </c>
      <c r="BC10" s="107">
        <v>948383</v>
      </c>
      <c r="BD10" s="107">
        <v>950455</v>
      </c>
      <c r="BE10" s="107">
        <v>946103</v>
      </c>
      <c r="BF10" s="107">
        <v>948839</v>
      </c>
      <c r="BG10" s="107">
        <v>947433</v>
      </c>
      <c r="BH10" s="107">
        <v>947550</v>
      </c>
      <c r="BI10" s="107">
        <v>945552</v>
      </c>
      <c r="BJ10" s="107">
        <v>947970</v>
      </c>
      <c r="BK10" s="107">
        <v>944357</v>
      </c>
    </row>
    <row r="11" spans="1:64" s="9" customFormat="1" ht="29.25" customHeight="1">
      <c r="A11" s="20" t="s">
        <v>6</v>
      </c>
      <c r="B11" s="11">
        <v>3404851</v>
      </c>
      <c r="C11" s="11">
        <v>3398938</v>
      </c>
      <c r="D11" s="11">
        <v>3398093</v>
      </c>
      <c r="E11" s="11">
        <v>3397716</v>
      </c>
      <c r="F11" s="11">
        <v>3395729</v>
      </c>
      <c r="G11" s="11">
        <v>3394159</v>
      </c>
      <c r="H11" s="11">
        <v>3388341</v>
      </c>
      <c r="I11" s="11">
        <v>3383672</v>
      </c>
      <c r="J11" s="11">
        <v>3376689</v>
      </c>
      <c r="K11" s="11">
        <v>3373906</v>
      </c>
      <c r="L11" s="11">
        <v>3365117</v>
      </c>
      <c r="M11" s="11">
        <v>3354661</v>
      </c>
      <c r="N11" s="11">
        <v>3342882</v>
      </c>
      <c r="O11" s="11">
        <v>3345734</v>
      </c>
      <c r="P11" s="11">
        <v>3340279</v>
      </c>
      <c r="Q11" s="11">
        <v>3336338</v>
      </c>
      <c r="R11" s="11">
        <v>3214409</v>
      </c>
      <c r="S11" s="11">
        <v>3210845</v>
      </c>
      <c r="T11" s="11">
        <v>3211499</v>
      </c>
      <c r="U11" s="11">
        <v>3195744</v>
      </c>
      <c r="V11" s="11">
        <v>3194156</v>
      </c>
      <c r="W11" s="11">
        <v>3141086</v>
      </c>
      <c r="X11" s="11">
        <v>3136436</v>
      </c>
      <c r="Y11" s="11">
        <v>3132935</v>
      </c>
      <c r="Z11" s="11">
        <v>3137618</v>
      </c>
      <c r="AA11" s="11">
        <v>3137507</v>
      </c>
      <c r="AB11" s="11">
        <v>3135385</v>
      </c>
      <c r="AC11" s="11">
        <v>3130987</v>
      </c>
      <c r="AD11" s="11">
        <v>3127444</v>
      </c>
      <c r="AE11" s="11">
        <v>3127380</v>
      </c>
      <c r="AF11" s="11">
        <v>3129594</v>
      </c>
      <c r="AG11" s="11">
        <v>3131152</v>
      </c>
      <c r="AH11" s="11">
        <v>3137794</v>
      </c>
      <c r="AI11" s="11">
        <v>3137778</v>
      </c>
      <c r="AJ11" s="11">
        <v>3134624</v>
      </c>
      <c r="AK11" s="11">
        <v>3133380</v>
      </c>
      <c r="AL11" s="11">
        <v>3136563</v>
      </c>
      <c r="AM11" s="11">
        <v>3140786</v>
      </c>
      <c r="AN11" s="11">
        <v>3149235</v>
      </c>
      <c r="AO11" s="11">
        <v>3155426</v>
      </c>
      <c r="AP11" s="11">
        <v>3156847</v>
      </c>
      <c r="AQ11" s="11">
        <v>3159444</v>
      </c>
      <c r="AR11" s="11">
        <v>3164020</v>
      </c>
      <c r="AS11" s="11">
        <v>3174394</v>
      </c>
      <c r="AT11" s="11">
        <v>3180333</v>
      </c>
      <c r="AU11" s="11">
        <v>3189261</v>
      </c>
      <c r="AV11" s="11">
        <v>3190253</v>
      </c>
      <c r="AW11" s="11">
        <v>3190651</v>
      </c>
      <c r="AX11" s="11">
        <v>3188746</v>
      </c>
      <c r="AY11" s="11">
        <v>3197575</v>
      </c>
      <c r="AZ11" s="11">
        <v>3201071</v>
      </c>
      <c r="BA11" s="11">
        <v>3205063</v>
      </c>
      <c r="BB11" s="11">
        <v>3211989</v>
      </c>
      <c r="BC11" s="11">
        <v>3208168</v>
      </c>
      <c r="BD11" s="11">
        <v>3203672</v>
      </c>
      <c r="BE11" s="11">
        <v>3205780</v>
      </c>
      <c r="BF11" s="11">
        <v>3209020</v>
      </c>
      <c r="BG11" s="11">
        <v>3210775</v>
      </c>
      <c r="BH11" s="11">
        <v>3204312</v>
      </c>
      <c r="BI11" s="11">
        <v>3205569</v>
      </c>
      <c r="BJ11" s="11">
        <v>3206005</v>
      </c>
      <c r="BK11" s="11">
        <v>3208908</v>
      </c>
    </row>
    <row r="12" spans="1:64" s="9" customFormat="1" ht="29.25" customHeight="1">
      <c r="A12" s="21" t="s">
        <v>2</v>
      </c>
      <c r="B12" s="13">
        <v>-3902</v>
      </c>
      <c r="C12" s="13">
        <v>-5913</v>
      </c>
      <c r="D12" s="13">
        <v>-845</v>
      </c>
      <c r="E12" s="13">
        <v>-377</v>
      </c>
      <c r="F12" s="13">
        <v>-1987</v>
      </c>
      <c r="G12" s="13">
        <v>-1570</v>
      </c>
      <c r="H12" s="13">
        <v>-5818</v>
      </c>
      <c r="I12" s="13">
        <v>-4669</v>
      </c>
      <c r="J12" s="13">
        <v>-6983</v>
      </c>
      <c r="K12" s="13">
        <v>-2783</v>
      </c>
      <c r="L12" s="13">
        <v>-8789</v>
      </c>
      <c r="M12" s="13">
        <v>-10456</v>
      </c>
      <c r="N12" s="13">
        <v>-11779</v>
      </c>
      <c r="O12" s="13">
        <v>2852</v>
      </c>
      <c r="P12" s="13">
        <v>-5455</v>
      </c>
      <c r="Q12" s="13">
        <v>-3941</v>
      </c>
      <c r="R12" s="13">
        <v>-121929</v>
      </c>
      <c r="S12" s="13">
        <v>-3564</v>
      </c>
      <c r="T12" s="13">
        <v>654</v>
      </c>
      <c r="U12" s="13">
        <v>-15755</v>
      </c>
      <c r="V12" s="13">
        <v>-1588</v>
      </c>
      <c r="W12" s="13">
        <v>-53070</v>
      </c>
      <c r="X12" s="13">
        <v>-4650</v>
      </c>
      <c r="Y12" s="13">
        <v>-3501</v>
      </c>
      <c r="Z12" s="13">
        <v>4683</v>
      </c>
      <c r="AA12" s="13">
        <v>-111</v>
      </c>
      <c r="AB12" s="13">
        <v>-2122</v>
      </c>
      <c r="AC12" s="13">
        <v>-4398</v>
      </c>
      <c r="AD12" s="13">
        <v>-3543</v>
      </c>
      <c r="AE12" s="13">
        <v>-64</v>
      </c>
      <c r="AF12" s="13">
        <v>2214</v>
      </c>
      <c r="AG12" s="13">
        <v>1558</v>
      </c>
      <c r="AH12" s="13">
        <v>6642</v>
      </c>
      <c r="AI12" s="13">
        <v>-16</v>
      </c>
      <c r="AJ12" s="13">
        <v>-3154</v>
      </c>
      <c r="AK12" s="13">
        <v>-1244</v>
      </c>
      <c r="AL12" s="13">
        <v>3183</v>
      </c>
      <c r="AM12" s="13">
        <v>4223</v>
      </c>
      <c r="AN12" s="13">
        <v>8449</v>
      </c>
      <c r="AO12" s="13">
        <v>6191</v>
      </c>
      <c r="AP12" s="13">
        <v>1421</v>
      </c>
      <c r="AQ12" s="13">
        <v>2597</v>
      </c>
      <c r="AR12" s="13">
        <v>4576</v>
      </c>
      <c r="AS12" s="13">
        <v>10374</v>
      </c>
      <c r="AT12" s="13">
        <v>5939</v>
      </c>
      <c r="AU12" s="13">
        <v>8928</v>
      </c>
      <c r="AV12" s="13">
        <v>992</v>
      </c>
      <c r="AW12" s="13">
        <v>398</v>
      </c>
      <c r="AX12" s="13">
        <v>-1905</v>
      </c>
      <c r="AY12" s="13">
        <v>8829</v>
      </c>
      <c r="AZ12" s="13">
        <v>3496</v>
      </c>
      <c r="BA12" s="13">
        <v>3992</v>
      </c>
      <c r="BB12" s="13">
        <v>6926</v>
      </c>
      <c r="BC12" s="13">
        <v>-3821</v>
      </c>
      <c r="BD12" s="13">
        <v>-4496</v>
      </c>
      <c r="BE12" s="13">
        <v>2108</v>
      </c>
      <c r="BF12" s="13">
        <v>3240</v>
      </c>
      <c r="BG12" s="13">
        <v>1755</v>
      </c>
      <c r="BH12" s="13">
        <v>-6463</v>
      </c>
      <c r="BI12" s="13">
        <f>BI11-BH11</f>
        <v>1257</v>
      </c>
      <c r="BJ12" s="13">
        <f>BJ11-BI11</f>
        <v>436</v>
      </c>
      <c r="BK12" s="13">
        <f>BK11-BJ11</f>
        <v>2903</v>
      </c>
    </row>
    <row r="13" spans="1:64" s="98" customFormat="1" ht="23.25" customHeight="1">
      <c r="A13" s="99" t="s">
        <v>49</v>
      </c>
      <c r="BB13" s="19"/>
      <c r="BC13" s="19"/>
      <c r="BD13" s="19"/>
      <c r="BE13" s="19"/>
      <c r="BF13" s="19"/>
      <c r="BG13" s="19"/>
      <c r="BL13" s="98" t="s">
        <v>102</v>
      </c>
    </row>
    <row r="14" spans="1:64" s="89" customFormat="1" ht="15" customHeight="1">
      <c r="A14" s="95"/>
      <c r="BB14" s="19"/>
      <c r="BC14" s="19"/>
      <c r="BD14" s="19"/>
      <c r="BE14" s="19"/>
      <c r="BF14" s="19"/>
      <c r="BG14" s="19"/>
    </row>
    <row r="15" spans="1:64" s="23" customFormat="1" ht="24.75" customHeight="1">
      <c r="A15" s="22"/>
      <c r="B15" s="4">
        <v>2018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4">
        <v>2019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4">
        <v>2020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4">
        <v>2021</v>
      </c>
      <c r="AX15" s="4">
        <v>2022</v>
      </c>
      <c r="BB15" s="19"/>
      <c r="BC15" s="19"/>
      <c r="BD15" s="19"/>
      <c r="BE15" s="19"/>
      <c r="BF15" s="19"/>
      <c r="BG15" s="19"/>
      <c r="BJ15" s="4">
        <v>2023</v>
      </c>
    </row>
    <row r="16" spans="1:64" s="101" customFormat="1" ht="29.25" customHeight="1">
      <c r="A16" s="7" t="s">
        <v>7</v>
      </c>
      <c r="B16" s="8">
        <v>43101</v>
      </c>
      <c r="C16" s="8">
        <v>43132</v>
      </c>
      <c r="D16" s="8">
        <v>43160</v>
      </c>
      <c r="E16" s="8">
        <v>43191</v>
      </c>
      <c r="F16" s="8">
        <v>43221</v>
      </c>
      <c r="G16" s="8">
        <v>43252</v>
      </c>
      <c r="H16" s="8">
        <v>43282</v>
      </c>
      <c r="I16" s="8">
        <v>43313</v>
      </c>
      <c r="J16" s="8">
        <v>43344</v>
      </c>
      <c r="K16" s="8">
        <v>43374</v>
      </c>
      <c r="L16" s="8">
        <v>43405</v>
      </c>
      <c r="M16" s="8">
        <v>43435</v>
      </c>
      <c r="N16" s="52">
        <v>43466</v>
      </c>
      <c r="O16" s="52">
        <v>43497</v>
      </c>
      <c r="P16" s="52">
        <v>43525</v>
      </c>
      <c r="Q16" s="52">
        <v>43556</v>
      </c>
      <c r="R16" s="52">
        <v>43586</v>
      </c>
      <c r="S16" s="52">
        <v>43617</v>
      </c>
      <c r="T16" s="52">
        <v>43647</v>
      </c>
      <c r="U16" s="52">
        <v>43678</v>
      </c>
      <c r="V16" s="52">
        <v>43709</v>
      </c>
      <c r="W16" s="52">
        <v>43739</v>
      </c>
      <c r="X16" s="52">
        <v>43770</v>
      </c>
      <c r="Y16" s="52">
        <v>43800</v>
      </c>
      <c r="Z16" s="8">
        <v>43831</v>
      </c>
      <c r="AA16" s="8">
        <v>43862</v>
      </c>
      <c r="AB16" s="8">
        <v>43891</v>
      </c>
      <c r="AC16" s="8">
        <v>43922</v>
      </c>
      <c r="AD16" s="8">
        <v>43952</v>
      </c>
      <c r="AE16" s="8">
        <v>43983</v>
      </c>
      <c r="AF16" s="8">
        <v>44013</v>
      </c>
      <c r="AG16" s="8">
        <v>44044</v>
      </c>
      <c r="AH16" s="8">
        <v>44075</v>
      </c>
      <c r="AI16" s="8">
        <v>44105</v>
      </c>
      <c r="AJ16" s="8">
        <v>44136</v>
      </c>
      <c r="AK16" s="8">
        <v>44166</v>
      </c>
      <c r="AL16" s="8">
        <v>44197</v>
      </c>
      <c r="AM16" s="8">
        <v>44228</v>
      </c>
      <c r="AN16" s="8">
        <v>44256</v>
      </c>
      <c r="AO16" s="8">
        <v>44287</v>
      </c>
      <c r="AP16" s="8">
        <v>44317</v>
      </c>
      <c r="AQ16" s="8">
        <v>44348</v>
      </c>
      <c r="AR16" s="8">
        <v>44378</v>
      </c>
      <c r="AS16" s="8">
        <v>44409</v>
      </c>
      <c r="AT16" s="8">
        <v>44440</v>
      </c>
      <c r="AU16" s="8">
        <v>44470</v>
      </c>
      <c r="AV16" s="8">
        <v>44521</v>
      </c>
      <c r="AW16" s="8">
        <v>44531</v>
      </c>
      <c r="AX16" s="8">
        <v>44562</v>
      </c>
      <c r="AY16" s="8">
        <v>44593</v>
      </c>
      <c r="AZ16" s="8">
        <v>44621</v>
      </c>
      <c r="BA16" s="8">
        <v>44652</v>
      </c>
      <c r="BB16" s="8">
        <v>44682</v>
      </c>
      <c r="BC16" s="8">
        <v>44713</v>
      </c>
      <c r="BD16" s="8">
        <v>44744</v>
      </c>
      <c r="BE16" s="8">
        <v>44776</v>
      </c>
      <c r="BF16" s="8">
        <v>44808</v>
      </c>
      <c r="BG16" s="8">
        <v>44839</v>
      </c>
      <c r="BH16" s="8">
        <v>44870</v>
      </c>
      <c r="BI16" s="8">
        <v>44926</v>
      </c>
      <c r="BJ16" s="8">
        <v>44927</v>
      </c>
      <c r="BK16" s="8">
        <v>44958</v>
      </c>
    </row>
    <row r="17" spans="1:63" s="102" customFormat="1" ht="29.25" customHeight="1">
      <c r="A17" s="24" t="s">
        <v>7</v>
      </c>
      <c r="B17" s="11">
        <v>8781199</v>
      </c>
      <c r="C17" s="11">
        <v>8721963</v>
      </c>
      <c r="D17" s="11">
        <v>8652976</v>
      </c>
      <c r="E17" s="11">
        <v>8662121</v>
      </c>
      <c r="F17" s="11">
        <v>8662867</v>
      </c>
      <c r="G17" s="11">
        <v>8659183</v>
      </c>
      <c r="H17" s="11">
        <v>8665894</v>
      </c>
      <c r="I17" s="11">
        <v>8676911</v>
      </c>
      <c r="J17" s="11">
        <v>8697813</v>
      </c>
      <c r="K17" s="11">
        <v>8714236</v>
      </c>
      <c r="L17" s="11">
        <v>8722492</v>
      </c>
      <c r="M17" s="11">
        <v>8729383</v>
      </c>
      <c r="N17" s="11">
        <v>8745112</v>
      </c>
      <c r="O17" s="11">
        <v>8756242</v>
      </c>
      <c r="P17" s="11">
        <v>8781835</v>
      </c>
      <c r="Q17" s="11">
        <v>8807673</v>
      </c>
      <c r="R17" s="11">
        <v>8826338</v>
      </c>
      <c r="S17" s="11">
        <v>8849483</v>
      </c>
      <c r="T17" s="11">
        <v>8867721</v>
      </c>
      <c r="U17" s="11">
        <v>8887908</v>
      </c>
      <c r="V17" s="11">
        <v>8903923</v>
      </c>
      <c r="W17" s="11">
        <v>8925700</v>
      </c>
      <c r="X17" s="11">
        <v>8949514</v>
      </c>
      <c r="Y17" s="11">
        <v>8962390</v>
      </c>
      <c r="Z17" s="11">
        <v>8939810</v>
      </c>
      <c r="AA17" s="11">
        <v>8938871</v>
      </c>
      <c r="AB17" s="11">
        <v>8962448</v>
      </c>
      <c r="AC17" s="11">
        <v>8986824</v>
      </c>
      <c r="AD17" s="11">
        <v>9014218</v>
      </c>
      <c r="AE17" s="11">
        <v>9043135</v>
      </c>
      <c r="AF17" s="11">
        <v>9068322</v>
      </c>
      <c r="AG17" s="11">
        <v>9094973</v>
      </c>
      <c r="AH17" s="11">
        <v>9129912</v>
      </c>
      <c r="AI17" s="11">
        <v>9162051</v>
      </c>
      <c r="AJ17" s="11">
        <v>9186264</v>
      </c>
      <c r="AK17" s="11">
        <v>9171398</v>
      </c>
      <c r="AL17" s="11">
        <v>9208634</v>
      </c>
      <c r="AM17" s="11">
        <v>9239372</v>
      </c>
      <c r="AN17" s="11">
        <v>9275801</v>
      </c>
      <c r="AO17" s="11">
        <v>9306553</v>
      </c>
      <c r="AP17" s="11">
        <v>9332019</v>
      </c>
      <c r="AQ17" s="11">
        <v>9359204</v>
      </c>
      <c r="AR17" s="11">
        <v>9384204</v>
      </c>
      <c r="AS17" s="11">
        <v>9406416</v>
      </c>
      <c r="AT17" s="11">
        <v>9432077</v>
      </c>
      <c r="AU17" s="11">
        <v>9462788</v>
      </c>
      <c r="AV17" s="11">
        <v>9472819</v>
      </c>
      <c r="AW17" s="11">
        <v>9454745</v>
      </c>
      <c r="AX17" s="11">
        <v>9480603</v>
      </c>
      <c r="AY17" s="11">
        <v>9501457</v>
      </c>
      <c r="AZ17" s="11">
        <v>9530994</v>
      </c>
      <c r="BA17" s="11">
        <v>9558680</v>
      </c>
      <c r="BB17" s="11">
        <v>9584810</v>
      </c>
      <c r="BC17" s="11">
        <v>9609155</v>
      </c>
      <c r="BD17" s="11">
        <v>9630801</v>
      </c>
      <c r="BE17" s="11">
        <v>9653614</v>
      </c>
      <c r="BF17" s="11">
        <v>9678762</v>
      </c>
      <c r="BG17" s="11">
        <v>9703437</v>
      </c>
      <c r="BH17" s="11">
        <v>9719067</v>
      </c>
      <c r="BI17" s="11">
        <v>9726575</v>
      </c>
      <c r="BJ17" s="11">
        <v>9737631</v>
      </c>
      <c r="BK17" s="11">
        <v>9755876</v>
      </c>
    </row>
    <row r="18" spans="1:63" s="102" customFormat="1" ht="29.25" customHeight="1">
      <c r="A18" s="25" t="s">
        <v>2</v>
      </c>
      <c r="B18" s="16">
        <v>22774</v>
      </c>
      <c r="C18" s="16">
        <v>-59236</v>
      </c>
      <c r="D18" s="16">
        <v>-68987</v>
      </c>
      <c r="E18" s="16">
        <v>9145</v>
      </c>
      <c r="F18" s="16">
        <v>746</v>
      </c>
      <c r="G18" s="16">
        <v>-3684</v>
      </c>
      <c r="H18" s="16">
        <v>6711</v>
      </c>
      <c r="I18" s="16">
        <v>11017</v>
      </c>
      <c r="J18" s="16">
        <v>20902</v>
      </c>
      <c r="K18" s="16">
        <v>16423</v>
      </c>
      <c r="L18" s="16">
        <v>8256</v>
      </c>
      <c r="M18" s="16">
        <v>6891</v>
      </c>
      <c r="N18" s="16">
        <v>15729</v>
      </c>
      <c r="O18" s="16">
        <v>11130</v>
      </c>
      <c r="P18" s="16">
        <v>25593</v>
      </c>
      <c r="Q18" s="16">
        <v>25838</v>
      </c>
      <c r="R18" s="16">
        <v>18665</v>
      </c>
      <c r="S18" s="16">
        <v>23145</v>
      </c>
      <c r="T18" s="16">
        <v>18238</v>
      </c>
      <c r="U18" s="16">
        <v>20187</v>
      </c>
      <c r="V18" s="16">
        <v>16015</v>
      </c>
      <c r="W18" s="16">
        <v>21777</v>
      </c>
      <c r="X18" s="16">
        <v>23814</v>
      </c>
      <c r="Y18" s="16">
        <v>12876</v>
      </c>
      <c r="Z18" s="16">
        <v>-22580</v>
      </c>
      <c r="AA18" s="16">
        <v>-939</v>
      </c>
      <c r="AB18" s="16">
        <v>23577</v>
      </c>
      <c r="AC18" s="16">
        <v>24376</v>
      </c>
      <c r="AD18" s="16">
        <v>27394</v>
      </c>
      <c r="AE18" s="16">
        <v>28917</v>
      </c>
      <c r="AF18" s="16">
        <v>25187</v>
      </c>
      <c r="AG18" s="16">
        <v>26651</v>
      </c>
      <c r="AH18" s="16">
        <v>34939</v>
      </c>
      <c r="AI18" s="16">
        <v>32139</v>
      </c>
      <c r="AJ18" s="16">
        <v>24213</v>
      </c>
      <c r="AK18" s="16">
        <v>-14866</v>
      </c>
      <c r="AL18" s="16">
        <v>37236</v>
      </c>
      <c r="AM18" s="16">
        <v>30738</v>
      </c>
      <c r="AN18" s="16">
        <v>36429</v>
      </c>
      <c r="AO18" s="16">
        <v>30752</v>
      </c>
      <c r="AP18" s="16">
        <v>25466</v>
      </c>
      <c r="AQ18" s="16">
        <v>27185</v>
      </c>
      <c r="AR18" s="16">
        <v>25000</v>
      </c>
      <c r="AS18" s="16">
        <v>22212</v>
      </c>
      <c r="AT18" s="16">
        <v>25661</v>
      </c>
      <c r="AU18" s="16">
        <v>30711</v>
      </c>
      <c r="AV18" s="16">
        <v>10031</v>
      </c>
      <c r="AW18" s="16">
        <v>-18074</v>
      </c>
      <c r="AX18" s="16">
        <v>25858</v>
      </c>
      <c r="AY18" s="16">
        <v>20854</v>
      </c>
      <c r="AZ18" s="16">
        <v>29537</v>
      </c>
      <c r="BA18" s="16">
        <v>27686</v>
      </c>
      <c r="BB18" s="13">
        <v>26130</v>
      </c>
      <c r="BC18" s="13">
        <v>24345</v>
      </c>
      <c r="BD18" s="13">
        <v>21646</v>
      </c>
      <c r="BE18" s="13">
        <v>22813</v>
      </c>
      <c r="BF18" s="13">
        <v>25148</v>
      </c>
      <c r="BG18" s="13">
        <v>24675</v>
      </c>
      <c r="BH18" s="13">
        <v>15630</v>
      </c>
      <c r="BI18" s="13">
        <f>BI17-BH17</f>
        <v>7508</v>
      </c>
      <c r="BJ18" s="13">
        <f>BJ17-BI17</f>
        <v>11056</v>
      </c>
      <c r="BK18" s="13">
        <f>BK17-BJ17</f>
        <v>18245</v>
      </c>
    </row>
    <row r="19" spans="1:63" s="102" customFormat="1" ht="29.25" hidden="1" customHeight="1">
      <c r="A19" s="26" t="s">
        <v>8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19"/>
      <c r="BC19" s="19"/>
      <c r="BD19" s="19"/>
      <c r="BE19" s="19"/>
      <c r="BF19" s="19"/>
      <c r="BG19" s="19"/>
      <c r="BH19" s="19"/>
      <c r="BI19" s="19"/>
      <c r="BJ19" s="19"/>
      <c r="BK19" s="19"/>
    </row>
    <row r="20" spans="1:63" s="102" customFormat="1" ht="29.25" hidden="1" customHeight="1">
      <c r="A20" s="26" t="s">
        <v>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19"/>
      <c r="BC20" s="19"/>
      <c r="BD20" s="19"/>
      <c r="BE20" s="19"/>
      <c r="BF20" s="19"/>
      <c r="BG20" s="19"/>
      <c r="BH20" s="19"/>
      <c r="BI20" s="19"/>
      <c r="BJ20" s="19"/>
      <c r="BK20" s="19"/>
    </row>
    <row r="21" spans="1:63" s="102" customFormat="1" ht="29.25" hidden="1" customHeight="1">
      <c r="A21" s="26" t="s">
        <v>10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19"/>
      <c r="BC21" s="19"/>
      <c r="BD21" s="19"/>
      <c r="BE21" s="19"/>
      <c r="BF21" s="19"/>
      <c r="BG21" s="19"/>
      <c r="BH21" s="19"/>
      <c r="BI21" s="19"/>
      <c r="BJ21" s="19"/>
      <c r="BK21" s="19"/>
    </row>
    <row r="22" spans="1:63" s="103" customFormat="1" ht="29.25" hidden="1" customHeight="1">
      <c r="A22" s="29" t="s">
        <v>11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19"/>
      <c r="BC22" s="19"/>
      <c r="BD22" s="19"/>
      <c r="BE22" s="19"/>
      <c r="BF22" s="19"/>
      <c r="BG22" s="19"/>
      <c r="BH22" s="19"/>
      <c r="BI22" s="19"/>
      <c r="BJ22" s="19"/>
      <c r="BK22" s="19"/>
    </row>
    <row r="23" spans="1:63" s="103" customFormat="1" ht="29.25" customHeight="1">
      <c r="A23" s="31" t="s">
        <v>12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118"/>
      <c r="AZ23" s="123"/>
      <c r="BA23" s="123"/>
      <c r="BB23" s="19"/>
      <c r="BC23" s="19"/>
      <c r="BD23" s="19"/>
      <c r="BE23" s="19"/>
      <c r="BF23" s="19"/>
      <c r="BG23" s="19"/>
      <c r="BH23" s="19"/>
      <c r="BI23" s="19"/>
      <c r="BJ23" s="19"/>
      <c r="BK23" s="19"/>
    </row>
    <row r="24" spans="1:63" s="103" customFormat="1" ht="29.25" customHeight="1">
      <c r="A24" s="33" t="s">
        <v>13</v>
      </c>
      <c r="B24" s="34">
        <v>0.41684809504357911</v>
      </c>
      <c r="C24" s="34">
        <v>0.41509508582824528</v>
      </c>
      <c r="D24" s="34">
        <v>0.41205373618487562</v>
      </c>
      <c r="E24" s="34">
        <v>0.41163958098318232</v>
      </c>
      <c r="F24" s="34">
        <v>0.41097869367968354</v>
      </c>
      <c r="G24" s="34">
        <v>0.41026275781714311</v>
      </c>
      <c r="H24" s="34">
        <v>0.40990857545756615</v>
      </c>
      <c r="I24" s="34">
        <v>0.40952548974243053</v>
      </c>
      <c r="J24" s="34">
        <v>0.4095855534214079</v>
      </c>
      <c r="K24" s="34">
        <v>0.41006697030125461</v>
      </c>
      <c r="L24" s="34">
        <v>0.4097161989932222</v>
      </c>
      <c r="M24" s="34">
        <v>0.4101024727309559</v>
      </c>
      <c r="N24" s="34">
        <v>0.40999255084252739</v>
      </c>
      <c r="O24" s="34">
        <v>0.40958179748302198</v>
      </c>
      <c r="P24" s="34">
        <v>0.40937566194985442</v>
      </c>
      <c r="Q24" s="34">
        <v>0.40946165833572484</v>
      </c>
      <c r="R24" s="34">
        <v>0.4092277936354301</v>
      </c>
      <c r="S24" s="34">
        <v>0.409278719505278</v>
      </c>
      <c r="T24" s="34">
        <v>0.40929321450533157</v>
      </c>
      <c r="U24" s="34">
        <v>0.40917871760644497</v>
      </c>
      <c r="V24" s="34">
        <v>0.41182048800594834</v>
      </c>
      <c r="W24" s="34">
        <v>0.41191705098090181</v>
      </c>
      <c r="X24" s="34">
        <v>0.41191778300530085</v>
      </c>
      <c r="Y24" s="34">
        <v>0.41183988608311495</v>
      </c>
      <c r="Z24" s="34">
        <v>0.4107475152578256</v>
      </c>
      <c r="AA24" s="34">
        <v>0.41026347244322053</v>
      </c>
      <c r="AB24" s="34">
        <v>0.41005763167547388</v>
      </c>
      <c r="AC24" s="34">
        <v>0.41013170656283821</v>
      </c>
      <c r="AD24" s="34">
        <v>0.41035859530011015</v>
      </c>
      <c r="AE24" s="34">
        <v>0.41066358848408047</v>
      </c>
      <c r="AF24" s="34">
        <v>0.41090596700100002</v>
      </c>
      <c r="AG24" s="34">
        <v>0.4109850692906164</v>
      </c>
      <c r="AH24" s="34">
        <v>0.4111627669026004</v>
      </c>
      <c r="AI24" s="34">
        <v>0.41149618362095314</v>
      </c>
      <c r="AJ24" s="34">
        <v>0.41161852886137695</v>
      </c>
      <c r="AK24" s="34">
        <v>0.41071756602789894</v>
      </c>
      <c r="AL24" s="34">
        <v>0.4110890878718319</v>
      </c>
      <c r="AM24" s="34">
        <v>0.41135630721535948</v>
      </c>
      <c r="AN24" s="34">
        <v>0.41223349128549214</v>
      </c>
      <c r="AO24" s="34">
        <v>0.41248008304070083</v>
      </c>
      <c r="AP24" s="34">
        <v>0.41263348325534799</v>
      </c>
      <c r="AQ24" s="34">
        <v>0.41284245073005443</v>
      </c>
      <c r="AR24" s="34">
        <v>0.41291850651362144</v>
      </c>
      <c r="AS24" s="34">
        <v>0.4130016622076812</v>
      </c>
      <c r="AT24" s="34">
        <v>0.41317356718275705</v>
      </c>
      <c r="AU24" s="34">
        <v>0.41344380011556414</v>
      </c>
      <c r="AV24" s="34">
        <v>0.41314112185593183</v>
      </c>
      <c r="AW24" s="34">
        <v>0.41207437504571537</v>
      </c>
      <c r="AX24" s="34">
        <v>0.41221541825007685</v>
      </c>
      <c r="AY24" s="119">
        <v>0.41220288308621295</v>
      </c>
      <c r="AZ24" s="119">
        <v>0.41228567976633756</v>
      </c>
      <c r="BA24" s="119">
        <v>0.4137088816778956</v>
      </c>
      <c r="BB24" s="119">
        <v>0.41330366572044053</v>
      </c>
      <c r="BC24" s="119">
        <v>0.41304436598347161</v>
      </c>
      <c r="BD24" s="119">
        <v>0.41310995566236136</v>
      </c>
      <c r="BE24" s="119">
        <v>0.41312808711008941</v>
      </c>
      <c r="BF24" s="119">
        <v>0.41320834003779888</v>
      </c>
      <c r="BG24" s="119">
        <v>0.41321297906412308</v>
      </c>
      <c r="BH24" s="119">
        <v>0.41321379650940276</v>
      </c>
      <c r="BI24" s="119">
        <v>0.41324031911346965</v>
      </c>
      <c r="BJ24" s="119">
        <v>0.41296274636315655</v>
      </c>
      <c r="BK24" s="120"/>
    </row>
    <row r="25" spans="1:63" s="103" customFormat="1" ht="29.25" customHeight="1">
      <c r="A25" s="29" t="s">
        <v>14</v>
      </c>
      <c r="B25" s="35">
        <v>0.24908043666233814</v>
      </c>
      <c r="C25" s="35">
        <v>0.25026746666803734</v>
      </c>
      <c r="D25" s="35">
        <v>0.25130914211345629</v>
      </c>
      <c r="E25" s="35">
        <v>0.25132027440607968</v>
      </c>
      <c r="F25" s="35">
        <v>0.25159792183817659</v>
      </c>
      <c r="G25" s="35">
        <v>0.25194841079723945</v>
      </c>
      <c r="H25" s="35">
        <v>0.25220437347432417</v>
      </c>
      <c r="I25" s="35">
        <v>0.25231545689274054</v>
      </c>
      <c r="J25" s="35">
        <v>0.2527917684059876</v>
      </c>
      <c r="K25" s="35">
        <v>0.25325373023076864</v>
      </c>
      <c r="L25" s="35">
        <v>0.25352604033602727</v>
      </c>
      <c r="M25" s="35">
        <v>0.25391816482098112</v>
      </c>
      <c r="N25" s="35">
        <v>0.25418289015401785</v>
      </c>
      <c r="O25" s="35">
        <v>0.25429901657244891</v>
      </c>
      <c r="P25" s="35">
        <v>0.25441837542961476</v>
      </c>
      <c r="Q25" s="35">
        <v>0.25443835864677938</v>
      </c>
      <c r="R25" s="35">
        <v>0.25479945638677842</v>
      </c>
      <c r="S25" s="35">
        <v>0.25500714707140698</v>
      </c>
      <c r="T25" s="35">
        <v>0.25527425839002488</v>
      </c>
      <c r="U25" s="35">
        <v>0.25555574737924702</v>
      </c>
      <c r="V25" s="35">
        <v>0.25080584124127392</v>
      </c>
      <c r="W25" s="35">
        <v>0.25089978934114271</v>
      </c>
      <c r="X25" s="35">
        <v>0.25100921885238814</v>
      </c>
      <c r="Y25" s="35">
        <v>0.25130509468619622</v>
      </c>
      <c r="Z25" s="35">
        <v>0.25186948077883609</v>
      </c>
      <c r="AA25" s="35">
        <v>0.25208766262242965</v>
      </c>
      <c r="AB25" s="35">
        <v>0.25220866214198329</v>
      </c>
      <c r="AC25" s="35">
        <v>0.25219655455237311</v>
      </c>
      <c r="AD25" s="35">
        <v>0.29106754159765119</v>
      </c>
      <c r="AE25" s="35">
        <v>0.29087535749178073</v>
      </c>
      <c r="AF25" s="35">
        <v>0.29074787985170031</v>
      </c>
      <c r="AG25" s="35">
        <v>0.29056825553649818</v>
      </c>
      <c r="AH25" s="35">
        <v>0.29026015820506851</v>
      </c>
      <c r="AI25" s="35">
        <v>0.28997883020666992</v>
      </c>
      <c r="AJ25" s="35">
        <v>0.28986091179621515</v>
      </c>
      <c r="AK25" s="35">
        <v>0.29000793634373423</v>
      </c>
      <c r="AL25" s="35">
        <v>0.28956053816463678</v>
      </c>
      <c r="AM25" s="35">
        <v>0.28920808172406692</v>
      </c>
      <c r="AN25" s="35">
        <v>0.28923377322440702</v>
      </c>
      <c r="AO25" s="35">
        <v>0.28889268576124116</v>
      </c>
      <c r="AP25" s="35">
        <v>0.28876206581269598</v>
      </c>
      <c r="AQ25" s="35">
        <v>0.28844420544205268</v>
      </c>
      <c r="AR25" s="35">
        <v>0.28814088980067698</v>
      </c>
      <c r="AS25" s="35">
        <v>0.28782268883189449</v>
      </c>
      <c r="AT25" s="35">
        <v>0.28735500768451883</v>
      </c>
      <c r="AU25" s="35">
        <v>0.2868405662860769</v>
      </c>
      <c r="AV25" s="35">
        <v>0.28666309357242969</v>
      </c>
      <c r="AW25" s="35">
        <v>0.28681229570265332</v>
      </c>
      <c r="AX25" s="35">
        <v>0.28641123081651682</v>
      </c>
      <c r="AY25" s="35">
        <v>0.28619182854573089</v>
      </c>
      <c r="AZ25" s="35">
        <v>0.28585262276537321</v>
      </c>
      <c r="BA25" s="35">
        <v>0.28637671941202292</v>
      </c>
      <c r="BB25" s="35">
        <v>0.28572324249858383</v>
      </c>
      <c r="BC25" s="35">
        <v>0.28511469544218548</v>
      </c>
      <c r="BD25" s="35">
        <v>0.28501268223582765</v>
      </c>
      <c r="BE25" s="35">
        <v>0.28487399025322802</v>
      </c>
      <c r="BF25" s="35">
        <v>0.28472722818758966</v>
      </c>
      <c r="BG25" s="35">
        <v>0.28457883919337884</v>
      </c>
      <c r="BH25" s="35">
        <v>0.28461493067758176</v>
      </c>
      <c r="BI25" s="35">
        <v>0.28481608345346521</v>
      </c>
      <c r="BJ25" s="35">
        <v>0.28487710266775224</v>
      </c>
      <c r="BK25" s="121"/>
    </row>
    <row r="26" spans="1:63" s="103" customFormat="1" ht="29.25" customHeight="1">
      <c r="A26" s="29" t="s">
        <v>15</v>
      </c>
      <c r="B26" s="35">
        <v>0.18201508090994345</v>
      </c>
      <c r="C26" s="35">
        <v>0.183308899634513</v>
      </c>
      <c r="D26" s="35">
        <v>0.18479325588117504</v>
      </c>
      <c r="E26" s="35">
        <v>0.18549792439034521</v>
      </c>
      <c r="F26" s="35">
        <v>0.18621074388712586</v>
      </c>
      <c r="G26" s="35">
        <v>0.18697982681298289</v>
      </c>
      <c r="H26" s="35">
        <v>0.18783365492739926</v>
      </c>
      <c r="I26" s="35">
        <v>0.18836095570268796</v>
      </c>
      <c r="J26" s="35">
        <v>0.18885483294031488</v>
      </c>
      <c r="K26" s="35">
        <v>0.1884881968708606</v>
      </c>
      <c r="L26" s="35">
        <v>0.18918257116186227</v>
      </c>
      <c r="M26" s="35">
        <v>0.18893177808477346</v>
      </c>
      <c r="N26" s="35">
        <v>0.18961863398607656</v>
      </c>
      <c r="O26" s="35">
        <v>0.19037033197941819</v>
      </c>
      <c r="P26" s="35">
        <v>0.19098717047949781</v>
      </c>
      <c r="Q26" s="35">
        <v>0.19144024141282906</v>
      </c>
      <c r="R26" s="35">
        <v>0.1920033849715202</v>
      </c>
      <c r="S26" s="35">
        <v>0.192351007945882</v>
      </c>
      <c r="T26" s="35">
        <v>0.19281935510105103</v>
      </c>
      <c r="U26" s="35">
        <v>0.19336537095901299</v>
      </c>
      <c r="V26" s="35">
        <v>0.19513244694342746</v>
      </c>
      <c r="W26" s="35">
        <v>0.19576450493091804</v>
      </c>
      <c r="X26" s="35">
        <v>0.19636869462885734</v>
      </c>
      <c r="Y26" s="35">
        <v>0.19685448343018563</v>
      </c>
      <c r="Z26" s="35">
        <v>0.19777145899285786</v>
      </c>
      <c r="AA26" s="35">
        <v>0.19842562849493736</v>
      </c>
      <c r="AB26" s="35">
        <v>0.19902018419461034</v>
      </c>
      <c r="AC26" s="35">
        <v>0.1996637100582675</v>
      </c>
      <c r="AD26" s="35">
        <v>0.20009505303144284</v>
      </c>
      <c r="AE26" s="35">
        <v>0.20037963222566171</v>
      </c>
      <c r="AF26" s="35">
        <v>0.20072963578521327</v>
      </c>
      <c r="AG26" s="35">
        <v>0.20113632851284147</v>
      </c>
      <c r="AH26" s="35">
        <v>0.20155847952794997</v>
      </c>
      <c r="AI26" s="35">
        <v>0.20182859226825342</v>
      </c>
      <c r="AJ26" s="35">
        <v>0.20211573729778184</v>
      </c>
      <c r="AK26" s="35">
        <v>0.20283363565957502</v>
      </c>
      <c r="AL26" s="35">
        <v>0.20322594325682639</v>
      </c>
      <c r="AM26" s="35">
        <v>0.20355809992470422</v>
      </c>
      <c r="AN26" s="35">
        <v>0.20399382649770717</v>
      </c>
      <c r="AO26" s="35">
        <v>0.20423371950627658</v>
      </c>
      <c r="AP26" s="35">
        <v>0.204354459399504</v>
      </c>
      <c r="AQ26" s="35">
        <v>0.20456230589295823</v>
      </c>
      <c r="AR26" s="35">
        <v>0.20489046985091608</v>
      </c>
      <c r="AS26" s="35">
        <v>0.20521384733418471</v>
      </c>
      <c r="AT26" s="35">
        <v>0.20559006306408717</v>
      </c>
      <c r="AU26" s="35">
        <v>0.20596380811111634</v>
      </c>
      <c r="AV26" s="35">
        <v>0.20652513765128208</v>
      </c>
      <c r="AW26" s="35">
        <v>0.20737466752725922</v>
      </c>
      <c r="AX26" s="35">
        <v>0.20790762370447913</v>
      </c>
      <c r="AY26" s="35">
        <v>0.20819222610867524</v>
      </c>
      <c r="AZ26" s="35">
        <v>0.20857814297951793</v>
      </c>
      <c r="BA26" s="35">
        <v>0.20948345641429508</v>
      </c>
      <c r="BB26" s="35">
        <v>0.20923157154104868</v>
      </c>
      <c r="BC26" s="35">
        <v>0.20898409660843992</v>
      </c>
      <c r="BD26" s="35">
        <v>0.20925478931771921</v>
      </c>
      <c r="BE26" s="35">
        <v>0.20940581426355434</v>
      </c>
      <c r="BF26" s="35">
        <v>0.20960167982136529</v>
      </c>
      <c r="BG26" s="35">
        <v>0.20988668560669371</v>
      </c>
      <c r="BH26" s="35">
        <v>0.20994126273762392</v>
      </c>
      <c r="BI26" s="35">
        <v>0.20972885925520959</v>
      </c>
      <c r="BJ26" s="35">
        <v>0.2100295395329061</v>
      </c>
      <c r="BK26" s="121"/>
    </row>
    <row r="27" spans="1:63" s="103" customFormat="1" ht="29.25" customHeight="1">
      <c r="A27" s="36" t="s">
        <v>16</v>
      </c>
      <c r="B27" s="37">
        <v>0.15205638738413929</v>
      </c>
      <c r="C27" s="37">
        <v>0.15132854786920441</v>
      </c>
      <c r="D27" s="37">
        <v>0.15184386582049303</v>
      </c>
      <c r="E27" s="37">
        <v>0.15154222022039279</v>
      </c>
      <c r="F27" s="37">
        <v>0.15121264059501405</v>
      </c>
      <c r="G27" s="37">
        <v>0.15080900457263455</v>
      </c>
      <c r="H27" s="37">
        <v>0.15005339614071039</v>
      </c>
      <c r="I27" s="37">
        <v>0.14979809766214097</v>
      </c>
      <c r="J27" s="37">
        <v>0.14876784523228964</v>
      </c>
      <c r="K27" s="37">
        <v>0.14819110259711615</v>
      </c>
      <c r="L27" s="37">
        <v>0.14757518950888829</v>
      </c>
      <c r="M27" s="37">
        <v>0.14704758436328946</v>
      </c>
      <c r="N27" s="37">
        <v>0.14620592501737817</v>
      </c>
      <c r="O27" s="37">
        <v>0.14574885396511092</v>
      </c>
      <c r="P27" s="37">
        <v>0.14521879214103298</v>
      </c>
      <c r="Q27" s="37">
        <v>0.14465974160466674</v>
      </c>
      <c r="R27" s="37">
        <v>0.14396936500627125</v>
      </c>
      <c r="S27" s="37">
        <v>0.14336312547743299</v>
      </c>
      <c r="T27" s="37">
        <v>0.14261317200359255</v>
      </c>
      <c r="U27" s="37">
        <v>0.14190016405529399</v>
      </c>
      <c r="V27" s="37">
        <v>0.14224122380935025</v>
      </c>
      <c r="W27" s="37">
        <v>0.14141865474703746</v>
      </c>
      <c r="X27" s="37">
        <v>0.14070430351345367</v>
      </c>
      <c r="Y27" s="37">
        <v>0.14000053580050317</v>
      </c>
      <c r="Z27" s="37">
        <v>0.13961154497048045</v>
      </c>
      <c r="AA27" s="37">
        <v>0.13922323643941242</v>
      </c>
      <c r="AB27" s="37">
        <v>0.13871352198793249</v>
      </c>
      <c r="AC27" s="37">
        <v>0.13800802882652116</v>
      </c>
      <c r="AD27" s="37">
        <v>9.8478810070795841E-2</v>
      </c>
      <c r="AE27" s="37">
        <v>9.8081421798477134E-2</v>
      </c>
      <c r="AF27" s="37">
        <v>9.761651736208643E-2</v>
      </c>
      <c r="AG27" s="37">
        <v>9.7310346660043887E-2</v>
      </c>
      <c r="AH27" s="37">
        <v>9.7018595364381094E-2</v>
      </c>
      <c r="AI27" s="37">
        <v>9.6696393904123545E-2</v>
      </c>
      <c r="AJ27" s="37">
        <v>9.640482204462604E-2</v>
      </c>
      <c r="AK27" s="37">
        <v>9.6440861968791841E-2</v>
      </c>
      <c r="AL27" s="37">
        <v>9.6124430706704914E-2</v>
      </c>
      <c r="AM27" s="37">
        <v>9.5877511135869356E-2</v>
      </c>
      <c r="AN27" s="37">
        <v>9.45389089923937E-2</v>
      </c>
      <c r="AO27" s="37">
        <v>9.4393511691781423E-2</v>
      </c>
      <c r="AP27" s="37">
        <v>9.4249991532452698E-2</v>
      </c>
      <c r="AQ27" s="37">
        <v>9.4151037934934637E-2</v>
      </c>
      <c r="AR27" s="37">
        <v>9.4050133834785499E-2</v>
      </c>
      <c r="AS27" s="37">
        <v>9.3961801626239572E-2</v>
      </c>
      <c r="AT27" s="37">
        <v>9.3881362068636981E-2</v>
      </c>
      <c r="AU27" s="37">
        <v>9.3751825487242618E-2</v>
      </c>
      <c r="AV27" s="37">
        <v>9.3670646920356357E-2</v>
      </c>
      <c r="AW27" s="37">
        <v>9.3738661724372049E-2</v>
      </c>
      <c r="AX27" s="37">
        <v>9.3465727228927223E-2</v>
      </c>
      <c r="AY27" s="37">
        <v>9.3413062259380925E-2</v>
      </c>
      <c r="AZ27" s="37">
        <v>9.3283554488771278E-2</v>
      </c>
      <c r="BA27" s="37">
        <v>9.0430942495786384E-2</v>
      </c>
      <c r="BB27" s="37">
        <v>9.1741520239926988E-2</v>
      </c>
      <c r="BC27" s="37">
        <v>9.2856841965903006E-2</v>
      </c>
      <c r="BD27" s="37">
        <v>9.2622572784091778E-2</v>
      </c>
      <c r="BE27" s="37">
        <v>9.2592108373128215E-2</v>
      </c>
      <c r="BF27" s="37">
        <v>9.2462751953246158E-2</v>
      </c>
      <c r="BG27" s="37">
        <v>9.2321496135804385E-2</v>
      </c>
      <c r="BH27" s="37">
        <v>9.2230010075391541E-2</v>
      </c>
      <c r="BI27" s="37">
        <v>9.2214738177855582E-2</v>
      </c>
      <c r="BJ27" s="37">
        <v>9.2130611436185172E-2</v>
      </c>
      <c r="BK27" s="122"/>
    </row>
    <row r="28" spans="1:63" s="98" customFormat="1" ht="23.25" customHeight="1">
      <c r="A28" s="99" t="s">
        <v>46</v>
      </c>
      <c r="BC28" s="35"/>
    </row>
    <row r="29" spans="1:63" s="89" customFormat="1" ht="15" customHeight="1">
      <c r="A29" s="95"/>
      <c r="BC29" s="116"/>
    </row>
    <row r="30" spans="1:63" s="23" customFormat="1" ht="24.75" customHeight="1">
      <c r="A30" s="22"/>
      <c r="B30" s="4">
        <v>2018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4">
        <v>2019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4">
        <v>2020</v>
      </c>
      <c r="AA30" s="6"/>
      <c r="AB30" s="6"/>
      <c r="AC30" s="6"/>
      <c r="AD30" s="6">
        <v>0.45210936468684937</v>
      </c>
      <c r="AE30" s="6"/>
      <c r="AF30" s="6"/>
      <c r="AG30" s="6"/>
      <c r="AH30" s="6"/>
      <c r="AI30" s="6"/>
      <c r="AJ30" s="6"/>
      <c r="AK30" s="6"/>
      <c r="AL30" s="4">
        <v>2021</v>
      </c>
      <c r="AX30" s="4">
        <v>2022</v>
      </c>
      <c r="BJ30" s="4">
        <v>2023</v>
      </c>
    </row>
    <row r="31" spans="1:63" s="101" customFormat="1" ht="29.25" customHeight="1">
      <c r="A31" s="7" t="s">
        <v>42</v>
      </c>
      <c r="B31" s="8">
        <v>43101</v>
      </c>
      <c r="C31" s="8">
        <v>43132</v>
      </c>
      <c r="D31" s="8">
        <v>43160</v>
      </c>
      <c r="E31" s="8">
        <v>43191</v>
      </c>
      <c r="F31" s="8">
        <v>43221</v>
      </c>
      <c r="G31" s="8">
        <v>43252</v>
      </c>
      <c r="H31" s="8">
        <v>43282</v>
      </c>
      <c r="I31" s="8">
        <v>43313</v>
      </c>
      <c r="J31" s="8">
        <v>43344</v>
      </c>
      <c r="K31" s="8">
        <v>43374</v>
      </c>
      <c r="L31" s="8">
        <v>43405</v>
      </c>
      <c r="M31" s="8">
        <v>43435</v>
      </c>
      <c r="N31" s="52">
        <v>43466</v>
      </c>
      <c r="O31" s="52">
        <v>43497</v>
      </c>
      <c r="P31" s="52">
        <v>43525</v>
      </c>
      <c r="Q31" s="52">
        <v>43556</v>
      </c>
      <c r="R31" s="52">
        <v>43586</v>
      </c>
      <c r="S31" s="52">
        <v>43617</v>
      </c>
      <c r="T31" s="52">
        <v>43647</v>
      </c>
      <c r="U31" s="52">
        <v>43678</v>
      </c>
      <c r="V31" s="52">
        <v>43709</v>
      </c>
      <c r="W31" s="52">
        <v>43739</v>
      </c>
      <c r="X31" s="52">
        <v>43770</v>
      </c>
      <c r="Y31" s="52">
        <v>43800</v>
      </c>
      <c r="Z31" s="8">
        <v>43831</v>
      </c>
      <c r="AA31" s="8">
        <v>43862</v>
      </c>
      <c r="AB31" s="8">
        <v>43891</v>
      </c>
      <c r="AC31" s="8">
        <v>43922</v>
      </c>
      <c r="AD31" s="8">
        <v>43952</v>
      </c>
      <c r="AE31" s="8">
        <v>43983</v>
      </c>
      <c r="AF31" s="8">
        <v>44013</v>
      </c>
      <c r="AG31" s="8">
        <v>44044</v>
      </c>
      <c r="AH31" s="8">
        <v>44075</v>
      </c>
      <c r="AI31" s="8">
        <v>44105</v>
      </c>
      <c r="AJ31" s="8">
        <v>44136</v>
      </c>
      <c r="AK31" s="8">
        <v>44166</v>
      </c>
      <c r="AL31" s="8">
        <v>44197</v>
      </c>
      <c r="AM31" s="8">
        <v>44228</v>
      </c>
      <c r="AN31" s="8">
        <v>44256</v>
      </c>
      <c r="AO31" s="8">
        <v>44287</v>
      </c>
      <c r="AP31" s="8">
        <v>44317</v>
      </c>
      <c r="AQ31" s="8">
        <v>44348</v>
      </c>
      <c r="AR31" s="8">
        <v>44378</v>
      </c>
      <c r="AS31" s="8">
        <v>44409</v>
      </c>
      <c r="AT31" s="8">
        <v>44440</v>
      </c>
      <c r="AU31" s="8">
        <v>44470</v>
      </c>
      <c r="AV31" s="8">
        <v>44521</v>
      </c>
      <c r="AW31" s="8">
        <v>44531</v>
      </c>
      <c r="AX31" s="8">
        <v>44562</v>
      </c>
      <c r="AY31" s="8">
        <v>44593</v>
      </c>
      <c r="AZ31" s="8">
        <v>44621</v>
      </c>
      <c r="BA31" s="8">
        <v>44652</v>
      </c>
      <c r="BB31" s="8">
        <v>44682</v>
      </c>
      <c r="BC31" s="8">
        <v>44713</v>
      </c>
      <c r="BD31" s="8">
        <v>44744</v>
      </c>
      <c r="BE31" s="8">
        <v>44776</v>
      </c>
      <c r="BF31" s="8">
        <v>44808</v>
      </c>
      <c r="BG31" s="8">
        <v>44839</v>
      </c>
      <c r="BH31" s="8">
        <v>44870</v>
      </c>
      <c r="BI31" s="8">
        <v>44926</v>
      </c>
      <c r="BJ31" s="8">
        <v>44927</v>
      </c>
      <c r="BK31" s="8">
        <v>44958</v>
      </c>
    </row>
    <row r="32" spans="1:63" s="102" customFormat="1" ht="29.25" customHeight="1">
      <c r="A32" s="24" t="s">
        <v>43</v>
      </c>
      <c r="B32" s="11">
        <v>7513024</v>
      </c>
      <c r="C32" s="11">
        <v>7548729</v>
      </c>
      <c r="D32" s="11">
        <v>7572920</v>
      </c>
      <c r="E32" s="11">
        <v>7606278</v>
      </c>
      <c r="F32" s="11">
        <v>7633778</v>
      </c>
      <c r="G32" s="11">
        <v>7672467</v>
      </c>
      <c r="H32" s="11">
        <v>7696811</v>
      </c>
      <c r="I32" s="11">
        <v>7730946</v>
      </c>
      <c r="J32" s="11">
        <v>7775331</v>
      </c>
      <c r="K32" s="11">
        <v>7816244</v>
      </c>
      <c r="L32" s="11">
        <v>7830991</v>
      </c>
      <c r="M32" s="11">
        <v>7851189</v>
      </c>
      <c r="N32" s="11">
        <v>7890390</v>
      </c>
      <c r="O32" s="11">
        <v>7920033</v>
      </c>
      <c r="P32" s="11">
        <v>7965733</v>
      </c>
      <c r="Q32" s="11">
        <v>8023369</v>
      </c>
      <c r="R32" s="11">
        <v>8065312</v>
      </c>
      <c r="S32" s="11">
        <v>8113100</v>
      </c>
      <c r="T32" s="11">
        <v>8150639</v>
      </c>
      <c r="U32" s="11">
        <v>8191393</v>
      </c>
      <c r="V32" s="11">
        <v>8229149</v>
      </c>
      <c r="W32" s="11">
        <v>8274718</v>
      </c>
      <c r="X32" s="11">
        <v>8316742</v>
      </c>
      <c r="Y32" s="11">
        <v>8351227</v>
      </c>
      <c r="Z32" s="11">
        <v>8353098</v>
      </c>
      <c r="AA32" s="11">
        <v>8383811</v>
      </c>
      <c r="AB32" s="11">
        <v>8422106</v>
      </c>
      <c r="AC32" s="11">
        <v>8459060</v>
      </c>
      <c r="AD32" s="11">
        <v>8507050</v>
      </c>
      <c r="AE32" s="11">
        <v>8559260</v>
      </c>
      <c r="AF32" s="11">
        <v>8598645</v>
      </c>
      <c r="AG32" s="11">
        <v>8639342</v>
      </c>
      <c r="AH32" s="11">
        <v>8687278</v>
      </c>
      <c r="AI32" s="11">
        <v>8737154</v>
      </c>
      <c r="AJ32" s="11">
        <v>8763550</v>
      </c>
      <c r="AK32" s="11">
        <v>8762836</v>
      </c>
      <c r="AL32" s="11">
        <v>8810773</v>
      </c>
      <c r="AM32" s="11">
        <v>8852653</v>
      </c>
      <c r="AN32" s="11">
        <v>8892928</v>
      </c>
      <c r="AO32" s="11">
        <v>8931509</v>
      </c>
      <c r="AP32" s="11">
        <v>8980418</v>
      </c>
      <c r="AQ32" s="11">
        <v>9020539</v>
      </c>
      <c r="AR32" s="11">
        <v>9052118</v>
      </c>
      <c r="AS32" s="11">
        <v>9084109</v>
      </c>
      <c r="AT32" s="11">
        <v>9122320</v>
      </c>
      <c r="AU32" s="11">
        <v>9160855</v>
      </c>
      <c r="AV32" s="11">
        <v>9165543</v>
      </c>
      <c r="AW32" s="11">
        <v>9143449</v>
      </c>
      <c r="AX32" s="11">
        <v>9183309</v>
      </c>
      <c r="AY32" s="11">
        <v>9208016</v>
      </c>
      <c r="AZ32" s="11">
        <v>9236107</v>
      </c>
      <c r="BA32" s="11">
        <v>9265478</v>
      </c>
      <c r="BB32" s="11">
        <v>9295149</v>
      </c>
      <c r="BC32" s="11">
        <v>9328855</v>
      </c>
      <c r="BD32" s="11">
        <v>9349155</v>
      </c>
      <c r="BE32" s="11">
        <v>9373578</v>
      </c>
      <c r="BF32" s="11">
        <v>9399414</v>
      </c>
      <c r="BG32" s="11">
        <v>9424025</v>
      </c>
      <c r="BH32" s="11">
        <v>9434599</v>
      </c>
      <c r="BI32" s="11">
        <v>9432130</v>
      </c>
      <c r="BJ32" s="11">
        <v>9436041</v>
      </c>
      <c r="BK32" s="11">
        <v>9443295</v>
      </c>
    </row>
    <row r="33" spans="1:63" s="102" customFormat="1" ht="29.25" customHeight="1">
      <c r="A33" s="39" t="s">
        <v>17</v>
      </c>
      <c r="B33" s="13">
        <v>40877</v>
      </c>
      <c r="C33" s="13">
        <v>35705</v>
      </c>
      <c r="D33" s="13">
        <v>24191</v>
      </c>
      <c r="E33" s="13">
        <v>33358</v>
      </c>
      <c r="F33" s="13">
        <v>27500</v>
      </c>
      <c r="G33" s="13">
        <v>38689</v>
      </c>
      <c r="H33" s="13">
        <v>24344</v>
      </c>
      <c r="I33" s="13">
        <v>34135</v>
      </c>
      <c r="J33" s="13">
        <v>44385</v>
      </c>
      <c r="K33" s="13">
        <v>40913</v>
      </c>
      <c r="L33" s="13">
        <v>14783</v>
      </c>
      <c r="M33" s="13">
        <v>20198</v>
      </c>
      <c r="N33" s="13">
        <v>39201</v>
      </c>
      <c r="O33" s="13">
        <v>29643</v>
      </c>
      <c r="P33" s="13">
        <v>45700</v>
      </c>
      <c r="Q33" s="13">
        <v>57636</v>
      </c>
      <c r="R33" s="13">
        <v>41943</v>
      </c>
      <c r="S33" s="13">
        <v>47788</v>
      </c>
      <c r="T33" s="13">
        <v>37539</v>
      </c>
      <c r="U33" s="13">
        <v>40754</v>
      </c>
      <c r="V33" s="13">
        <v>37756</v>
      </c>
      <c r="W33" s="13">
        <v>45569</v>
      </c>
      <c r="X33" s="13">
        <v>42024</v>
      </c>
      <c r="Y33" s="13">
        <v>34485</v>
      </c>
      <c r="Z33" s="13">
        <v>1871</v>
      </c>
      <c r="AA33" s="13">
        <v>30713</v>
      </c>
      <c r="AB33" s="13">
        <v>38295</v>
      </c>
      <c r="AC33" s="13">
        <v>36954</v>
      </c>
      <c r="AD33" s="13">
        <v>47990</v>
      </c>
      <c r="AE33" s="13">
        <v>52210</v>
      </c>
      <c r="AF33" s="13">
        <v>39385</v>
      </c>
      <c r="AG33" s="13">
        <v>40697</v>
      </c>
      <c r="AH33" s="13">
        <v>47936</v>
      </c>
      <c r="AI33" s="13">
        <v>49876</v>
      </c>
      <c r="AJ33" s="13">
        <v>26396</v>
      </c>
      <c r="AK33" s="13">
        <v>-714</v>
      </c>
      <c r="AL33" s="13">
        <v>47937</v>
      </c>
      <c r="AM33" s="13">
        <v>41880</v>
      </c>
      <c r="AN33" s="13">
        <v>40275</v>
      </c>
      <c r="AO33" s="13">
        <v>38581</v>
      </c>
      <c r="AP33" s="13">
        <v>48909</v>
      </c>
      <c r="AQ33" s="13">
        <v>40121</v>
      </c>
      <c r="AR33" s="13">
        <v>31579</v>
      </c>
      <c r="AS33" s="13">
        <v>31991</v>
      </c>
      <c r="AT33" s="13">
        <v>38211</v>
      </c>
      <c r="AU33" s="13">
        <v>38535</v>
      </c>
      <c r="AV33" s="13">
        <v>4688</v>
      </c>
      <c r="AW33" s="13">
        <v>-22094</v>
      </c>
      <c r="AX33" s="13">
        <v>39860</v>
      </c>
      <c r="AY33" s="13">
        <v>24707</v>
      </c>
      <c r="AZ33" s="13">
        <v>28091</v>
      </c>
      <c r="BA33" s="13">
        <v>29371</v>
      </c>
      <c r="BB33" s="13">
        <v>29671</v>
      </c>
      <c r="BC33" s="13">
        <v>33706</v>
      </c>
      <c r="BD33" s="13">
        <v>20300</v>
      </c>
      <c r="BE33" s="13">
        <v>24423</v>
      </c>
      <c r="BF33" s="13">
        <v>25836</v>
      </c>
      <c r="BG33" s="13">
        <v>24611</v>
      </c>
      <c r="BH33" s="13">
        <v>10574</v>
      </c>
      <c r="BI33" s="13">
        <f>BI32-BH32</f>
        <v>-2469</v>
      </c>
      <c r="BJ33" s="13">
        <f>BJ32-BI32</f>
        <v>3911</v>
      </c>
      <c r="BK33" s="13">
        <f>BK32-BJ32</f>
        <v>7254</v>
      </c>
    </row>
    <row r="34" spans="1:63" s="102" customFormat="1" ht="29.25" customHeight="1">
      <c r="A34" s="40" t="s">
        <v>44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</row>
    <row r="35" spans="1:63" s="102" customFormat="1" ht="29.25" customHeight="1">
      <c r="A35" s="41" t="s">
        <v>13</v>
      </c>
      <c r="B35" s="43">
        <v>0.48499999999999999</v>
      </c>
      <c r="C35" s="43">
        <v>0.48399999999999999</v>
      </c>
      <c r="D35" s="43">
        <v>0.48199999999999998</v>
      </c>
      <c r="E35" s="43">
        <v>0.48099999999999998</v>
      </c>
      <c r="F35" s="43">
        <v>0.48</v>
      </c>
      <c r="G35" s="43">
        <v>0.47899999999999998</v>
      </c>
      <c r="H35" s="43">
        <v>0.47799999999999998</v>
      </c>
      <c r="I35" s="43">
        <v>0.47662957766702119</v>
      </c>
      <c r="J35" s="43">
        <v>0.47599999999999998</v>
      </c>
      <c r="K35" s="43">
        <v>0.47499999999999998</v>
      </c>
      <c r="L35" s="43">
        <v>0.47379713110092403</v>
      </c>
      <c r="M35" s="43">
        <v>0.47298456255553717</v>
      </c>
      <c r="N35" s="43">
        <v>0.47185869768413152</v>
      </c>
      <c r="O35" s="43">
        <v>0.47075192439850694</v>
      </c>
      <c r="P35" s="43">
        <v>0.46959223513883203</v>
      </c>
      <c r="Q35" s="43">
        <v>0.46928725487185563</v>
      </c>
      <c r="R35" s="43">
        <v>0.46881757156777054</v>
      </c>
      <c r="S35" s="43">
        <v>0.46828597842771102</v>
      </c>
      <c r="T35" s="43">
        <v>0.46732308850313597</v>
      </c>
      <c r="U35" s="43">
        <v>0.46637729621867102</v>
      </c>
      <c r="V35" s="43">
        <v>0.4656865563495996</v>
      </c>
      <c r="W35" s="43">
        <v>0.46510000000000001</v>
      </c>
      <c r="X35" s="43">
        <v>0.46421667048921</v>
      </c>
      <c r="Y35" s="43">
        <v>0.4634095886165594</v>
      </c>
      <c r="Z35" s="43">
        <v>0.461763240461948</v>
      </c>
      <c r="AA35" s="43">
        <v>0.46088230936707791</v>
      </c>
      <c r="AB35" s="43">
        <v>0.45978687055863182</v>
      </c>
      <c r="AC35" s="43">
        <v>0.45881767661887346</v>
      </c>
      <c r="AD35" s="43">
        <v>0.45832316878692642</v>
      </c>
      <c r="AE35" s="43">
        <v>0.45795049116493791</v>
      </c>
      <c r="AF35" s="43">
        <v>0.45721682399796709</v>
      </c>
      <c r="AG35" s="43">
        <v>0.4565277448390469</v>
      </c>
      <c r="AH35" s="43">
        <v>0.45583376132516767</v>
      </c>
      <c r="AI35" s="43">
        <v>0.45532101259273672</v>
      </c>
      <c r="AJ35" s="43">
        <v>0.45419505185988018</v>
      </c>
      <c r="AK35" s="43">
        <v>0.45251907775681222</v>
      </c>
      <c r="AL35" s="43">
        <v>0.45178493232024791</v>
      </c>
      <c r="AM35" s="43">
        <v>0.45113880448779675</v>
      </c>
      <c r="AN35" s="43">
        <v>0.45024955307572856</v>
      </c>
      <c r="AO35" s="43">
        <v>0.44936126516338037</v>
      </c>
      <c r="AP35" s="43">
        <v>0.449088150950605</v>
      </c>
      <c r="AQ35" s="43">
        <v>0.44848652052879068</v>
      </c>
      <c r="AR35" s="43">
        <v>0.44765244661720199</v>
      </c>
      <c r="AS35" s="43">
        <v>0.44697089090257369</v>
      </c>
      <c r="AT35" s="43">
        <v>0.44669322966679381</v>
      </c>
      <c r="AU35" s="43">
        <v>0.44633019758791764</v>
      </c>
      <c r="AV35" s="112">
        <v>0.44509689620003495</v>
      </c>
      <c r="AW35" s="43">
        <v>0.44325321313712218</v>
      </c>
      <c r="AX35" s="42">
        <v>0.44292092639560732</v>
      </c>
      <c r="AY35" s="124">
        <v>0.44248657609643421</v>
      </c>
      <c r="AZ35" s="124">
        <v>0.44209342116511613</v>
      </c>
      <c r="BA35" s="128">
        <v>0.44205898112784636</v>
      </c>
      <c r="BB35" s="128">
        <v>0.44224229760198136</v>
      </c>
      <c r="BC35" s="128">
        <v>0.44310997453728629</v>
      </c>
      <c r="BD35" s="128">
        <v>0.44299142234231825</v>
      </c>
      <c r="BE35" s="128">
        <v>0.44304749480669564</v>
      </c>
      <c r="BF35" s="128">
        <v>0.4429035988019559</v>
      </c>
      <c r="BG35" s="128">
        <v>0.44279637195491967</v>
      </c>
      <c r="BH35" s="128">
        <v>0.44257021556454496</v>
      </c>
      <c r="BI35" s="128">
        <v>0.44304021920230657</v>
      </c>
      <c r="BJ35" s="128">
        <v>0.44240604831516278</v>
      </c>
      <c r="BK35" s="125"/>
    </row>
    <row r="36" spans="1:63" s="102" customFormat="1" ht="29.25" customHeight="1">
      <c r="A36" s="40" t="s">
        <v>14</v>
      </c>
      <c r="B36" s="44">
        <v>0.28399999999999997</v>
      </c>
      <c r="C36" s="44">
        <v>0.28399999999999997</v>
      </c>
      <c r="D36" s="44">
        <v>0.28399999999999997</v>
      </c>
      <c r="E36" s="44">
        <v>0.28399999999999997</v>
      </c>
      <c r="F36" s="44">
        <v>0.28399999999999997</v>
      </c>
      <c r="G36" s="44">
        <v>0.28399999999999997</v>
      </c>
      <c r="H36" s="44">
        <v>0.28499999999999998</v>
      </c>
      <c r="I36" s="44">
        <v>0.28477635474394425</v>
      </c>
      <c r="J36" s="44">
        <v>0.28499999999999998</v>
      </c>
      <c r="K36" s="44">
        <v>0.28482002235528114</v>
      </c>
      <c r="L36" s="44">
        <v>0.28484842104549862</v>
      </c>
      <c r="M36" s="44">
        <v>0.28490672771360154</v>
      </c>
      <c r="N36" s="44">
        <v>0.28515828372483709</v>
      </c>
      <c r="O36" s="44">
        <v>0.28542556925974211</v>
      </c>
      <c r="P36" s="44">
        <v>0.28580573639759516</v>
      </c>
      <c r="Q36" s="44">
        <v>0.2857550699906562</v>
      </c>
      <c r="R36" s="44">
        <v>0.28662641637446384</v>
      </c>
      <c r="S36" s="44">
        <v>0.28693103421008298</v>
      </c>
      <c r="T36" s="44">
        <v>0.28736861080382298</v>
      </c>
      <c r="U36" s="44">
        <v>0.28763730739160298</v>
      </c>
      <c r="V36" s="44">
        <v>0.28766673359363171</v>
      </c>
      <c r="W36" s="44">
        <v>0.28748615002009303</v>
      </c>
      <c r="X36" s="44">
        <v>0.28770688549512102</v>
      </c>
      <c r="Y36" s="44">
        <v>0.28817782769411582</v>
      </c>
      <c r="Z36" s="44">
        <v>0.28886105578303167</v>
      </c>
      <c r="AA36" s="44">
        <v>0.28901644431507489</v>
      </c>
      <c r="AB36" s="44">
        <v>0.28923625841705924</v>
      </c>
      <c r="AC36" s="44">
        <v>0.28930416201470027</v>
      </c>
      <c r="AD36" s="44">
        <v>0.28914725992562568</v>
      </c>
      <c r="AE36" s="44">
        <v>0.28910233462050305</v>
      </c>
      <c r="AF36" s="44">
        <v>0.28945029783064818</v>
      </c>
      <c r="AG36" s="44">
        <v>0.28977367604268522</v>
      </c>
      <c r="AH36" s="44">
        <v>0.29029054261528864</v>
      </c>
      <c r="AI36" s="44">
        <v>0.29053518062798278</v>
      </c>
      <c r="AJ36" s="44">
        <v>0.29126032849255268</v>
      </c>
      <c r="AK36" s="44">
        <v>0.29214843791756356</v>
      </c>
      <c r="AL36" s="44">
        <v>0.29227746288356049</v>
      </c>
      <c r="AM36" s="44">
        <v>0.29229181839200857</v>
      </c>
      <c r="AN36" s="44">
        <v>0.29274320748267857</v>
      </c>
      <c r="AO36" s="44">
        <v>0.29312910387950097</v>
      </c>
      <c r="AP36" s="44">
        <v>0.29366992707157902</v>
      </c>
      <c r="AQ36" s="44">
        <v>0.29432704914646229</v>
      </c>
      <c r="AR36" s="44">
        <v>0.29485936320241996</v>
      </c>
      <c r="AS36" s="44">
        <v>0.29533571987208046</v>
      </c>
      <c r="AT36" s="44">
        <v>0.29551349067103977</v>
      </c>
      <c r="AU36" s="44">
        <v>0.29565602417909459</v>
      </c>
      <c r="AV36" s="113">
        <v>0.29637710162885617</v>
      </c>
      <c r="AW36" s="44">
        <v>0.29750472281697604</v>
      </c>
      <c r="AX36" s="38">
        <v>0.29784655937308852</v>
      </c>
      <c r="AY36" s="38">
        <v>0.29846234740354588</v>
      </c>
      <c r="AZ36" s="38">
        <v>0.29896589821993885</v>
      </c>
      <c r="BA36" s="44">
        <v>0.29955563078943942</v>
      </c>
      <c r="BB36" s="44">
        <v>0.30011694135761308</v>
      </c>
      <c r="BC36" s="44">
        <v>0.30059164104617758</v>
      </c>
      <c r="BD36" s="44">
        <v>0.30105977863779054</v>
      </c>
      <c r="BE36" s="44">
        <v>0.30177633460241388</v>
      </c>
      <c r="BF36" s="44">
        <v>0.30231200197038421</v>
      </c>
      <c r="BG36" s="44">
        <v>0.30283705141437683</v>
      </c>
      <c r="BH36" s="44">
        <v>0.30373456479566668</v>
      </c>
      <c r="BI36" s="44">
        <v>0.30551908618859469</v>
      </c>
      <c r="BJ36" s="44">
        <v>0.30633607007201258</v>
      </c>
      <c r="BK36" s="126"/>
    </row>
    <row r="37" spans="1:63" s="102" customFormat="1" ht="29.25" customHeight="1">
      <c r="A37" s="45" t="s">
        <v>15</v>
      </c>
      <c r="B37" s="47">
        <v>0.23100000000000001</v>
      </c>
      <c r="C37" s="47">
        <v>0.23200000000000001</v>
      </c>
      <c r="D37" s="47">
        <v>0.23400000000000001</v>
      </c>
      <c r="E37" s="47">
        <v>0.23499999999999999</v>
      </c>
      <c r="F37" s="47">
        <v>0.23599999999999999</v>
      </c>
      <c r="G37" s="47">
        <v>0.23699999999999999</v>
      </c>
      <c r="H37" s="47">
        <v>0.23799999999999999</v>
      </c>
      <c r="I37" s="47">
        <v>0.23859406758903459</v>
      </c>
      <c r="J37" s="47">
        <v>0.23899999999999999</v>
      </c>
      <c r="K37" s="47">
        <v>0.23997102385911004</v>
      </c>
      <c r="L37" s="47">
        <v>0.24135444785357735</v>
      </c>
      <c r="M37" s="47">
        <v>0.24210870973086132</v>
      </c>
      <c r="N37" s="47">
        <v>0.24298301859103139</v>
      </c>
      <c r="O37" s="47">
        <v>0.24382250634175093</v>
      </c>
      <c r="P37" s="47">
        <v>0.24460202846357251</v>
      </c>
      <c r="Q37" s="47">
        <v>0.24495767513748817</v>
      </c>
      <c r="R37" s="47">
        <v>0.24455601205776561</v>
      </c>
      <c r="S37" s="47">
        <v>0.24478298736220599</v>
      </c>
      <c r="T37" s="47">
        <v>0.24530830069303999</v>
      </c>
      <c r="U37" s="47">
        <v>0.245985396389726</v>
      </c>
      <c r="V37" s="47">
        <v>0.24664671005676869</v>
      </c>
      <c r="W37" s="47">
        <v>0.24737386505489092</v>
      </c>
      <c r="X37" s="47">
        <v>0.24807644401567</v>
      </c>
      <c r="Y37" s="47">
        <v>0.24841258368932481</v>
      </c>
      <c r="Z37" s="47">
        <v>0.24937570375502036</v>
      </c>
      <c r="AA37" s="47">
        <v>0.25010124631784719</v>
      </c>
      <c r="AB37" s="47">
        <v>0.25097687102430893</v>
      </c>
      <c r="AC37" s="47">
        <v>0.25187816136642627</v>
      </c>
      <c r="AD37" s="47">
        <v>0.25252957128744791</v>
      </c>
      <c r="AE37" s="47">
        <v>0.25294717421455903</v>
      </c>
      <c r="AF37" s="47">
        <v>0.25333287817138472</v>
      </c>
      <c r="AG37" s="47">
        <v>0.25369857911826788</v>
      </c>
      <c r="AH37" s="47">
        <v>0.25387569605954374</v>
      </c>
      <c r="AI37" s="47">
        <v>0.2541438067792805</v>
      </c>
      <c r="AJ37" s="47">
        <v>0.25454461964756719</v>
      </c>
      <c r="AK37" s="47">
        <v>0.25533248432562422</v>
      </c>
      <c r="AL37" s="47">
        <v>0.2559376047961916</v>
      </c>
      <c r="AM37" s="47">
        <v>0.25656937712019473</v>
      </c>
      <c r="AN37" s="47">
        <v>0.25700723944159287</v>
      </c>
      <c r="AO37" s="47">
        <v>0.25750963095711865</v>
      </c>
      <c r="AP37" s="47">
        <v>0.25724192197781598</v>
      </c>
      <c r="AQ37" s="47">
        <v>0.25718643032474697</v>
      </c>
      <c r="AR37" s="47">
        <v>0.25748819018037805</v>
      </c>
      <c r="AS37" s="47">
        <v>0.25769338922534585</v>
      </c>
      <c r="AT37" s="47">
        <v>0.25779327966216642</v>
      </c>
      <c r="AU37" s="47">
        <v>0.25801377823298777</v>
      </c>
      <c r="AV37" s="114">
        <v>0.25852600217110888</v>
      </c>
      <c r="AW37" s="47">
        <v>0.25924206404590178</v>
      </c>
      <c r="AX37" s="46">
        <v>0.25923251423130411</v>
      </c>
      <c r="AY37" s="46">
        <v>0.25905107650001991</v>
      </c>
      <c r="AZ37" s="46">
        <v>0.25894068061494502</v>
      </c>
      <c r="BA37" s="47">
        <v>0.25838538808271427</v>
      </c>
      <c r="BB37" s="47">
        <v>0.25764076104040556</v>
      </c>
      <c r="BC37" s="47">
        <v>0.25629838441653613</v>
      </c>
      <c r="BD37" s="47">
        <v>0.2559487990198912</v>
      </c>
      <c r="BE37" s="47">
        <v>0.25517617059089048</v>
      </c>
      <c r="BF37" s="47">
        <v>0.25478439922765989</v>
      </c>
      <c r="BG37" s="47">
        <v>0.2543665766307035</v>
      </c>
      <c r="BH37" s="47">
        <v>0.25369521963978836</v>
      </c>
      <c r="BI37" s="47">
        <v>0.25144069460909874</v>
      </c>
      <c r="BJ37" s="47">
        <v>0.25125788161282464</v>
      </c>
      <c r="BK37" s="127"/>
    </row>
    <row r="38" spans="1:63" s="98" customFormat="1" ht="23.25" customHeight="1">
      <c r="A38" s="99" t="s">
        <v>51</v>
      </c>
    </row>
    <row r="39" spans="1:63" s="89" customFormat="1" ht="15" customHeight="1">
      <c r="A39" s="95"/>
    </row>
  </sheetData>
  <phoneticPr fontId="2" type="noConversion"/>
  <pageMargins left="0.7" right="0.7" top="0.75" bottom="0.75" header="0.3" footer="0.3"/>
  <pageSetup paperSize="9" scale="3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39"/>
  <sheetViews>
    <sheetView showGridLines="0" view="pageBreakPreview" topLeftCell="A10" zoomScale="55" zoomScaleNormal="60" zoomScaleSheetLayoutView="55" workbookViewId="0">
      <selection activeCell="A2" sqref="A2"/>
    </sheetView>
  </sheetViews>
  <sheetFormatPr defaultColWidth="9" defaultRowHeight="18.75" customHeight="1"/>
  <cols>
    <col min="1" max="1" width="41.3984375" style="92" customWidth="1"/>
    <col min="2" max="2" width="14.8984375" style="92" hidden="1" customWidth="1"/>
    <col min="3" max="3" width="15.09765625" style="92" hidden="1" customWidth="1"/>
    <col min="4" max="4" width="14.8984375" style="92" hidden="1" customWidth="1"/>
    <col min="5" max="9" width="15.09765625" style="92" hidden="1" customWidth="1"/>
    <col min="10" max="18" width="15.09765625" style="92" customWidth="1"/>
    <col min="19" max="19" width="14.3984375" style="92" customWidth="1"/>
    <col min="20" max="20" width="13.5" style="92" customWidth="1"/>
    <col min="21" max="21" width="15" style="92" customWidth="1"/>
    <col min="22" max="16384" width="9" style="92"/>
  </cols>
  <sheetData>
    <row r="1" spans="1:22" s="93" customFormat="1" ht="46.5" customHeight="1">
      <c r="A1" s="1" t="s">
        <v>103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49"/>
      <c r="T1" s="49"/>
      <c r="U1" s="49"/>
    </row>
    <row r="2" spans="1:22" s="71" customFormat="1" ht="27.75" customHeight="1"/>
    <row r="3" spans="1:22" s="71" customFormat="1" ht="31.5" customHeight="1">
      <c r="A3" s="50" t="s">
        <v>18</v>
      </c>
      <c r="B3" s="4">
        <v>2018</v>
      </c>
      <c r="F3" s="4">
        <v>2019</v>
      </c>
      <c r="G3" s="6"/>
      <c r="H3" s="6"/>
      <c r="I3" s="6"/>
      <c r="J3" s="4">
        <v>2020</v>
      </c>
      <c r="N3" s="4">
        <v>2021</v>
      </c>
      <c r="R3" s="4">
        <v>2022</v>
      </c>
    </row>
    <row r="4" spans="1:22" s="88" customFormat="1" ht="31.5" customHeight="1">
      <c r="A4" s="51" t="s">
        <v>26</v>
      </c>
      <c r="B4" s="52" t="s">
        <v>54</v>
      </c>
      <c r="C4" s="52" t="s">
        <v>55</v>
      </c>
      <c r="D4" s="52" t="s">
        <v>56</v>
      </c>
      <c r="E4" s="52" t="s">
        <v>57</v>
      </c>
      <c r="F4" s="8" t="s">
        <v>52</v>
      </c>
      <c r="G4" s="8" t="s">
        <v>53</v>
      </c>
      <c r="H4" s="8" t="s">
        <v>50</v>
      </c>
      <c r="I4" s="8" t="s">
        <v>71</v>
      </c>
      <c r="J4" s="52" t="s">
        <v>74</v>
      </c>
      <c r="K4" s="52" t="s">
        <v>78</v>
      </c>
      <c r="L4" s="52" t="s">
        <v>79</v>
      </c>
      <c r="M4" s="52" t="s">
        <v>82</v>
      </c>
      <c r="N4" s="52" t="s">
        <v>84</v>
      </c>
      <c r="O4" s="52" t="s">
        <v>87</v>
      </c>
      <c r="P4" s="52" t="s">
        <v>88</v>
      </c>
      <c r="Q4" s="52" t="s">
        <v>90</v>
      </c>
      <c r="R4" s="52" t="s">
        <v>94</v>
      </c>
      <c r="S4" s="52" t="s">
        <v>98</v>
      </c>
      <c r="T4" s="52" t="s">
        <v>99</v>
      </c>
      <c r="U4" s="52" t="s">
        <v>100</v>
      </c>
    </row>
    <row r="5" spans="1:22" s="89" customFormat="1" ht="31.5" customHeight="1">
      <c r="A5" s="53" t="s">
        <v>27</v>
      </c>
      <c r="B5" s="54">
        <v>20623.074000000001</v>
      </c>
      <c r="C5" s="54">
        <v>20787.13</v>
      </c>
      <c r="D5" s="54">
        <v>20960.143</v>
      </c>
      <c r="E5" s="54">
        <v>21138.47</v>
      </c>
      <c r="F5" s="54">
        <v>21333.414000000001</v>
      </c>
      <c r="G5" s="54">
        <v>21549.275000000001</v>
      </c>
      <c r="H5" s="54">
        <v>21771.395</v>
      </c>
      <c r="I5" s="54">
        <v>21921.725999999999</v>
      </c>
      <c r="J5" s="109">
        <v>21976.346000000001</v>
      </c>
      <c r="K5" s="109">
        <v>22133.418000000001</v>
      </c>
      <c r="L5" s="109">
        <v>22332.94</v>
      </c>
      <c r="M5" s="109">
        <v>22305.196</v>
      </c>
      <c r="N5" s="109">
        <v>22427.228999999999</v>
      </c>
      <c r="O5" s="110">
        <v>22621.043000000001</v>
      </c>
      <c r="P5" s="110">
        <v>22735.419000000002</v>
      </c>
      <c r="Q5" s="108">
        <v>22798.972000000002</v>
      </c>
      <c r="R5" s="108">
        <v>23059.858</v>
      </c>
      <c r="S5" s="108">
        <v>23408.751</v>
      </c>
      <c r="T5" s="108">
        <v>23826.744999999999</v>
      </c>
      <c r="U5" s="108">
        <f>24062220/1000</f>
        <v>24062.22</v>
      </c>
    </row>
    <row r="6" spans="1:22" s="89" customFormat="1" ht="31.5" customHeight="1">
      <c r="A6" s="132" t="s">
        <v>28</v>
      </c>
      <c r="B6" s="133">
        <v>4511.5660000000007</v>
      </c>
      <c r="C6" s="134">
        <v>4438.2840000000015</v>
      </c>
      <c r="D6" s="134">
        <v>4308.1679999999978</v>
      </c>
      <c r="E6" s="134">
        <v>4149.0349999999999</v>
      </c>
      <c r="F6" s="133">
        <v>3940.6840000000002</v>
      </c>
      <c r="G6" s="133">
        <v>3747.395</v>
      </c>
      <c r="H6" s="133">
        <v>3546.9850000000001</v>
      </c>
      <c r="I6" s="133">
        <v>3349.8649999999998</v>
      </c>
      <c r="J6" s="135">
        <v>3163.1990000000001</v>
      </c>
      <c r="K6" s="135">
        <v>2942.4279999999999</v>
      </c>
      <c r="L6" s="135">
        <v>2746.404</v>
      </c>
      <c r="M6" s="135">
        <v>2512.4290000000001</v>
      </c>
      <c r="N6" s="135">
        <v>2283.9279999999999</v>
      </c>
      <c r="O6" s="136">
        <v>2103.7159999999999</v>
      </c>
      <c r="P6" s="136">
        <v>1957.6659999999999</v>
      </c>
      <c r="Q6" s="137">
        <v>1759.5460000000021</v>
      </c>
      <c r="R6" s="137">
        <v>1657.1880000000001</v>
      </c>
      <c r="S6" s="137">
        <v>1572.25</v>
      </c>
      <c r="T6" s="137">
        <v>1472.1420000000001</v>
      </c>
      <c r="U6" s="138">
        <v>1318400</v>
      </c>
    </row>
    <row r="7" spans="1:22" s="89" customFormat="1" ht="31.5" customHeight="1">
      <c r="A7" s="55" t="s">
        <v>29</v>
      </c>
      <c r="B7" s="56">
        <v>15866.724</v>
      </c>
      <c r="C7" s="56">
        <v>16223.781999999999</v>
      </c>
      <c r="D7" s="56">
        <v>16611.598000000002</v>
      </c>
      <c r="E7" s="56">
        <v>16971.134999999998</v>
      </c>
      <c r="F7" s="56">
        <v>17392.73</v>
      </c>
      <c r="G7" s="56">
        <v>17382.563999999998</v>
      </c>
      <c r="H7" s="56">
        <v>17169.25</v>
      </c>
      <c r="I7" s="56">
        <v>17152.523000000001</v>
      </c>
      <c r="J7" s="111">
        <v>17034.603999999999</v>
      </c>
      <c r="K7" s="111">
        <v>16953.513999999999</v>
      </c>
      <c r="L7" s="111">
        <v>16773.654999999999</v>
      </c>
      <c r="M7" s="111">
        <v>16173.61</v>
      </c>
      <c r="N7" s="111">
        <v>15739.071</v>
      </c>
      <c r="O7" s="111">
        <v>15503.661</v>
      </c>
      <c r="P7" s="111">
        <v>15160.852000000001</v>
      </c>
      <c r="Q7" s="115">
        <v>14661.755999999999</v>
      </c>
      <c r="R7" s="115">
        <v>14453.78</v>
      </c>
      <c r="S7" s="115">
        <v>14357.119000000001</v>
      </c>
      <c r="T7" s="115">
        <v>14392.453</v>
      </c>
      <c r="U7" s="129">
        <v>14260749</v>
      </c>
    </row>
    <row r="8" spans="1:22" s="89" customFormat="1" ht="31.5" customHeight="1">
      <c r="A8" s="57" t="s">
        <v>47</v>
      </c>
      <c r="B8" s="58" t="s">
        <v>48</v>
      </c>
      <c r="C8" s="58" t="s">
        <v>48</v>
      </c>
      <c r="D8" s="58" t="s">
        <v>48</v>
      </c>
      <c r="E8" s="58" t="s">
        <v>48</v>
      </c>
      <c r="F8" s="58" t="s">
        <v>48</v>
      </c>
      <c r="G8" s="58">
        <v>419.31599999999997</v>
      </c>
      <c r="H8" s="58">
        <v>1055.1600000000001</v>
      </c>
      <c r="I8" s="58">
        <v>1419.338</v>
      </c>
      <c r="J8" s="139">
        <v>1778.5429999999999</v>
      </c>
      <c r="K8" s="139">
        <v>2237.4760000000001</v>
      </c>
      <c r="L8" s="139">
        <v>2812.8809999999999</v>
      </c>
      <c r="M8" s="139">
        <v>3619.1570000000002</v>
      </c>
      <c r="N8" s="139">
        <v>4404.2299999999996</v>
      </c>
      <c r="O8" s="139">
        <v>5013.6660000000002</v>
      </c>
      <c r="P8" s="139">
        <v>5616.9009999999998</v>
      </c>
      <c r="Q8" s="140">
        <v>6377.67</v>
      </c>
      <c r="R8" s="140">
        <v>6948.89</v>
      </c>
      <c r="S8" s="140">
        <v>7479.3819999999996</v>
      </c>
      <c r="T8" s="140">
        <v>7962.15</v>
      </c>
      <c r="U8" s="141">
        <v>8483071</v>
      </c>
    </row>
    <row r="9" spans="1:22" s="98" customFormat="1" ht="23.25" customHeight="1">
      <c r="A9" s="99" t="s">
        <v>101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</row>
    <row r="10" spans="1:22" s="89" customFormat="1" ht="15" customHeight="1">
      <c r="A10" s="95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</row>
    <row r="11" spans="1:22" s="89" customFormat="1" ht="31.5" customHeight="1">
      <c r="A11" s="96"/>
      <c r="B11" s="4">
        <v>2018</v>
      </c>
      <c r="C11" s="71"/>
      <c r="D11" s="71"/>
      <c r="E11" s="71"/>
      <c r="F11" s="4">
        <v>2019</v>
      </c>
      <c r="G11" s="6"/>
      <c r="H11" s="6"/>
      <c r="I11" s="6"/>
      <c r="J11" s="4">
        <v>2020</v>
      </c>
      <c r="K11" s="71"/>
      <c r="L11" s="71"/>
      <c r="M11" s="71"/>
      <c r="N11" s="4">
        <v>2021</v>
      </c>
      <c r="O11" s="71"/>
      <c r="P11" s="71"/>
      <c r="Q11" s="71"/>
      <c r="R11" s="4">
        <v>2022</v>
      </c>
    </row>
    <row r="12" spans="1:22" s="89" customFormat="1" ht="31.5" customHeight="1">
      <c r="A12" s="51" t="s">
        <v>30</v>
      </c>
      <c r="B12" s="52" t="s">
        <v>58</v>
      </c>
      <c r="C12" s="52" t="s">
        <v>59</v>
      </c>
      <c r="D12" s="52" t="s">
        <v>60</v>
      </c>
      <c r="E12" s="52" t="s">
        <v>61</v>
      </c>
      <c r="F12" s="8" t="s">
        <v>62</v>
      </c>
      <c r="G12" s="8" t="s">
        <v>53</v>
      </c>
      <c r="H12" s="8" t="s">
        <v>63</v>
      </c>
      <c r="I12" s="8" t="s">
        <v>71</v>
      </c>
      <c r="J12" s="52" t="s">
        <v>75</v>
      </c>
      <c r="K12" s="52" t="s">
        <v>78</v>
      </c>
      <c r="L12" s="52" t="s">
        <v>80</v>
      </c>
      <c r="M12" s="52" t="s">
        <v>83</v>
      </c>
      <c r="N12" s="52" t="s">
        <v>84</v>
      </c>
      <c r="O12" s="52" t="s">
        <v>87</v>
      </c>
      <c r="P12" s="52" t="s">
        <v>88</v>
      </c>
      <c r="Q12" s="52" t="s">
        <v>90</v>
      </c>
      <c r="R12" s="52" t="s">
        <v>94</v>
      </c>
      <c r="S12" s="52" t="s">
        <v>98</v>
      </c>
      <c r="T12" s="52" t="s">
        <v>99</v>
      </c>
      <c r="U12" s="52" t="s">
        <v>100</v>
      </c>
      <c r="V12" s="105" t="s">
        <v>77</v>
      </c>
    </row>
    <row r="13" spans="1:22" s="89" customFormat="1" ht="31.5" customHeight="1">
      <c r="A13" s="53" t="s">
        <v>31</v>
      </c>
      <c r="B13" s="61">
        <v>20378.29</v>
      </c>
      <c r="C13" s="61">
        <v>20662.065999999999</v>
      </c>
      <c r="D13" s="61">
        <v>20919.766</v>
      </c>
      <c r="E13" s="61">
        <v>21120.17</v>
      </c>
      <c r="F13" s="61">
        <v>21333.414000000001</v>
      </c>
      <c r="G13" s="61">
        <v>21549.275000000001</v>
      </c>
      <c r="H13" s="61">
        <v>21771.395</v>
      </c>
      <c r="I13" s="61">
        <v>21921.725999999999</v>
      </c>
      <c r="J13" s="54">
        <v>21976.346000000001</v>
      </c>
      <c r="K13" s="54">
        <v>22133.418000000001</v>
      </c>
      <c r="L13" s="54">
        <v>22332.94</v>
      </c>
      <c r="M13" s="54">
        <v>22305.196</v>
      </c>
      <c r="N13" s="54">
        <v>22427.228999999999</v>
      </c>
      <c r="O13" s="108">
        <v>22621.043000000001</v>
      </c>
      <c r="P13" s="108">
        <v>22735.419000000002</v>
      </c>
      <c r="Q13" s="108">
        <v>22798.972000000002</v>
      </c>
      <c r="R13" s="108">
        <v>23059.858</v>
      </c>
      <c r="S13" s="108">
        <v>23408.751</v>
      </c>
      <c r="T13" s="108">
        <v>23826.744999999999</v>
      </c>
      <c r="U13" s="108">
        <f>U5</f>
        <v>24062.22</v>
      </c>
      <c r="V13" s="89" t="s">
        <v>73</v>
      </c>
    </row>
    <row r="14" spans="1:22" s="71" customFormat="1" ht="31.5" customHeight="1">
      <c r="A14" s="62" t="s">
        <v>19</v>
      </c>
      <c r="B14" s="63">
        <v>1210.749</v>
      </c>
      <c r="C14" s="63">
        <v>1159.758</v>
      </c>
      <c r="D14" s="63">
        <v>1199.6420000000001</v>
      </c>
      <c r="E14" s="63">
        <v>1178.807</v>
      </c>
      <c r="F14" s="63">
        <v>1180.921</v>
      </c>
      <c r="G14" s="63">
        <v>1133.1869999999999</v>
      </c>
      <c r="H14" s="63">
        <v>1077.4490000000001</v>
      </c>
      <c r="I14" s="63">
        <v>1066.9449999999999</v>
      </c>
      <c r="J14" s="63">
        <v>938.32399999999996</v>
      </c>
      <c r="K14" s="63">
        <v>1030.0619999999999</v>
      </c>
      <c r="L14" s="63">
        <v>1032.7149999999999</v>
      </c>
      <c r="M14" s="63">
        <v>998.63499999999999</v>
      </c>
      <c r="N14" s="63">
        <v>1165.3820000000001</v>
      </c>
      <c r="O14" s="63">
        <v>1040.6130000000001</v>
      </c>
      <c r="P14" s="63">
        <v>985.726</v>
      </c>
      <c r="Q14" s="65">
        <v>1063.7280000000001</v>
      </c>
      <c r="R14" s="94">
        <v>1039.1780000000001</v>
      </c>
      <c r="S14" s="94">
        <v>1009.644</v>
      </c>
      <c r="T14" s="94">
        <v>983.87699999999995</v>
      </c>
      <c r="U14" s="130">
        <v>990482</v>
      </c>
    </row>
    <row r="15" spans="1:22" s="71" customFormat="1" ht="31.5" customHeight="1">
      <c r="A15" s="62" t="s">
        <v>96</v>
      </c>
      <c r="B15" s="64">
        <v>848</v>
      </c>
      <c r="C15" s="64">
        <v>875.98199999999997</v>
      </c>
      <c r="D15" s="64">
        <v>941.94200000000001</v>
      </c>
      <c r="E15" s="64">
        <v>978.40300000000002</v>
      </c>
      <c r="F15" s="64">
        <v>967.67700000000002</v>
      </c>
      <c r="G15" s="64">
        <v>917.32600000000002</v>
      </c>
      <c r="H15" s="64">
        <v>855.32899999999995</v>
      </c>
      <c r="I15" s="64">
        <v>916.62400000000002</v>
      </c>
      <c r="J15" s="64">
        <v>883.70399999999995</v>
      </c>
      <c r="K15" s="64">
        <v>872.9899999999999</v>
      </c>
      <c r="L15" s="64">
        <v>833.19299999999998</v>
      </c>
      <c r="M15" s="64">
        <v>1026.3789999999999</v>
      </c>
      <c r="N15" s="64">
        <v>1043.3489999999999</v>
      </c>
      <c r="O15" s="64">
        <v>846.79899999999998</v>
      </c>
      <c r="P15" s="64">
        <v>871.35</v>
      </c>
      <c r="Q15" s="64">
        <v>1000.175</v>
      </c>
      <c r="R15" s="94">
        <v>778.29200000000003</v>
      </c>
      <c r="S15" s="94">
        <v>660.75099999999998</v>
      </c>
      <c r="T15" s="94">
        <v>565.88300000000004</v>
      </c>
      <c r="U15" s="130">
        <v>755007</v>
      </c>
    </row>
    <row r="16" spans="1:22" s="71" customFormat="1" ht="31.5" hidden="1" customHeight="1">
      <c r="A16" s="62" t="s">
        <v>20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94">
        <v>0</v>
      </c>
      <c r="S16" s="94"/>
      <c r="T16" s="94"/>
      <c r="U16" s="130"/>
    </row>
    <row r="17" spans="1:23" s="71" customFormat="1" ht="31.5" customHeight="1">
      <c r="A17" s="67" t="s">
        <v>21</v>
      </c>
      <c r="B17" s="68">
        <v>362.81900000000002</v>
      </c>
      <c r="C17" s="68">
        <v>283.77600000000001</v>
      </c>
      <c r="D17" s="68">
        <v>257.7</v>
      </c>
      <c r="E17" s="68">
        <v>200</v>
      </c>
      <c r="F17" s="68">
        <v>213.244</v>
      </c>
      <c r="G17" s="68">
        <v>215.86099999999999</v>
      </c>
      <c r="H17" s="68">
        <v>222.12</v>
      </c>
      <c r="I17" s="68">
        <v>150.33099999999999</v>
      </c>
      <c r="J17" s="68">
        <v>54.62</v>
      </c>
      <c r="K17" s="68">
        <v>157.072</v>
      </c>
      <c r="L17" s="68">
        <v>199.52199999999999</v>
      </c>
      <c r="M17" s="68">
        <v>-27.744</v>
      </c>
      <c r="N17" s="68">
        <v>122.033</v>
      </c>
      <c r="O17" s="68">
        <v>193.81399999999999</v>
      </c>
      <c r="P17" s="68">
        <v>114.376</v>
      </c>
      <c r="Q17" s="68">
        <v>63.552999999999997</v>
      </c>
      <c r="R17" s="68">
        <v>260.88600000000002</v>
      </c>
      <c r="S17" s="68">
        <v>348.89299999999997</v>
      </c>
      <c r="T17" s="68">
        <v>417.99400000000003</v>
      </c>
      <c r="U17" s="131">
        <f>U14-U15</f>
        <v>235475</v>
      </c>
    </row>
    <row r="18" spans="1:23" s="98" customFormat="1" ht="23.25" customHeight="1">
      <c r="A18" s="99" t="s">
        <v>45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</row>
    <row r="19" spans="1:23" s="89" customFormat="1" ht="15" customHeight="1">
      <c r="A19" s="95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W19" s="98"/>
    </row>
    <row r="20" spans="1:23" s="88" customFormat="1" ht="22.5" customHeight="1">
      <c r="A20" s="70" t="s">
        <v>32</v>
      </c>
      <c r="B20" s="69">
        <v>1.4E-2</v>
      </c>
      <c r="C20" s="69">
        <v>1.4E-2</v>
      </c>
      <c r="D20" s="69">
        <v>1.4999999999999999E-2</v>
      </c>
      <c r="E20" s="69">
        <v>1.6E-2</v>
      </c>
      <c r="F20" s="69">
        <v>1.4999999999999999E-2</v>
      </c>
      <c r="G20" s="69">
        <v>1.4E-2</v>
      </c>
      <c r="H20" s="69">
        <v>1.2999999999999999E-2</v>
      </c>
      <c r="I20" s="69">
        <v>1.4E-2</v>
      </c>
      <c r="J20" s="69">
        <v>1.2999999999999999E-2</v>
      </c>
      <c r="K20" s="69">
        <v>1.2999999999999999E-2</v>
      </c>
      <c r="L20" s="69">
        <v>1.2E-2</v>
      </c>
      <c r="M20" s="69">
        <v>1.5310262761664223E-2</v>
      </c>
      <c r="N20" s="69">
        <v>1.5550109763663028E-2</v>
      </c>
      <c r="O20" s="69">
        <v>1.25361604827423E-2</v>
      </c>
      <c r="P20" s="69">
        <v>1.2808841791040556E-2</v>
      </c>
      <c r="Q20" s="69">
        <v>1.4644803567079931E-2</v>
      </c>
      <c r="R20" s="69">
        <v>1.1304262762234623E-2</v>
      </c>
      <c r="S20" s="69">
        <v>9.4559979034747315E-3</v>
      </c>
      <c r="T20" s="69">
        <v>7.9782304268682866E-3</v>
      </c>
      <c r="U20" s="69">
        <v>1.0500032326489847E-2</v>
      </c>
    </row>
    <row r="21" spans="1:23" s="89" customFormat="1" ht="15" customHeight="1">
      <c r="A21" s="95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1:23" s="71" customFormat="1" ht="31.5" customHeight="1">
      <c r="A22" s="50" t="s">
        <v>33</v>
      </c>
      <c r="B22" s="4">
        <v>2018</v>
      </c>
      <c r="F22" s="4">
        <v>2019</v>
      </c>
      <c r="G22" s="6"/>
      <c r="H22" s="6"/>
      <c r="I22" s="6"/>
      <c r="J22" s="4">
        <v>2020</v>
      </c>
      <c r="N22" s="4">
        <v>2021</v>
      </c>
      <c r="R22" s="4">
        <v>2022</v>
      </c>
    </row>
    <row r="23" spans="1:23" s="88" customFormat="1" ht="31.5" customHeight="1">
      <c r="A23" s="72" t="s">
        <v>34</v>
      </c>
      <c r="B23" s="52" t="s">
        <v>64</v>
      </c>
      <c r="C23" s="52" t="s">
        <v>65</v>
      </c>
      <c r="D23" s="52" t="s">
        <v>66</v>
      </c>
      <c r="E23" s="52" t="s">
        <v>67</v>
      </c>
      <c r="F23" s="8" t="s">
        <v>68</v>
      </c>
      <c r="G23" s="8" t="s">
        <v>69</v>
      </c>
      <c r="H23" s="8" t="s">
        <v>70</v>
      </c>
      <c r="I23" s="8" t="s">
        <v>72</v>
      </c>
      <c r="J23" s="52" t="s">
        <v>76</v>
      </c>
      <c r="K23" s="52" t="s">
        <v>78</v>
      </c>
      <c r="L23" s="52" t="s">
        <v>81</v>
      </c>
      <c r="M23" s="52" t="s">
        <v>82</v>
      </c>
      <c r="N23" s="52" t="s">
        <v>85</v>
      </c>
      <c r="O23" s="52" t="s">
        <v>87</v>
      </c>
      <c r="P23" s="52" t="s">
        <v>88</v>
      </c>
      <c r="Q23" s="52" t="s">
        <v>90</v>
      </c>
      <c r="R23" s="52" t="s">
        <v>95</v>
      </c>
      <c r="S23" s="52" t="s">
        <v>98</v>
      </c>
      <c r="T23" s="52" t="s">
        <v>99</v>
      </c>
      <c r="U23" s="52" t="s">
        <v>100</v>
      </c>
      <c r="W23" s="88" t="s">
        <v>86</v>
      </c>
    </row>
    <row r="24" spans="1:23" s="71" customFormat="1" ht="31.5" hidden="1" customHeight="1">
      <c r="A24" s="73" t="s">
        <v>35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</row>
    <row r="25" spans="1:23" s="71" customFormat="1" ht="31.5" hidden="1" customHeight="1">
      <c r="A25" s="75" t="s">
        <v>22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</row>
    <row r="26" spans="1:23" s="71" customFormat="1" ht="31.5" hidden="1" customHeight="1">
      <c r="A26" s="75" t="s">
        <v>23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</row>
    <row r="27" spans="1:23" s="90" customFormat="1" ht="31.5" hidden="1" customHeight="1">
      <c r="A27" s="75" t="s">
        <v>36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</row>
    <row r="28" spans="1:23" s="71" customFormat="1" ht="31.5" hidden="1" customHeight="1">
      <c r="A28" s="77" t="s">
        <v>37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</row>
    <row r="29" spans="1:23" s="71" customFormat="1" ht="31.5" hidden="1" customHeight="1">
      <c r="A29" s="73" t="s">
        <v>38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</row>
    <row r="30" spans="1:23" s="71" customFormat="1" ht="31.5" hidden="1" customHeight="1">
      <c r="A30" s="75" t="s">
        <v>24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</row>
    <row r="31" spans="1:23" s="71" customFormat="1" ht="31.5" hidden="1" customHeight="1">
      <c r="A31" s="77" t="s">
        <v>25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</row>
    <row r="32" spans="1:23" s="71" customFormat="1" ht="8.25" hidden="1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</row>
    <row r="33" spans="1:21" s="71" customFormat="1" ht="22.5" hidden="1" customHeight="1">
      <c r="A33" s="82" t="s">
        <v>39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</row>
    <row r="34" spans="1:21" s="71" customFormat="1" ht="22.5" hidden="1" customHeight="1">
      <c r="A34" s="84" t="s">
        <v>40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s="71" customFormat="1" ht="31.5" customHeight="1">
      <c r="A35" s="59" t="s">
        <v>41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</row>
    <row r="36" spans="1:21" s="91" customFormat="1" ht="31.5" customHeight="1">
      <c r="A36" s="117" t="s">
        <v>97</v>
      </c>
      <c r="B36" s="87"/>
      <c r="C36" s="87"/>
      <c r="D36" s="87"/>
      <c r="E36" s="87"/>
      <c r="F36" s="87"/>
      <c r="G36" s="87"/>
      <c r="H36" s="87"/>
      <c r="I36" s="87"/>
      <c r="J36" s="87">
        <v>31047.535232711263</v>
      </c>
      <c r="K36" s="87">
        <v>30656.944430499378</v>
      </c>
      <c r="L36" s="87">
        <v>30815.52324865833</v>
      </c>
      <c r="M36" s="87">
        <v>31109</v>
      </c>
      <c r="N36" s="87">
        <v>31151</v>
      </c>
      <c r="O36" s="87">
        <v>31429</v>
      </c>
      <c r="P36" s="87">
        <v>31815</v>
      </c>
      <c r="Q36" s="87">
        <v>31825</v>
      </c>
      <c r="R36" s="87">
        <v>32308.38615118797</v>
      </c>
      <c r="S36" s="87">
        <v>32446</v>
      </c>
      <c r="T36" s="87">
        <v>32916.998590049174</v>
      </c>
      <c r="U36" s="87">
        <v>33542</v>
      </c>
    </row>
    <row r="37" spans="1:21" s="98" customFormat="1" ht="23.25" customHeight="1">
      <c r="A37" s="104" t="s">
        <v>91</v>
      </c>
      <c r="B37" s="97"/>
      <c r="C37" s="97"/>
      <c r="D37" s="97"/>
      <c r="E37" s="97"/>
      <c r="F37" s="97"/>
      <c r="G37" s="97"/>
      <c r="H37" s="97"/>
      <c r="I37" s="97"/>
      <c r="J37" s="97"/>
    </row>
    <row r="38" spans="1:21" s="98" customFormat="1" ht="23.25" customHeight="1">
      <c r="A38" s="99" t="s">
        <v>93</v>
      </c>
      <c r="B38" s="97"/>
      <c r="C38" s="97"/>
      <c r="D38" s="97"/>
      <c r="E38" s="97"/>
      <c r="F38" s="97"/>
      <c r="G38" s="97"/>
      <c r="H38" s="97"/>
      <c r="I38" s="97"/>
      <c r="J38" s="97"/>
    </row>
    <row r="39" spans="1:21" s="98" customFormat="1" ht="23.25" customHeight="1">
      <c r="A39" s="99" t="s">
        <v>92</v>
      </c>
      <c r="B39" s="97"/>
      <c r="C39" s="97"/>
      <c r="D39" s="97"/>
      <c r="E39" s="97"/>
      <c r="F39" s="97"/>
      <c r="G39" s="97"/>
      <c r="H39" s="97"/>
      <c r="I39" s="97"/>
      <c r="J39" s="97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김주혜(IR2팀)</cp:lastModifiedBy>
  <cp:lastPrinted>2022-05-02T04:43:26Z</cp:lastPrinted>
  <dcterms:created xsi:type="dcterms:W3CDTF">2016-04-15T08:39:09Z</dcterms:created>
  <dcterms:modified xsi:type="dcterms:W3CDTF">2023-03-22T00:48:47Z</dcterms:modified>
</cp:coreProperties>
</file>