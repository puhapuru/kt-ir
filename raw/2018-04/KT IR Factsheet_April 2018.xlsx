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IR\Factsheet\"/>
    </mc:Choice>
  </mc:AlternateContent>
  <bookViews>
    <workbookView xWindow="12348" yWindow="72" windowWidth="11688" windowHeight="9912" activeTab="1"/>
  </bookViews>
  <sheets>
    <sheet name="Fixed(M)" sheetId="1" r:id="rId1"/>
    <sheet name="Wireless(Q)" sheetId="2" r:id="rId2"/>
  </sheets>
  <definedNames>
    <definedName name="_xlnm.Print_Area" localSheetId="0">'Fixed(M)'!$A$1:$FE$41</definedName>
  </definedNames>
  <calcPr calcId="152511"/>
</workbook>
</file>

<file path=xl/calcChain.xml><?xml version="1.0" encoding="utf-8"?>
<calcChain xmlns="http://schemas.openxmlformats.org/spreadsheetml/2006/main">
  <c r="AP5" i="2" l="1"/>
  <c r="AO5" i="2" l="1"/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</calcChain>
</file>

<file path=xl/sharedStrings.xml><?xml version="1.0" encoding="utf-8"?>
<sst xmlns="http://schemas.openxmlformats.org/spreadsheetml/2006/main" count="207" uniqueCount="122">
  <si>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</si>
  <si>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</si>
  <si>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</si>
  <si>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</si>
  <si>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</si>
  <si>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</si>
  <si>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</si>
  <si>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</si>
  <si>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</si>
  <si>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</si>
  <si>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</si>
  <si>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</si>
  <si>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</si>
  <si>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</si>
  <si>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</si>
  <si>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</si>
  <si>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</si>
  <si>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</si>
  <si>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</si>
  <si>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</si>
  <si>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</si>
  <si>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</si>
  <si>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</si>
  <si>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</si>
  <si>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</si>
  <si>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</si>
  <si>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</si>
  <si>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</si>
  <si>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</si>
  <si>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</si>
  <si>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</si>
  <si>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</si>
  <si>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</si>
  <si>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</si>
  <si>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</si>
  <si>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</si>
  <si>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</si>
  <si>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</si>
  <si>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</si>
  <si>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</si>
  <si>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</si>
  <si>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</si>
  <si>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</si>
  <si>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</si>
  <si>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</si>
  <si>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</si>
  <si>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</si>
  <si>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</si>
  <si>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</si>
  <si>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</si>
  <si>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</si>
  <si>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</si>
  <si>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</si>
  <si>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</si>
  <si>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</si>
  <si>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</si>
  <si>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</si>
  <si>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</si>
  <si>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</si>
  <si>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</si>
  <si>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</si>
  <si>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</si>
  <si>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</si>
  <si>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</si>
  <si>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</si>
  <si>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</si>
  <si>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</si>
  <si>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</si>
  <si>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</si>
  <si>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</si>
  <si>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</si>
  <si>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</si>
  <si>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</si>
  <si>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</si>
  <si>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</si>
  <si>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</si>
  <si>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</si>
  <si>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</si>
  <si>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</si>
  <si>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</si>
  <si>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</si>
  <si>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</si>
  <si>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</si>
  <si>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</si>
  <si>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</si>
  <si>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</si>
  <si>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</si>
  <si>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</si>
  <si>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</si>
  <si>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</si>
  <si>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</si>
  <si>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</si>
  <si>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</si>
  <si>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</si>
  <si>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</si>
  <si>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</si>
  <si>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</si>
  <si>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</si>
  <si>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</si>
  <si>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</si>
  <si>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</si>
  <si>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</si>
  <si>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</si>
  <si>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</si>
  <si>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</si>
  <si>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</si>
  <si>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</si>
  <si>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</si>
  <si>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</si>
  <si>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</si>
  <si>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</si>
  <si>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</si>
  <si>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</si>
  <si>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2Q 17</t>
    <phoneticPr fontId="5" type="noConversion"/>
  </si>
  <si>
    <t>3Q 17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</si>
  <si>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</si>
  <si>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</si>
  <si>
    <t>4Q 17</t>
    <phoneticPr fontId="5" type="noConversion"/>
  </si>
  <si>
    <t>1Q 18</t>
    <phoneticPr fontId="5" type="noConversion"/>
  </si>
  <si>
    <t>KT Monthly Factsheet (April 2018)</t>
    <phoneticPr fontId="5" type="noConversion"/>
  </si>
  <si>
    <t xml:space="preserve">Note 2) ARPU : Calculation based on billed subscribers (Retroactively applied from 1Q14). Handset insurance revenue and etc. retroactively adjusted from 1Q15. </t>
    <phoneticPr fontId="5" type="noConversion"/>
  </si>
  <si>
    <t xml:space="preserve">Note 3) 1Q18 ARPU based on IFRS15 is KRW 32,283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</si>
</sst>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40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6">
    <cellStyle name="9" xfId="3"/>
    <cellStyle name="백분율" xfId="2" builtinId="5"/>
    <cellStyle name="쉼표 [0]" xfId="1" builtinId="6"/>
    <cellStyle name="쉼표 [0] 36" xfId="5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160</xdr:col>
      <xdr:colOff>78122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538162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41</xdr:col>
      <xdr:colOff>414111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41</xdr:col>
      <xdr:colOff>288473</xdr:colOff>
      <xdr:row>0</xdr:row>
      <xdr:rowOff>15422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22530" y="15422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55"/>
  <sheetViews>
    <sheetView showGridLines="0" view="pageBreakPreview" topLeftCell="A23" zoomScale="60" zoomScaleNormal="30" workbookViewId="0">
      <pane xSplit="133" topLeftCell="ED1" activePane="topRight" state="frozen"/>
      <selection pane="topRight" activeCell="EW8" sqref="EW8"/>
    </sheetView>
  </sheetViews>
  <sheetFormatPr defaultColWidth="9" defaultRowHeight="30.75" customHeight="1" x14ac:dyDescent="0.4"/>
  <cols>
    <col min="1" max="1" width="35.8984375" style="115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5" width="12.59765625" style="6" hidden="1" customWidth="1"/>
    <col min="146" max="147" width="12.59765625" style="6" customWidth="1"/>
    <col min="148" max="148" width="11.69921875" style="6" bestFit="1" customWidth="1"/>
    <col min="149" max="156" width="11.69921875" style="6" customWidth="1"/>
    <col min="157" max="157" width="11.3984375" style="6" customWidth="1"/>
    <col min="158" max="161" width="11.69921875" style="6" customWidth="1"/>
    <col min="162" max="16384" width="9" style="6"/>
  </cols>
  <sheetData>
    <row r="1" spans="1:161" ht="44.25" customHeight="1" x14ac:dyDescent="0.4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61" ht="29.25" customHeight="1" x14ac:dyDescent="0.4">
      <c r="A2" s="6"/>
    </row>
    <row r="3" spans="1:161" s="9" customFormat="1" ht="24.75" customHeight="1" x14ac:dyDescent="0.4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</row>
    <row r="4" spans="1:161" s="17" customFormat="1" ht="29.25" customHeight="1" x14ac:dyDescent="0.4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</row>
    <row r="5" spans="1:161" s="17" customFormat="1" ht="29.25" customHeight="1" x14ac:dyDescent="0.4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</row>
    <row r="6" spans="1:161" s="17" customFormat="1" ht="29.25" customHeight="1" x14ac:dyDescent="0.4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</row>
    <row r="7" spans="1:161" s="17" customFormat="1" ht="29.25" customHeight="1" x14ac:dyDescent="0.4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</row>
    <row r="8" spans="1:161" s="17" customFormat="1" ht="29.25" customHeight="1" x14ac:dyDescent="0.4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</row>
    <row r="9" spans="1:161" s="31" customFormat="1" ht="29.25" customHeight="1" x14ac:dyDescent="0.4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</row>
    <row r="10" spans="1:161" s="31" customFormat="1" ht="29.25" customHeight="1" x14ac:dyDescent="0.4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</row>
    <row r="11" spans="1:161" s="17" customFormat="1" ht="29.25" customHeight="1" x14ac:dyDescent="0.4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</row>
    <row r="12" spans="1:161" s="17" customFormat="1" ht="29.25" customHeight="1" x14ac:dyDescent="0.4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</row>
    <row r="13" spans="1:161" s="17" customFormat="1" ht="20.100000000000001" customHeight="1" x14ac:dyDescent="0.4">
      <c r="A13" s="197" t="s">
        <v>116</v>
      </c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194"/>
      <c r="BZ13" s="194"/>
      <c r="CA13" s="194"/>
      <c r="CB13" s="194"/>
      <c r="CC13" s="194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4"/>
      <c r="CO13" s="194"/>
      <c r="CP13" s="194"/>
      <c r="CQ13" s="194"/>
      <c r="CR13" s="194"/>
      <c r="CS13" s="195"/>
      <c r="CT13" s="195"/>
      <c r="CU13" s="195"/>
      <c r="CV13" s="195"/>
      <c r="CW13" s="195"/>
      <c r="CX13" s="195"/>
      <c r="CY13" s="195"/>
      <c r="CZ13" s="195"/>
      <c r="DA13" s="195"/>
      <c r="DB13" s="195"/>
      <c r="DC13" s="195"/>
      <c r="DD13" s="195"/>
      <c r="DE13" s="195"/>
      <c r="DF13" s="195"/>
      <c r="DG13" s="195"/>
      <c r="DH13" s="195"/>
      <c r="DI13" s="195"/>
      <c r="DJ13" s="195"/>
      <c r="DK13" s="195"/>
      <c r="DL13" s="195"/>
      <c r="DM13" s="195"/>
      <c r="DN13" s="195"/>
      <c r="DO13" s="195"/>
      <c r="DP13" s="195"/>
      <c r="DQ13" s="195"/>
      <c r="DR13" s="195"/>
      <c r="DS13" s="195"/>
      <c r="DT13" s="195"/>
      <c r="DU13" s="195"/>
      <c r="DV13" s="195"/>
      <c r="DW13" s="195"/>
      <c r="DX13" s="195"/>
      <c r="DY13" s="195"/>
      <c r="DZ13" s="195"/>
      <c r="EA13" s="195"/>
      <c r="EB13" s="195"/>
      <c r="EC13" s="195"/>
      <c r="ED13" s="195"/>
      <c r="EE13" s="195"/>
      <c r="EF13" s="195"/>
      <c r="EG13" s="195"/>
      <c r="EH13" s="195"/>
      <c r="EI13" s="195"/>
      <c r="EJ13" s="195"/>
      <c r="EK13" s="195"/>
      <c r="EL13" s="195"/>
      <c r="EM13" s="195"/>
      <c r="EN13" s="195"/>
      <c r="EO13" s="195"/>
      <c r="EP13" s="195"/>
      <c r="EQ13" s="195"/>
      <c r="ER13" s="195"/>
      <c r="ES13" s="195"/>
      <c r="ET13" s="195"/>
      <c r="EU13" s="195"/>
      <c r="EV13" s="195"/>
      <c r="EW13" s="195"/>
      <c r="EX13" s="195"/>
      <c r="EY13" s="196"/>
      <c r="EZ13" s="195"/>
      <c r="FA13" s="196"/>
      <c r="FB13" s="196"/>
      <c r="FC13" s="196"/>
      <c r="FD13" s="196"/>
      <c r="FE13" s="196"/>
    </row>
    <row r="14" spans="1:161" s="17" customFormat="1" ht="24.75" customHeight="1" x14ac:dyDescent="0.4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</row>
    <row r="15" spans="1:161" s="39" customFormat="1" ht="24.75" customHeight="1" x14ac:dyDescent="0.4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</row>
    <row r="16" spans="1:161" s="41" customFormat="1" ht="29.25" customHeight="1" x14ac:dyDescent="0.4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</row>
    <row r="17" spans="1:161" s="43" customFormat="1" ht="29.25" customHeight="1" x14ac:dyDescent="0.4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</row>
    <row r="18" spans="1:161" s="43" customFormat="1" ht="29.25" customHeight="1" x14ac:dyDescent="0.4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</row>
    <row r="19" spans="1:161" s="47" customFormat="1" ht="29.25" hidden="1" customHeight="1" x14ac:dyDescent="0.4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</row>
    <row r="20" spans="1:161" s="47" customFormat="1" ht="29.25" hidden="1" customHeight="1" x14ac:dyDescent="0.4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</row>
    <row r="21" spans="1:161" s="47" customFormat="1" ht="29.25" hidden="1" customHeight="1" x14ac:dyDescent="0.4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</row>
    <row r="22" spans="1:161" s="54" customFormat="1" ht="29.25" hidden="1" customHeight="1" x14ac:dyDescent="0.4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</row>
    <row r="23" spans="1:161" s="54" customFormat="1" ht="29.25" customHeight="1" x14ac:dyDescent="0.4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</row>
    <row r="24" spans="1:161" s="54" customFormat="1" ht="29.25" customHeight="1" x14ac:dyDescent="0.4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0.41299999999999998</v>
      </c>
      <c r="FC24" s="66">
        <v>0.41099999999999998</v>
      </c>
      <c r="FD24" s="66">
        <v>0.40799999999999997</v>
      </c>
      <c r="FE24" s="66"/>
    </row>
    <row r="25" spans="1:161" s="54" customFormat="1" ht="29.25" customHeight="1" x14ac:dyDescent="0.4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0.25700000000000001</v>
      </c>
      <c r="FC25" s="68">
        <v>0.25800000000000001</v>
      </c>
      <c r="FD25" s="68">
        <v>0.25900000000000001</v>
      </c>
      <c r="FE25" s="68"/>
    </row>
    <row r="26" spans="1:161" s="54" customFormat="1" ht="29.25" customHeight="1" x14ac:dyDescent="0.4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</v>
      </c>
      <c r="FC26" s="68">
        <v>0.182</v>
      </c>
      <c r="FD26" s="68">
        <v>0.183</v>
      </c>
      <c r="FE26" s="68"/>
    </row>
    <row r="27" spans="1:161" s="54" customFormat="1" ht="29.25" customHeight="1" x14ac:dyDescent="0.4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</v>
      </c>
      <c r="FC27" s="74">
        <v>0.14899999999999999</v>
      </c>
      <c r="FD27" s="74">
        <v>0.15</v>
      </c>
      <c r="FE27" s="74"/>
    </row>
    <row r="28" spans="1:161" s="39" customFormat="1" ht="20.100000000000001" customHeight="1" x14ac:dyDescent="0.4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</row>
    <row r="29" spans="1:161" s="39" customFormat="1" ht="20.100000000000001" customHeight="1" x14ac:dyDescent="0.4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</row>
    <row r="30" spans="1:161" s="39" customFormat="1" ht="24.75" customHeigh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</row>
    <row r="31" spans="1:161" s="39" customFormat="1" ht="24.75" customHeight="1" x14ac:dyDescent="0.4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  <c r="EZ31"/>
      <c r="FA31"/>
      <c r="FB31" s="8">
        <v>2018</v>
      </c>
      <c r="FC31" s="9"/>
      <c r="FD31" s="9"/>
      <c r="FE31" s="9"/>
    </row>
    <row r="32" spans="1:161" s="41" customFormat="1" ht="29.25" customHeight="1" x14ac:dyDescent="0.4">
      <c r="A32" s="13" t="s">
        <v>89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  <c r="EZ32" s="16">
        <v>43040</v>
      </c>
      <c r="FA32" s="16">
        <v>43070</v>
      </c>
      <c r="FB32" s="15">
        <v>43101</v>
      </c>
      <c r="FC32" s="15">
        <v>43132</v>
      </c>
      <c r="FD32" s="15">
        <v>43160</v>
      </c>
      <c r="FE32" s="15">
        <v>43191</v>
      </c>
    </row>
    <row r="33" spans="1:161" s="43" customFormat="1" ht="29.25" customHeight="1" x14ac:dyDescent="0.4">
      <c r="A33" s="42" t="s">
        <v>90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  <c r="EZ33" s="20">
        <v>7462081</v>
      </c>
      <c r="FA33" s="20">
        <v>7472147</v>
      </c>
      <c r="FB33" s="20">
        <v>7513024</v>
      </c>
      <c r="FC33" s="20">
        <v>7548729</v>
      </c>
      <c r="FD33" s="20">
        <v>7572920</v>
      </c>
      <c r="FE33" s="20">
        <v>7606278</v>
      </c>
    </row>
    <row r="34" spans="1:161" s="43" customFormat="1" ht="29.25" customHeight="1" x14ac:dyDescent="0.4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  <c r="EZ34" s="24">
        <v>33675</v>
      </c>
      <c r="FA34" s="24">
        <v>10066</v>
      </c>
      <c r="FB34" s="24">
        <v>40877</v>
      </c>
      <c r="FC34" s="24">
        <v>35705</v>
      </c>
      <c r="FD34" s="24">
        <v>24191</v>
      </c>
      <c r="FE34" s="24">
        <v>33358</v>
      </c>
    </row>
    <row r="35" spans="1:161" s="43" customFormat="1" ht="29.25" customHeight="1" x14ac:dyDescent="0.4">
      <c r="A35" s="83" t="s">
        <v>91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</row>
    <row r="36" spans="1:161" s="43" customFormat="1" ht="29.25" customHeight="1" x14ac:dyDescent="0.4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>
        <v>0.48868111800000003</v>
      </c>
      <c r="EZ36" s="88">
        <v>0.48799999999999999</v>
      </c>
      <c r="FA36" s="88">
        <v>0.48599999999999999</v>
      </c>
      <c r="FB36" s="88">
        <v>0.48499999999999999</v>
      </c>
      <c r="FC36" s="88">
        <v>0.48399999999999999</v>
      </c>
      <c r="FD36" s="88">
        <v>0.48199999999999998</v>
      </c>
      <c r="FE36" s="88"/>
    </row>
    <row r="37" spans="1:161" s="43" customFormat="1" ht="29.25" customHeight="1" x14ac:dyDescent="0.4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>
        <v>0.28374506399999999</v>
      </c>
      <c r="EZ37" s="89">
        <v>0.28399999999999997</v>
      </c>
      <c r="FA37" s="89">
        <v>0.28399999999999997</v>
      </c>
      <c r="FB37" s="89">
        <v>0.28399999999999997</v>
      </c>
      <c r="FC37" s="89">
        <v>0.28399999999999997</v>
      </c>
      <c r="FD37" s="89">
        <v>0.28399999999999997</v>
      </c>
      <c r="FE37" s="89"/>
    </row>
    <row r="38" spans="1:161" s="43" customFormat="1" ht="29.25" customHeight="1" x14ac:dyDescent="0.4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>
        <v>0.22757381800000001</v>
      </c>
      <c r="EZ38" s="93">
        <v>0.22900000000000001</v>
      </c>
      <c r="FA38" s="93">
        <v>0.23</v>
      </c>
      <c r="FB38" s="93">
        <v>0.23100000000000001</v>
      </c>
      <c r="FC38" s="93">
        <v>0.23200000000000001</v>
      </c>
      <c r="FD38" s="93">
        <v>0.23400000000000001</v>
      </c>
      <c r="FE38" s="93"/>
    </row>
    <row r="39" spans="1:161" s="43" customFormat="1" ht="20.100000000000001" customHeight="1" x14ac:dyDescent="0.4">
      <c r="A39" s="189" t="s">
        <v>115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</row>
    <row r="40" spans="1:161" s="43" customFormat="1" ht="20.100000000000001" customHeight="1" x14ac:dyDescent="0.4">
      <c r="A40" s="189" t="s">
        <v>112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</row>
    <row r="41" spans="1:161" s="43" customFormat="1" ht="24.75" customHeight="1" x14ac:dyDescent="0.4">
      <c r="A41" s="189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</row>
    <row r="42" spans="1:161" s="41" customFormat="1" ht="29.25" customHeight="1" x14ac:dyDescent="0.4">
      <c r="A42" s="94" t="s">
        <v>21</v>
      </c>
      <c r="B42" s="95">
        <v>38355</v>
      </c>
      <c r="C42" s="95">
        <v>38385</v>
      </c>
      <c r="D42" s="95">
        <v>38413</v>
      </c>
      <c r="E42" s="95">
        <v>38444</v>
      </c>
      <c r="F42" s="95">
        <v>38474</v>
      </c>
      <c r="G42" s="95">
        <v>38505</v>
      </c>
      <c r="H42" s="95">
        <v>38535</v>
      </c>
      <c r="I42" s="95">
        <v>38566</v>
      </c>
      <c r="J42" s="95">
        <v>38597</v>
      </c>
      <c r="K42" s="95">
        <v>38627</v>
      </c>
      <c r="L42" s="95">
        <v>38658</v>
      </c>
      <c r="M42" s="95">
        <v>38688</v>
      </c>
      <c r="N42" s="95">
        <v>38719</v>
      </c>
      <c r="O42" s="95">
        <v>38750</v>
      </c>
      <c r="P42" s="95">
        <v>38778</v>
      </c>
      <c r="Q42" s="95">
        <v>38809</v>
      </c>
      <c r="R42" s="95">
        <v>38839</v>
      </c>
      <c r="S42" s="95">
        <v>38870</v>
      </c>
      <c r="T42" s="95">
        <v>38900</v>
      </c>
      <c r="U42" s="95">
        <v>38931</v>
      </c>
      <c r="V42" s="95">
        <v>38962</v>
      </c>
      <c r="W42" s="95">
        <v>38992</v>
      </c>
      <c r="X42" s="95">
        <v>39023</v>
      </c>
      <c r="Y42" s="95">
        <v>39053</v>
      </c>
      <c r="Z42" s="95">
        <v>39084</v>
      </c>
      <c r="AA42" s="95">
        <v>39115</v>
      </c>
      <c r="AB42" s="95">
        <v>39143</v>
      </c>
      <c r="AC42" s="95">
        <v>39174</v>
      </c>
      <c r="AD42" s="95">
        <v>39204</v>
      </c>
      <c r="AE42" s="95">
        <v>39235</v>
      </c>
      <c r="AF42" s="95">
        <v>39264</v>
      </c>
      <c r="AG42" s="95">
        <v>39324</v>
      </c>
      <c r="AH42" s="95">
        <v>39332</v>
      </c>
      <c r="AI42" s="95">
        <v>39362</v>
      </c>
      <c r="AJ42" s="95">
        <v>39393</v>
      </c>
      <c r="AK42" s="95">
        <v>39417</v>
      </c>
      <c r="AL42" s="95">
        <v>39448</v>
      </c>
      <c r="AM42" s="95">
        <v>39480</v>
      </c>
      <c r="AN42" s="95">
        <v>39509</v>
      </c>
      <c r="AO42" s="95">
        <v>39541</v>
      </c>
      <c r="AP42" s="95">
        <v>39569</v>
      </c>
      <c r="AQ42" s="95">
        <v>39600</v>
      </c>
      <c r="AR42" s="95">
        <v>39630</v>
      </c>
      <c r="AS42" s="95">
        <v>39661</v>
      </c>
      <c r="AT42" s="95">
        <v>39692</v>
      </c>
      <c r="AU42" s="95">
        <v>39722</v>
      </c>
      <c r="AV42" s="95">
        <v>39753</v>
      </c>
      <c r="AW42" s="95">
        <v>39783</v>
      </c>
      <c r="AX42" s="95">
        <v>39814</v>
      </c>
      <c r="AY42" s="95">
        <v>39845</v>
      </c>
      <c r="AZ42" s="95">
        <v>39873</v>
      </c>
      <c r="BA42" s="95">
        <v>39904</v>
      </c>
      <c r="BB42" s="95">
        <v>39934</v>
      </c>
      <c r="BC42" s="95">
        <v>39965</v>
      </c>
      <c r="BD42" s="95">
        <v>39995</v>
      </c>
      <c r="BE42" s="95">
        <v>40027</v>
      </c>
      <c r="BF42" s="95">
        <v>40057</v>
      </c>
      <c r="BG42" s="95">
        <v>40087</v>
      </c>
      <c r="BH42" s="95">
        <v>40118</v>
      </c>
      <c r="BI42" s="95">
        <v>40148</v>
      </c>
      <c r="BJ42" s="95">
        <v>40179</v>
      </c>
      <c r="BK42" s="95">
        <v>40210</v>
      </c>
      <c r="BL42" s="95">
        <v>40238</v>
      </c>
      <c r="BM42" s="95">
        <v>40269</v>
      </c>
      <c r="BN42" s="95">
        <v>40299</v>
      </c>
      <c r="BO42" s="95">
        <v>40330</v>
      </c>
      <c r="BP42" s="95">
        <v>40360</v>
      </c>
      <c r="BQ42" s="95">
        <v>40391</v>
      </c>
      <c r="BR42" s="95">
        <v>40422</v>
      </c>
      <c r="BS42" s="95">
        <v>40452</v>
      </c>
      <c r="BT42" s="95">
        <v>40483</v>
      </c>
      <c r="BU42" s="95">
        <v>40513</v>
      </c>
      <c r="BV42" s="95">
        <v>40544</v>
      </c>
      <c r="BW42" s="95">
        <v>40575</v>
      </c>
      <c r="BX42" s="95">
        <v>40603</v>
      </c>
      <c r="BY42" s="95">
        <v>40634</v>
      </c>
      <c r="BZ42" s="95">
        <v>40664</v>
      </c>
      <c r="CA42" s="95">
        <v>40695</v>
      </c>
      <c r="CB42" s="95">
        <v>40725</v>
      </c>
      <c r="CC42" s="95">
        <v>40756</v>
      </c>
      <c r="CD42" s="95">
        <v>40787</v>
      </c>
      <c r="CE42" s="95">
        <v>40817</v>
      </c>
      <c r="CF42" s="95">
        <v>40849</v>
      </c>
      <c r="CG42" s="95">
        <v>40880</v>
      </c>
      <c r="CH42" s="95">
        <v>40909</v>
      </c>
      <c r="CI42" s="95">
        <v>40940</v>
      </c>
      <c r="CJ42" s="95">
        <v>40969</v>
      </c>
      <c r="CK42" s="95">
        <v>41000</v>
      </c>
      <c r="CL42" s="95">
        <v>41030</v>
      </c>
      <c r="CM42" s="95">
        <v>41061</v>
      </c>
      <c r="CN42" s="95">
        <v>41091</v>
      </c>
      <c r="CO42" s="95">
        <v>41122</v>
      </c>
      <c r="CP42" s="95">
        <v>41153</v>
      </c>
      <c r="CQ42" s="95">
        <v>41183</v>
      </c>
      <c r="CR42" s="95">
        <v>41214</v>
      </c>
      <c r="CS42" s="95">
        <v>41244</v>
      </c>
      <c r="CT42" s="95">
        <v>41287</v>
      </c>
      <c r="CU42" s="95">
        <v>41306</v>
      </c>
      <c r="CV42" s="95">
        <v>41334</v>
      </c>
      <c r="CW42" s="95">
        <v>41365</v>
      </c>
      <c r="CX42" s="95">
        <v>41395</v>
      </c>
      <c r="CY42" s="95">
        <v>41426</v>
      </c>
      <c r="CZ42" s="95">
        <v>41468</v>
      </c>
      <c r="DA42" s="95">
        <v>41487</v>
      </c>
      <c r="DB42" s="95">
        <v>41518</v>
      </c>
      <c r="DC42" s="95">
        <v>41548</v>
      </c>
      <c r="DD42" s="95">
        <v>41579</v>
      </c>
      <c r="DE42" s="95">
        <v>41609</v>
      </c>
      <c r="DF42" s="95">
        <v>41640</v>
      </c>
      <c r="DG42" s="95">
        <v>41671</v>
      </c>
      <c r="DH42" s="95">
        <v>41699</v>
      </c>
      <c r="DI42" s="95">
        <v>41730</v>
      </c>
      <c r="DJ42" s="95">
        <v>41760</v>
      </c>
      <c r="DK42" s="95">
        <v>41791</v>
      </c>
      <c r="DL42" s="95">
        <v>41822</v>
      </c>
      <c r="DM42" s="95">
        <v>41854</v>
      </c>
      <c r="DN42" s="95">
        <v>41886</v>
      </c>
      <c r="DO42" s="95">
        <v>41913</v>
      </c>
      <c r="DP42" s="95">
        <v>41945</v>
      </c>
      <c r="DQ42" s="95">
        <v>41976</v>
      </c>
      <c r="DR42" s="95">
        <v>42005</v>
      </c>
      <c r="DS42" s="95">
        <v>42037</v>
      </c>
      <c r="DT42" s="95">
        <v>42066</v>
      </c>
      <c r="DU42" s="95">
        <v>42095</v>
      </c>
      <c r="DV42" s="95">
        <v>42126</v>
      </c>
      <c r="DW42" s="95">
        <v>42158</v>
      </c>
      <c r="DX42" s="95">
        <v>42189</v>
      </c>
      <c r="DY42" s="95">
        <v>42221</v>
      </c>
      <c r="DZ42" s="95">
        <v>42253</v>
      </c>
      <c r="EA42" s="95">
        <v>42283</v>
      </c>
      <c r="EB42" s="95">
        <v>42314</v>
      </c>
      <c r="EC42" s="95">
        <v>42339</v>
      </c>
      <c r="ED42" s="95">
        <v>42370</v>
      </c>
      <c r="EE42" s="95">
        <v>42401</v>
      </c>
      <c r="EF42" s="95">
        <v>42430</v>
      </c>
      <c r="EG42" s="95">
        <v>42461</v>
      </c>
      <c r="EH42" s="95">
        <v>42491</v>
      </c>
      <c r="EI42" s="95">
        <v>42522</v>
      </c>
      <c r="EJ42" s="95">
        <v>42552</v>
      </c>
      <c r="EK42" s="95">
        <v>42583</v>
      </c>
      <c r="EL42" s="95">
        <v>42614</v>
      </c>
      <c r="EM42" s="95">
        <v>42644</v>
      </c>
      <c r="EN42" s="95">
        <v>42675</v>
      </c>
      <c r="EO42" s="95">
        <v>42705</v>
      </c>
      <c r="EP42" s="95">
        <v>42736</v>
      </c>
      <c r="EQ42" s="95">
        <v>42767</v>
      </c>
      <c r="ER42" s="95">
        <v>42795</v>
      </c>
      <c r="ES42" s="95">
        <v>42826</v>
      </c>
      <c r="ET42" s="95">
        <v>42856</v>
      </c>
      <c r="EU42" s="95">
        <v>42887</v>
      </c>
      <c r="EV42" s="95">
        <v>42917</v>
      </c>
      <c r="EW42" s="95">
        <v>42948</v>
      </c>
      <c r="EX42" s="95">
        <v>42979</v>
      </c>
      <c r="EY42" s="95">
        <v>43009</v>
      </c>
      <c r="EZ42" s="95">
        <v>43040</v>
      </c>
      <c r="FA42" s="95">
        <v>43070</v>
      </c>
      <c r="FB42" s="95">
        <v>43101</v>
      </c>
      <c r="FC42" s="95">
        <v>43132</v>
      </c>
      <c r="FD42" s="95">
        <v>43160</v>
      </c>
      <c r="FE42" s="95">
        <v>43191</v>
      </c>
    </row>
    <row r="43" spans="1:161" s="100" customFormat="1" ht="29.25" customHeight="1" x14ac:dyDescent="0.4">
      <c r="A43" s="96" t="s">
        <v>22</v>
      </c>
      <c r="B43" s="97">
        <v>48294</v>
      </c>
      <c r="C43" s="97">
        <v>48294</v>
      </c>
      <c r="D43" s="97">
        <v>48294</v>
      </c>
      <c r="E43" s="97">
        <v>48294</v>
      </c>
      <c r="F43" s="97">
        <v>48294</v>
      </c>
      <c r="G43" s="97">
        <v>48294</v>
      </c>
      <c r="H43" s="97">
        <v>48294</v>
      </c>
      <c r="I43" s="97">
        <v>48294</v>
      </c>
      <c r="J43" s="97">
        <v>48294</v>
      </c>
      <c r="K43" s="97">
        <v>48294</v>
      </c>
      <c r="L43" s="97">
        <v>48294</v>
      </c>
      <c r="M43" s="97">
        <v>48294</v>
      </c>
      <c r="N43" s="97">
        <v>48311.061000000002</v>
      </c>
      <c r="O43" s="97">
        <v>48327.98</v>
      </c>
      <c r="P43" s="97">
        <v>48343.898000000001</v>
      </c>
      <c r="Q43" s="97">
        <v>48361.817000000003</v>
      </c>
      <c r="R43" s="97">
        <v>48480.56</v>
      </c>
      <c r="S43" s="97">
        <v>48498.455000000002</v>
      </c>
      <c r="T43" s="97">
        <v>48514</v>
      </c>
      <c r="U43" s="97">
        <v>48530</v>
      </c>
      <c r="V43" s="97">
        <v>48547</v>
      </c>
      <c r="W43" s="97">
        <v>48563</v>
      </c>
      <c r="X43" s="97">
        <v>48364</v>
      </c>
      <c r="Y43" s="97">
        <v>48378</v>
      </c>
      <c r="Z43" s="97">
        <v>48391</v>
      </c>
      <c r="AA43" s="97">
        <v>48405</v>
      </c>
      <c r="AB43" s="97">
        <v>48417.5</v>
      </c>
      <c r="AC43" s="97">
        <v>48430.59</v>
      </c>
      <c r="AD43" s="97">
        <v>48443.65</v>
      </c>
      <c r="AE43" s="97">
        <v>48457.34</v>
      </c>
      <c r="AF43" s="97">
        <v>48457.34</v>
      </c>
      <c r="AG43" s="97">
        <v>48457.34</v>
      </c>
      <c r="AH43" s="97">
        <v>48457.34</v>
      </c>
      <c r="AI43" s="97">
        <v>48457.34</v>
      </c>
      <c r="AJ43" s="97">
        <v>48457.34</v>
      </c>
      <c r="AK43" s="97">
        <v>48457.34</v>
      </c>
      <c r="AL43" s="98">
        <v>48443520</v>
      </c>
      <c r="AM43" s="98">
        <v>48481440.337036274</v>
      </c>
      <c r="AN43" s="98">
        <v>48493980.869603455</v>
      </c>
      <c r="AO43" s="98">
        <v>48506524.64598839</v>
      </c>
      <c r="AP43" s="98">
        <v>48519071.667030148</v>
      </c>
      <c r="AQ43" s="98">
        <v>48531621.933568016</v>
      </c>
      <c r="AR43" s="98">
        <v>48544175.446441494</v>
      </c>
      <c r="AS43" s="98">
        <v>48556732.206490308</v>
      </c>
      <c r="AT43" s="98">
        <v>48569292</v>
      </c>
      <c r="AU43" s="98">
        <v>48581855.47147388</v>
      </c>
      <c r="AV43" s="98">
        <v>48594421.978089169</v>
      </c>
      <c r="AW43" s="98">
        <v>48606991.735240802</v>
      </c>
      <c r="AX43" s="98">
        <v>48618000</v>
      </c>
      <c r="AY43" s="98">
        <v>48630104.851361401</v>
      </c>
      <c r="AZ43" s="98">
        <v>48641767.97150825</v>
      </c>
      <c r="BA43" s="98">
        <v>48653433.888860099</v>
      </c>
      <c r="BB43" s="98">
        <v>48654433.888860099</v>
      </c>
      <c r="BC43" s="98">
        <v>48676774.117862299</v>
      </c>
      <c r="BD43" s="98">
        <v>48688448.430854902</v>
      </c>
      <c r="BE43" s="98">
        <v>48700125.543736912</v>
      </c>
      <c r="BF43" s="98">
        <v>48711805.457179815</v>
      </c>
      <c r="BG43" s="98">
        <v>48723488.171855293</v>
      </c>
      <c r="BH43" s="98">
        <v>48735173.688435175</v>
      </c>
      <c r="BI43" s="98">
        <v>48746862.007591501</v>
      </c>
      <c r="BJ43" s="98">
        <v>48757501.756958872</v>
      </c>
      <c r="BK43" s="98">
        <v>48768141.506326243</v>
      </c>
      <c r="BL43" s="98">
        <v>48778781.255693614</v>
      </c>
      <c r="BM43" s="98">
        <v>48789421.005060986</v>
      </c>
      <c r="BN43" s="98">
        <v>48800060.754428357</v>
      </c>
      <c r="BO43" s="98">
        <v>48810700.503795728</v>
      </c>
      <c r="BP43" s="98">
        <v>48821340.253163099</v>
      </c>
      <c r="BQ43" s="98">
        <v>48831980.00253047</v>
      </c>
      <c r="BR43" s="98">
        <v>48842619.751897842</v>
      </c>
      <c r="BS43" s="98">
        <v>48853259.501265213</v>
      </c>
      <c r="BT43" s="98">
        <v>48863899.250632584</v>
      </c>
      <c r="BU43" s="98">
        <v>48874539</v>
      </c>
      <c r="BV43" s="98">
        <v>48884063.5</v>
      </c>
      <c r="BW43" s="98">
        <v>48893588</v>
      </c>
      <c r="BX43" s="98">
        <v>48903112.5</v>
      </c>
      <c r="BY43" s="98">
        <v>48912637</v>
      </c>
      <c r="BZ43" s="98">
        <v>48922161.5</v>
      </c>
      <c r="CA43" s="98">
        <v>48931686</v>
      </c>
      <c r="CB43" s="98">
        <v>48941210</v>
      </c>
      <c r="CC43" s="98">
        <v>48950735</v>
      </c>
      <c r="CD43" s="98">
        <v>48960259.5</v>
      </c>
      <c r="CE43" s="98">
        <v>48969784</v>
      </c>
      <c r="CF43" s="98">
        <v>48979309</v>
      </c>
      <c r="CG43" s="98">
        <v>49779440</v>
      </c>
      <c r="CH43" s="98">
        <v>49798190.083333336</v>
      </c>
      <c r="CI43" s="98">
        <v>49816940.166666672</v>
      </c>
      <c r="CJ43" s="98">
        <v>49835690.250000007</v>
      </c>
      <c r="CK43" s="98">
        <v>49854440.333333343</v>
      </c>
      <c r="CL43" s="98">
        <v>49873190.416666679</v>
      </c>
      <c r="CM43" s="98">
        <v>49891940.500000015</v>
      </c>
      <c r="CN43" s="98">
        <v>49910690.583333351</v>
      </c>
      <c r="CO43" s="98">
        <v>49929440.666666687</v>
      </c>
      <c r="CP43" s="98">
        <v>49948190.750000022</v>
      </c>
      <c r="CQ43" s="98">
        <v>49966940.833333358</v>
      </c>
      <c r="CR43" s="98">
        <v>49985690.916666694</v>
      </c>
      <c r="CS43" s="99">
        <v>50004441</v>
      </c>
      <c r="CT43" s="99">
        <v>50022376.666666664</v>
      </c>
      <c r="CU43" s="99">
        <v>50040312.333333328</v>
      </c>
      <c r="CV43" s="99">
        <v>50058247.999999993</v>
      </c>
      <c r="CW43" s="99">
        <v>50076183.666666657</v>
      </c>
      <c r="CX43" s="99">
        <v>50094119.333333321</v>
      </c>
      <c r="CY43" s="99">
        <v>50112054.999999985</v>
      </c>
      <c r="CZ43" s="99">
        <v>50129990.666666649</v>
      </c>
      <c r="DA43" s="99">
        <v>50147926.333333313</v>
      </c>
      <c r="DB43" s="99">
        <v>50165861.999999978</v>
      </c>
      <c r="DC43" s="99">
        <v>50183797.666666642</v>
      </c>
      <c r="DD43" s="99">
        <v>50201733.333333306</v>
      </c>
      <c r="DE43" s="99">
        <v>50219668.99999997</v>
      </c>
      <c r="DF43" s="99">
        <v>50236692.833333306</v>
      </c>
      <c r="DG43" s="99">
        <v>50253716.666666642</v>
      </c>
      <c r="DH43" s="99">
        <v>50270740.499999978</v>
      </c>
      <c r="DI43" s="99">
        <v>50287764.333333313</v>
      </c>
      <c r="DJ43" s="99">
        <v>50304788.166666649</v>
      </c>
      <c r="DK43" s="99">
        <v>50321811.999999985</v>
      </c>
      <c r="DL43" s="99">
        <v>50338835.833333321</v>
      </c>
      <c r="DM43" s="99">
        <v>50355859.666666657</v>
      </c>
      <c r="DN43" s="99">
        <v>50372883.499999993</v>
      </c>
      <c r="DO43" s="99">
        <v>50389907.333333328</v>
      </c>
      <c r="DP43" s="99">
        <v>50406931.166666664</v>
      </c>
      <c r="DQ43" s="99">
        <v>50423955</v>
      </c>
      <c r="DR43" s="99">
        <v>50440045.833333336</v>
      </c>
      <c r="DS43" s="99">
        <v>50456136.666666672</v>
      </c>
      <c r="DT43" s="99">
        <v>50472227.500000007</v>
      </c>
      <c r="DU43" s="99">
        <v>50488318.333333343</v>
      </c>
      <c r="DV43" s="99">
        <v>50504409.166666679</v>
      </c>
      <c r="DW43" s="99">
        <v>50520500.000000015</v>
      </c>
      <c r="DX43" s="99">
        <v>50536590.833333351</v>
      </c>
      <c r="DY43" s="99">
        <v>50552681.666666687</v>
      </c>
      <c r="DZ43" s="99">
        <v>50568772.500000022</v>
      </c>
      <c r="EA43" s="99">
        <v>50584863.333333358</v>
      </c>
      <c r="EB43" s="99">
        <v>50600954.166666694</v>
      </c>
      <c r="EC43" s="99">
        <v>50617045</v>
      </c>
      <c r="ED43" s="99">
        <v>50633136</v>
      </c>
      <c r="EE43" s="99">
        <v>50649227</v>
      </c>
      <c r="EF43" s="99">
        <v>50665317.5</v>
      </c>
      <c r="EG43" s="99">
        <v>50681408.299999997</v>
      </c>
      <c r="EH43" s="99">
        <v>50697499.200000003</v>
      </c>
      <c r="EI43" s="99">
        <v>50713590.000000045</v>
      </c>
      <c r="EJ43" s="99">
        <v>50729680.800000101</v>
      </c>
      <c r="EK43" s="99">
        <v>50745771.600000203</v>
      </c>
      <c r="EL43" s="99">
        <v>50761862.400000297</v>
      </c>
      <c r="EM43" s="99">
        <v>50777953.200000398</v>
      </c>
      <c r="EN43" s="99">
        <v>50794044.000000499</v>
      </c>
      <c r="EO43" s="99">
        <v>50810134.800000601</v>
      </c>
      <c r="EP43" s="99">
        <v>50826225.600000702</v>
      </c>
      <c r="EQ43" s="99">
        <v>50842316.400000803</v>
      </c>
      <c r="ER43" s="99">
        <v>50858407.200000897</v>
      </c>
      <c r="ES43" s="99">
        <v>50874498.000000998</v>
      </c>
      <c r="ET43" s="99">
        <v>50890588.8000011</v>
      </c>
      <c r="EU43" s="99">
        <v>50906679.600001201</v>
      </c>
      <c r="EV43" s="99">
        <v>50922770.400001302</v>
      </c>
      <c r="EW43" s="99">
        <v>50938861.200001404</v>
      </c>
      <c r="EX43" s="99">
        <v>50954952.000001498</v>
      </c>
      <c r="EY43" s="99">
        <v>50971042.800001599</v>
      </c>
      <c r="EZ43" s="99">
        <v>50987133.6000017</v>
      </c>
      <c r="FA43" s="99">
        <v>51003224.400001802</v>
      </c>
      <c r="FB43" s="99">
        <v>51019315.833333403</v>
      </c>
      <c r="FC43" s="99">
        <v>51035406.666666798</v>
      </c>
      <c r="FD43" s="99">
        <v>51051497.500000097</v>
      </c>
      <c r="FE43" s="99">
        <v>51067588.333333433</v>
      </c>
    </row>
    <row r="44" spans="1:161" s="100" customFormat="1" ht="29.25" customHeight="1" x14ac:dyDescent="0.4">
      <c r="A44" s="101" t="s">
        <v>23</v>
      </c>
      <c r="B44" s="102">
        <v>15789</v>
      </c>
      <c r="C44" s="102">
        <v>15789</v>
      </c>
      <c r="D44" s="102">
        <v>15789</v>
      </c>
      <c r="E44" s="102">
        <v>15789</v>
      </c>
      <c r="F44" s="102">
        <v>15789</v>
      </c>
      <c r="G44" s="102">
        <v>15789</v>
      </c>
      <c r="H44" s="102">
        <v>15789</v>
      </c>
      <c r="I44" s="102">
        <v>15789</v>
      </c>
      <c r="J44" s="102">
        <v>15789</v>
      </c>
      <c r="K44" s="102">
        <v>15789</v>
      </c>
      <c r="L44" s="102">
        <v>15789</v>
      </c>
      <c r="M44" s="102">
        <v>15789</v>
      </c>
      <c r="N44" s="102">
        <v>15989</v>
      </c>
      <c r="O44" s="102">
        <v>15989</v>
      </c>
      <c r="P44" s="102">
        <v>15989</v>
      </c>
      <c r="Q44" s="102">
        <v>15989</v>
      </c>
      <c r="R44" s="102">
        <v>15989</v>
      </c>
      <c r="S44" s="102">
        <v>15989</v>
      </c>
      <c r="T44" s="102">
        <v>15989</v>
      </c>
      <c r="U44" s="102">
        <v>15989</v>
      </c>
      <c r="V44" s="102">
        <v>15989</v>
      </c>
      <c r="W44" s="102">
        <v>15989</v>
      </c>
      <c r="X44" s="102">
        <v>15989</v>
      </c>
      <c r="Y44" s="102">
        <v>15989</v>
      </c>
      <c r="Z44" s="102">
        <v>16194</v>
      </c>
      <c r="AA44" s="102">
        <v>16194</v>
      </c>
      <c r="AB44" s="102">
        <v>16194</v>
      </c>
      <c r="AC44" s="102">
        <v>16194</v>
      </c>
      <c r="AD44" s="102">
        <v>16194</v>
      </c>
      <c r="AE44" s="102">
        <v>16194</v>
      </c>
      <c r="AF44" s="102">
        <v>16194</v>
      </c>
      <c r="AG44" s="102">
        <v>16194</v>
      </c>
      <c r="AH44" s="102">
        <v>16194</v>
      </c>
      <c r="AI44" s="102">
        <v>16194</v>
      </c>
      <c r="AJ44" s="102">
        <v>16194</v>
      </c>
      <c r="AK44" s="102">
        <v>16194</v>
      </c>
      <c r="AL44" s="103">
        <v>16617087.953308588</v>
      </c>
      <c r="AM44" s="103">
        <v>16630095.380839678</v>
      </c>
      <c r="AN44" s="103">
        <v>16634397.032178188</v>
      </c>
      <c r="AO44" s="103">
        <v>16638699.796210511</v>
      </c>
      <c r="AP44" s="103">
        <v>16643003.673224462</v>
      </c>
      <c r="AQ44" s="103">
        <v>16647308.663507935</v>
      </c>
      <c r="AR44" s="103">
        <v>16651614.767348895</v>
      </c>
      <c r="AS44" s="103">
        <v>16655921.985035382</v>
      </c>
      <c r="AT44" s="103">
        <v>16660230.243259102</v>
      </c>
      <c r="AU44" s="103">
        <v>16664539.763097469</v>
      </c>
      <c r="AV44" s="103">
        <v>16668850.324049525</v>
      </c>
      <c r="AW44" s="103">
        <v>16673162</v>
      </c>
      <c r="AX44" s="103">
        <v>16871282.665783115</v>
      </c>
      <c r="AY44" s="103">
        <v>16875483.257517565</v>
      </c>
      <c r="AZ44" s="103">
        <v>16879530.560918827</v>
      </c>
      <c r="BA44" s="103">
        <v>16883578.834998358</v>
      </c>
      <c r="BB44" s="103">
        <v>16883925.852207329</v>
      </c>
      <c r="BC44" s="103">
        <v>16891678.29612346</v>
      </c>
      <c r="BD44" s="103">
        <v>16895729.483634815</v>
      </c>
      <c r="BE44" s="103">
        <v>16899781.642755978</v>
      </c>
      <c r="BF44" s="103">
        <v>16903834.773719963</v>
      </c>
      <c r="BG44" s="103">
        <v>16907888.876759861</v>
      </c>
      <c r="BH44" s="103">
        <v>16911943.9521088</v>
      </c>
      <c r="BI44" s="103">
        <v>16916000</v>
      </c>
      <c r="BJ44" s="103">
        <v>16935666.666666668</v>
      </c>
      <c r="BK44" s="103">
        <v>16953694.444444444</v>
      </c>
      <c r="BL44" s="103">
        <v>16971722.22222222</v>
      </c>
      <c r="BM44" s="103">
        <v>16989749.999999996</v>
      </c>
      <c r="BN44" s="103">
        <v>17007777.777777772</v>
      </c>
      <c r="BO44" s="103">
        <v>17025805.555555549</v>
      </c>
      <c r="BP44" s="103">
        <v>17043833.333333325</v>
      </c>
      <c r="BQ44" s="103">
        <v>17061861.111111101</v>
      </c>
      <c r="BR44" s="103">
        <v>17079888.888888877</v>
      </c>
      <c r="BS44" s="103">
        <v>17097916.666666653</v>
      </c>
      <c r="BT44" s="103">
        <v>17115944.444444429</v>
      </c>
      <c r="BU44" s="103">
        <v>17152000</v>
      </c>
      <c r="BV44" s="103">
        <v>17171226.166666668</v>
      </c>
      <c r="BW44" s="103">
        <v>17190175.333333336</v>
      </c>
      <c r="BX44" s="103">
        <v>17209124.500000004</v>
      </c>
      <c r="BY44" s="103">
        <v>17228073.666666672</v>
      </c>
      <c r="BZ44" s="103">
        <v>17247022.83333334</v>
      </c>
      <c r="CA44" s="103">
        <v>17265972.000000007</v>
      </c>
      <c r="CB44" s="103">
        <v>17284921</v>
      </c>
      <c r="CC44" s="103">
        <v>17303870.333333343</v>
      </c>
      <c r="CD44" s="103">
        <v>17322819.500000011</v>
      </c>
      <c r="CE44" s="103">
        <v>17341768.666666679</v>
      </c>
      <c r="CF44" s="103">
        <v>17360718</v>
      </c>
      <c r="CG44" s="103">
        <v>17379667</v>
      </c>
      <c r="CH44" s="103">
        <v>17397706.333333332</v>
      </c>
      <c r="CI44" s="103">
        <v>17415745.666666664</v>
      </c>
      <c r="CJ44" s="103">
        <v>17433784.999999996</v>
      </c>
      <c r="CK44" s="103">
        <v>17451824.333333328</v>
      </c>
      <c r="CL44" s="103">
        <v>17469863.66666666</v>
      </c>
      <c r="CM44" s="103">
        <v>17487902.999999993</v>
      </c>
      <c r="CN44" s="103">
        <v>17505942.333333325</v>
      </c>
      <c r="CO44" s="103">
        <v>17523981.666666657</v>
      </c>
      <c r="CP44" s="103">
        <v>17542020.999999989</v>
      </c>
      <c r="CQ44" s="103">
        <v>17560060.333333321</v>
      </c>
      <c r="CR44" s="103">
        <v>17578099.666666653</v>
      </c>
      <c r="CS44" s="104">
        <v>17596139</v>
      </c>
      <c r="CT44" s="104">
        <v>17646988.083333332</v>
      </c>
      <c r="CU44" s="104">
        <v>17697837.166666664</v>
      </c>
      <c r="CV44" s="104">
        <v>17748686.249999996</v>
      </c>
      <c r="CW44" s="104">
        <v>17799535.333333328</v>
      </c>
      <c r="CX44" s="104">
        <v>17850384.41666666</v>
      </c>
      <c r="CY44" s="104">
        <v>17901233.499999993</v>
      </c>
      <c r="CZ44" s="104">
        <v>17952082.583333325</v>
      </c>
      <c r="DA44" s="104">
        <v>18002931.666666657</v>
      </c>
      <c r="DB44" s="104">
        <v>18053780.749999989</v>
      </c>
      <c r="DC44" s="104">
        <v>18104629.833333321</v>
      </c>
      <c r="DD44" s="104">
        <v>18155478.916666653</v>
      </c>
      <c r="DE44" s="104">
        <v>18206327.999999985</v>
      </c>
      <c r="DF44" s="104">
        <v>18227269.666666653</v>
      </c>
      <c r="DG44" s="104">
        <v>18248211.333333321</v>
      </c>
      <c r="DH44" s="104">
        <v>18269152.999999989</v>
      </c>
      <c r="DI44" s="104">
        <v>18290094.666666657</v>
      </c>
      <c r="DJ44" s="104">
        <v>18311036.333333325</v>
      </c>
      <c r="DK44" s="104">
        <v>18331977.999999993</v>
      </c>
      <c r="DL44" s="104">
        <v>18352919.66666666</v>
      </c>
      <c r="DM44" s="104">
        <v>18373861.333333328</v>
      </c>
      <c r="DN44" s="104">
        <v>18394802.999999996</v>
      </c>
      <c r="DO44" s="104">
        <v>18415744.666666664</v>
      </c>
      <c r="DP44" s="104">
        <v>18436686.333333332</v>
      </c>
      <c r="DQ44" s="104">
        <v>18457628</v>
      </c>
      <c r="DR44" s="104">
        <v>18478242.666666668</v>
      </c>
      <c r="DS44" s="104">
        <v>18498857.333333336</v>
      </c>
      <c r="DT44" s="104">
        <v>18519472.000000004</v>
      </c>
      <c r="DU44" s="104">
        <v>18540086.666666672</v>
      </c>
      <c r="DV44" s="104">
        <v>18560701.33333334</v>
      </c>
      <c r="DW44" s="104">
        <v>18581316.000000007</v>
      </c>
      <c r="DX44" s="104">
        <v>18601930.666666675</v>
      </c>
      <c r="DY44" s="104">
        <v>18622545.333333343</v>
      </c>
      <c r="DZ44" s="104">
        <v>18643160.000000011</v>
      </c>
      <c r="EA44" s="104">
        <v>18663774.666666679</v>
      </c>
      <c r="EB44" s="104">
        <v>18684389.333333347</v>
      </c>
      <c r="EC44" s="104">
        <v>18705004</v>
      </c>
      <c r="ED44" s="104">
        <v>18725619</v>
      </c>
      <c r="EE44" s="104">
        <v>18746233</v>
      </c>
      <c r="EF44" s="104">
        <v>18766848</v>
      </c>
      <c r="EG44" s="104">
        <v>18787462.699999999</v>
      </c>
      <c r="EH44" s="104">
        <v>18808077.300000001</v>
      </c>
      <c r="EI44" s="104">
        <v>18828692.000000022</v>
      </c>
      <c r="EJ44" s="104">
        <v>18849306.699999999</v>
      </c>
      <c r="EK44" s="104">
        <v>18869921.399999999</v>
      </c>
      <c r="EL44" s="104">
        <v>18890536.100000001</v>
      </c>
      <c r="EM44" s="104">
        <v>18911150.800000001</v>
      </c>
      <c r="EN44" s="104">
        <v>18931765.5</v>
      </c>
      <c r="EO44" s="104">
        <v>18952380.199999999</v>
      </c>
      <c r="EP44" s="104">
        <v>18972994.899999999</v>
      </c>
      <c r="EQ44" s="104">
        <v>18993609.600000001</v>
      </c>
      <c r="ER44" s="104">
        <v>19014224.300000001</v>
      </c>
      <c r="ES44" s="104">
        <v>19034839</v>
      </c>
      <c r="ET44" s="104">
        <v>19055453.699999999</v>
      </c>
      <c r="EU44" s="104">
        <v>19076068.399999999</v>
      </c>
      <c r="EV44" s="104">
        <v>19096683.100000001</v>
      </c>
      <c r="EW44" s="104">
        <v>19117297.800000001</v>
      </c>
      <c r="EX44" s="104">
        <v>19137912.5</v>
      </c>
      <c r="EY44" s="104">
        <v>19158527.199999999</v>
      </c>
      <c r="EZ44" s="104">
        <v>19179141.899999999</v>
      </c>
      <c r="FA44" s="104">
        <v>19199756.600000001</v>
      </c>
      <c r="FB44" s="104">
        <v>19220370.666666701</v>
      </c>
      <c r="FC44" s="104">
        <v>19240985.333333399</v>
      </c>
      <c r="FD44" s="104">
        <v>19261600.000000048</v>
      </c>
      <c r="FE44" s="104">
        <v>19282214.666666716</v>
      </c>
    </row>
    <row r="45" spans="1:161" s="100" customFormat="1" ht="29.25" customHeight="1" x14ac:dyDescent="0.4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6"/>
      <c r="BQ45" s="106"/>
      <c r="BR45" s="106"/>
      <c r="BS45" s="106"/>
      <c r="BT45" s="106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</row>
    <row r="46" spans="1:161" s="111" customFormat="1" ht="18.75" customHeight="1" x14ac:dyDescent="0.4">
      <c r="A46" s="189" t="s">
        <v>93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9"/>
      <c r="AM46" s="109"/>
      <c r="AN46" s="109"/>
      <c r="AO46" s="110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</row>
    <row r="47" spans="1:161" s="100" customFormat="1" ht="18.75" customHeight="1" x14ac:dyDescent="0.4">
      <c r="A47" s="192" t="s">
        <v>94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4"/>
      <c r="AM47" s="114"/>
      <c r="AN47" s="114"/>
      <c r="AO47" s="114"/>
    </row>
    <row r="48" spans="1:161" s="100" customFormat="1" ht="18.75" customHeight="1" x14ac:dyDescent="0.4">
      <c r="A48" s="192" t="s">
        <v>95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4"/>
      <c r="AM48" s="114"/>
      <c r="AN48" s="114"/>
      <c r="AO48" s="114"/>
    </row>
    <row r="49" spans="1:72" s="100" customFormat="1" ht="18.75" customHeight="1" x14ac:dyDescent="0.4">
      <c r="A49" s="192" t="s">
        <v>96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4"/>
      <c r="AM49" s="114"/>
      <c r="AN49" s="114"/>
      <c r="AO49" s="114"/>
    </row>
    <row r="50" spans="1:72" s="100" customFormat="1" ht="18.75" customHeight="1" x14ac:dyDescent="0.4">
      <c r="A50" s="192" t="s">
        <v>24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4"/>
      <c r="AM50" s="114"/>
      <c r="AN50" s="114"/>
      <c r="AO50" s="114"/>
    </row>
    <row r="51" spans="1:72" ht="18.75" customHeight="1" x14ac:dyDescent="0.4">
      <c r="A51" s="189" t="s">
        <v>97</v>
      </c>
    </row>
    <row r="52" spans="1:72" ht="18.75" customHeight="1" x14ac:dyDescent="0.4">
      <c r="A52" s="193" t="s">
        <v>98</v>
      </c>
      <c r="BT52" s="6" t="s">
        <v>25</v>
      </c>
    </row>
    <row r="53" spans="1:72" ht="18.75" customHeight="1" x14ac:dyDescent="0.4">
      <c r="A53" s="193" t="s">
        <v>99</v>
      </c>
    </row>
    <row r="54" spans="1:72" ht="18.75" customHeight="1" x14ac:dyDescent="0.4">
      <c r="A54" s="193" t="s">
        <v>26</v>
      </c>
    </row>
    <row r="55" spans="1:72" ht="18.75" customHeight="1" x14ac:dyDescent="0.4">
      <c r="A55" s="193" t="s">
        <v>27</v>
      </c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showGridLines="0" tabSelected="1" view="pageBreakPreview" zoomScale="70" zoomScaleNormal="60" zoomScaleSheetLayoutView="70" workbookViewId="0">
      <pane xSplit="29" topLeftCell="AH1" activePane="topRight" state="frozen"/>
      <selection pane="topRight" activeCell="AN19" sqref="AN19"/>
    </sheetView>
  </sheetViews>
  <sheetFormatPr defaultColWidth="9" defaultRowHeight="18.75" customHeight="1" x14ac:dyDescent="0.35"/>
  <cols>
    <col min="1" max="1" width="41.3984375" style="188" customWidth="1"/>
    <col min="2" max="10" width="14.5" style="188" hidden="1" customWidth="1"/>
    <col min="11" max="13" width="14.59765625" style="188" hidden="1" customWidth="1"/>
    <col min="14" max="33" width="13.3984375" style="188" hidden="1" customWidth="1"/>
    <col min="34" max="36" width="14.59765625" style="188" customWidth="1"/>
    <col min="37" max="37" width="15.59765625" style="188" bestFit="1" customWidth="1"/>
    <col min="38" max="40" width="15.59765625" style="188" customWidth="1"/>
    <col min="41" max="42" width="15.69921875" style="188" customWidth="1"/>
    <col min="43" max="16384" width="9" style="188"/>
  </cols>
  <sheetData>
    <row r="1" spans="1:42" s="190" customFormat="1" ht="46.5" customHeight="1" x14ac:dyDescent="0.4">
      <c r="A1" s="116" t="s">
        <v>28</v>
      </c>
      <c r="B1" s="117"/>
      <c r="C1" s="117"/>
      <c r="D1" s="117"/>
      <c r="E1" s="117"/>
      <c r="F1" s="117"/>
      <c r="G1" s="117"/>
      <c r="H1" s="117"/>
      <c r="I1" s="117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</row>
    <row r="2" spans="1:42" s="158" customFormat="1" ht="27.75" customHeight="1" x14ac:dyDescent="0.4">
      <c r="B2" s="191"/>
      <c r="C2" s="124"/>
      <c r="D2" s="124"/>
      <c r="E2" s="124"/>
      <c r="F2" s="124"/>
    </row>
    <row r="3" spans="1:42" s="158" customFormat="1" ht="31.5" customHeight="1" x14ac:dyDescent="0.4">
      <c r="A3" s="122" t="s">
        <v>29</v>
      </c>
      <c r="B3" s="123">
        <v>2008</v>
      </c>
      <c r="C3" s="124"/>
      <c r="D3" s="124"/>
      <c r="E3" s="124"/>
      <c r="F3" s="8">
        <v>2009</v>
      </c>
      <c r="G3" s="119"/>
      <c r="H3" s="119"/>
      <c r="I3" s="119"/>
      <c r="J3" s="8">
        <v>2010</v>
      </c>
      <c r="K3" s="119"/>
      <c r="L3" s="119"/>
      <c r="M3" s="119"/>
      <c r="N3" s="8">
        <v>2011</v>
      </c>
      <c r="O3" s="119"/>
      <c r="P3" s="119"/>
      <c r="Q3" s="119"/>
      <c r="R3" s="8">
        <v>2012</v>
      </c>
      <c r="S3" s="119"/>
      <c r="T3" s="119"/>
      <c r="U3" s="119"/>
      <c r="V3" s="8">
        <v>2013</v>
      </c>
      <c r="W3" s="119"/>
      <c r="X3" s="119"/>
      <c r="Y3" s="119"/>
      <c r="Z3" s="8">
        <v>2014</v>
      </c>
      <c r="AA3" s="119"/>
      <c r="AB3" s="119"/>
      <c r="AC3" s="119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</row>
    <row r="4" spans="1:42" s="183" customFormat="1" ht="31.5" customHeight="1" x14ac:dyDescent="0.4">
      <c r="A4" s="125" t="s">
        <v>40</v>
      </c>
      <c r="B4" s="126" t="s">
        <v>41</v>
      </c>
      <c r="C4" s="126" t="s">
        <v>42</v>
      </c>
      <c r="D4" s="126" t="s">
        <v>43</v>
      </c>
      <c r="E4" s="126" t="s">
        <v>44</v>
      </c>
      <c r="F4" s="127" t="s">
        <v>45</v>
      </c>
      <c r="G4" s="127" t="s">
        <v>46</v>
      </c>
      <c r="H4" s="14" t="s">
        <v>47</v>
      </c>
      <c r="I4" s="14" t="s">
        <v>48</v>
      </c>
      <c r="J4" s="14" t="s">
        <v>49</v>
      </c>
      <c r="K4" s="14" t="s">
        <v>50</v>
      </c>
      <c r="L4" s="14" t="s">
        <v>51</v>
      </c>
      <c r="M4" s="14" t="s">
        <v>52</v>
      </c>
      <c r="N4" s="14" t="s">
        <v>53</v>
      </c>
      <c r="O4" s="14" t="s">
        <v>54</v>
      </c>
      <c r="P4" s="14" t="s">
        <v>55</v>
      </c>
      <c r="Q4" s="14" t="s">
        <v>56</v>
      </c>
      <c r="R4" s="15" t="s">
        <v>57</v>
      </c>
      <c r="S4" s="15" t="s">
        <v>58</v>
      </c>
      <c r="T4" s="15" t="s">
        <v>59</v>
      </c>
      <c r="U4" s="15" t="s">
        <v>60</v>
      </c>
      <c r="V4" s="15" t="s">
        <v>61</v>
      </c>
      <c r="W4" s="15" t="s">
        <v>62</v>
      </c>
      <c r="X4" s="15" t="s">
        <v>63</v>
      </c>
      <c r="Y4" s="15" t="s">
        <v>64</v>
      </c>
      <c r="Z4" s="15" t="s">
        <v>65</v>
      </c>
      <c r="AA4" s="15" t="s">
        <v>66</v>
      </c>
      <c r="AB4" s="15" t="s">
        <v>67</v>
      </c>
      <c r="AC4" s="15" t="s">
        <v>68</v>
      </c>
      <c r="AD4" s="15" t="s">
        <v>100</v>
      </c>
      <c r="AE4" s="15" t="s">
        <v>101</v>
      </c>
      <c r="AF4" s="15" t="s">
        <v>102</v>
      </c>
      <c r="AG4" s="15" t="s">
        <v>103</v>
      </c>
      <c r="AH4" s="15" t="s">
        <v>107</v>
      </c>
      <c r="AI4" s="15" t="s">
        <v>108</v>
      </c>
      <c r="AJ4" s="15" t="s">
        <v>109</v>
      </c>
      <c r="AK4" s="15" t="s">
        <v>110</v>
      </c>
      <c r="AL4" s="128" t="s">
        <v>106</v>
      </c>
      <c r="AM4" s="128" t="s">
        <v>113</v>
      </c>
      <c r="AN4" s="128" t="s">
        <v>114</v>
      </c>
      <c r="AO4" s="128" t="s">
        <v>117</v>
      </c>
      <c r="AP4" s="15" t="s">
        <v>118</v>
      </c>
    </row>
    <row r="5" spans="1:42" s="184" customFormat="1" ht="31.5" customHeight="1" x14ac:dyDescent="0.4">
      <c r="A5" s="129" t="s">
        <v>69</v>
      </c>
      <c r="B5" s="130">
        <v>14085.444</v>
      </c>
      <c r="C5" s="130">
        <v>14367.165000000001</v>
      </c>
      <c r="D5" s="130">
        <v>14430.594000000001</v>
      </c>
      <c r="E5" s="130">
        <v>14525.655000000001</v>
      </c>
      <c r="F5" s="130">
        <v>14731.359999999999</v>
      </c>
      <c r="G5" s="130">
        <v>14931.277</v>
      </c>
      <c r="H5" s="130">
        <v>15159.258</v>
      </c>
      <c r="I5" s="130">
        <v>15303.172</v>
      </c>
      <c r="J5" s="130">
        <v>15679.282999999999</v>
      </c>
      <c r="K5" s="130">
        <v>15927.956</v>
      </c>
      <c r="L5" s="130">
        <v>16179.165999999999</v>
      </c>
      <c r="M5" s="130">
        <v>16417.474999999999</v>
      </c>
      <c r="N5" s="130">
        <v>16725.524000000001</v>
      </c>
      <c r="O5" s="130">
        <v>16776.420999999998</v>
      </c>
      <c r="P5" s="130">
        <v>17042.148999999998</v>
      </c>
      <c r="Q5" s="130">
        <v>17307.292000000001</v>
      </c>
      <c r="R5" s="130">
        <v>17434.752</v>
      </c>
      <c r="S5" s="130">
        <v>17389.462</v>
      </c>
      <c r="T5" s="130">
        <v>17416.396000000001</v>
      </c>
      <c r="U5" s="130">
        <v>17435.949000000001</v>
      </c>
      <c r="V5" s="130">
        <v>17370.972000000002</v>
      </c>
      <c r="W5" s="130">
        <v>17354.087</v>
      </c>
      <c r="X5" s="130">
        <v>17204.882000000001</v>
      </c>
      <c r="Y5" s="130">
        <v>17299.899000000001</v>
      </c>
      <c r="Z5" s="130">
        <v>17291.375</v>
      </c>
      <c r="AA5" s="131">
        <v>17561.798999999999</v>
      </c>
      <c r="AB5" s="131">
        <v>17952.121999999999</v>
      </c>
      <c r="AC5" s="131">
        <v>18052.745999999999</v>
      </c>
      <c r="AD5" s="131">
        <v>18178.167000000001</v>
      </c>
      <c r="AE5" s="131">
        <v>18368.379000000001</v>
      </c>
      <c r="AF5" s="131">
        <v>18514.206999999999</v>
      </c>
      <c r="AG5" s="131">
        <v>18721</v>
      </c>
      <c r="AH5" s="131">
        <v>18843.378000000001</v>
      </c>
      <c r="AI5" s="131">
        <v>18997.347000000002</v>
      </c>
      <c r="AJ5" s="131">
        <f>SUM(AJ7:AJ9)</f>
        <v>19236.344000000001</v>
      </c>
      <c r="AK5" s="131">
        <f>SUM(AK7:AK9)</f>
        <v>19397.464</v>
      </c>
      <c r="AL5" s="131">
        <v>19689.032999999999</v>
      </c>
      <c r="AM5" s="131">
        <v>19918</v>
      </c>
      <c r="AN5" s="131">
        <f>SUM(AN7:AN9)</f>
        <v>20140.112000000001</v>
      </c>
      <c r="AO5" s="131">
        <f>SUM(AO7:AO9)</f>
        <v>20319.896000000001</v>
      </c>
      <c r="AP5" s="131">
        <f>SUM(AP7:AP9)</f>
        <v>20623.074000000001</v>
      </c>
    </row>
    <row r="6" spans="1:42" s="184" customFormat="1" ht="31.5" hidden="1" customHeight="1" x14ac:dyDescent="0.4">
      <c r="A6" s="132" t="s">
        <v>70</v>
      </c>
      <c r="B6" s="133">
        <v>9100.3729999999996</v>
      </c>
      <c r="C6" s="133">
        <v>7849.2610000000004</v>
      </c>
      <c r="D6" s="133">
        <v>6850.723</v>
      </c>
      <c r="E6" s="133">
        <v>6099.152</v>
      </c>
      <c r="F6" s="133">
        <v>5315.1149999999998</v>
      </c>
      <c r="G6" s="133">
        <v>4295.0290000000005</v>
      </c>
      <c r="H6" s="133">
        <v>3492.0399999999991</v>
      </c>
      <c r="I6" s="133">
        <v>2908.503999999999</v>
      </c>
      <c r="J6" s="133">
        <v>2410.625</v>
      </c>
      <c r="K6" s="133">
        <v>2011.9159999999993</v>
      </c>
      <c r="L6" s="133">
        <v>1641.261</v>
      </c>
      <c r="M6" s="133">
        <v>1392.548</v>
      </c>
      <c r="N6" s="133">
        <v>1104.634</v>
      </c>
      <c r="O6" s="133">
        <v>532.71900000000005</v>
      </c>
      <c r="P6" s="133">
        <v>292.666</v>
      </c>
      <c r="Q6" s="133">
        <v>99.834999999999994</v>
      </c>
      <c r="R6" s="133">
        <v>23.209</v>
      </c>
      <c r="S6" s="133">
        <v>19.202999999999999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</row>
    <row r="7" spans="1:42" s="184" customFormat="1" ht="31.5" customHeight="1" x14ac:dyDescent="0.4">
      <c r="A7" s="132" t="s">
        <v>71</v>
      </c>
      <c r="B7" s="133">
        <v>4839.7809999999999</v>
      </c>
      <c r="C7" s="133">
        <v>6316.0010000000002</v>
      </c>
      <c r="D7" s="133">
        <v>7407.8230000000003</v>
      </c>
      <c r="E7" s="133">
        <v>8266.0810000000001</v>
      </c>
      <c r="F7" s="133">
        <v>9232.23</v>
      </c>
      <c r="G7" s="133">
        <v>10417.794</v>
      </c>
      <c r="H7" s="133">
        <v>11412.093000000001</v>
      </c>
      <c r="I7" s="133">
        <v>12107.691000000001</v>
      </c>
      <c r="J7" s="133">
        <v>12957.347</v>
      </c>
      <c r="K7" s="133">
        <v>13582.119000000001</v>
      </c>
      <c r="L7" s="133">
        <v>14190.157999999999</v>
      </c>
      <c r="M7" s="133">
        <v>14647.978999999999</v>
      </c>
      <c r="N7" s="133">
        <v>15194.27</v>
      </c>
      <c r="O7" s="133">
        <v>15763.477000000001</v>
      </c>
      <c r="P7" s="133">
        <v>16098.525</v>
      </c>
      <c r="Q7" s="133">
        <v>16463.323</v>
      </c>
      <c r="R7" s="133">
        <v>16224.641</v>
      </c>
      <c r="S7" s="133">
        <v>15298.934999999999</v>
      </c>
      <c r="T7" s="133">
        <v>13991.964</v>
      </c>
      <c r="U7" s="133">
        <v>12601.165000000001</v>
      </c>
      <c r="V7" s="133">
        <v>11374.109</v>
      </c>
      <c r="W7" s="133">
        <v>10382.145999999999</v>
      </c>
      <c r="X7" s="133">
        <v>9500.6210000000028</v>
      </c>
      <c r="Y7" s="133">
        <v>8580.2489999999998</v>
      </c>
      <c r="Z7" s="133">
        <v>7838.576</v>
      </c>
      <c r="AA7" s="133">
        <v>7366.3069999999998</v>
      </c>
      <c r="AB7" s="133">
        <v>6937.2529999999997</v>
      </c>
      <c r="AC7" s="133">
        <v>6519.7790000000005</v>
      </c>
      <c r="AD7" s="133">
        <v>6073.0060000000003</v>
      </c>
      <c r="AE7" s="133">
        <v>5754.1660000000002</v>
      </c>
      <c r="AF7" s="133">
        <v>5465.8639999999996</v>
      </c>
      <c r="AG7" s="133">
        <v>5206</v>
      </c>
      <c r="AH7" s="133">
        <v>4971.1109999999999</v>
      </c>
      <c r="AI7" s="133">
        <v>4762.3620000000001</v>
      </c>
      <c r="AJ7" s="133">
        <v>4757.0200000000004</v>
      </c>
      <c r="AK7" s="133">
        <v>4630.2849999999999</v>
      </c>
      <c r="AL7" s="133">
        <v>4626.027</v>
      </c>
      <c r="AM7" s="133">
        <v>4652.0730000000003</v>
      </c>
      <c r="AN7" s="133">
        <v>4616.1170000000002</v>
      </c>
      <c r="AO7" s="133">
        <v>4553.6470000000008</v>
      </c>
      <c r="AP7" s="133">
        <v>4511.5660000000007</v>
      </c>
    </row>
    <row r="8" spans="1:42" s="184" customFormat="1" ht="31.5" customHeight="1" x14ac:dyDescent="0.4">
      <c r="A8" s="132" t="s">
        <v>72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>
        <v>350.92099999999999</v>
      </c>
      <c r="S8" s="133">
        <v>1169.7819999999999</v>
      </c>
      <c r="T8" s="133">
        <v>2488.125</v>
      </c>
      <c r="U8" s="133">
        <v>3900.4740000000002</v>
      </c>
      <c r="V8" s="133">
        <v>5068.4139999999998</v>
      </c>
      <c r="W8" s="133">
        <v>6057.0420000000004</v>
      </c>
      <c r="X8" s="133">
        <v>6824.37</v>
      </c>
      <c r="Y8" s="133">
        <v>7874.0649999999996</v>
      </c>
      <c r="Z8" s="133">
        <v>8632.7160000000003</v>
      </c>
      <c r="AA8" s="133">
        <v>9405.6820000000007</v>
      </c>
      <c r="AB8" s="133">
        <v>10244.365</v>
      </c>
      <c r="AC8" s="133">
        <v>10780.305</v>
      </c>
      <c r="AD8" s="133">
        <v>11363.87</v>
      </c>
      <c r="AE8" s="133">
        <v>11882.784</v>
      </c>
      <c r="AF8" s="133">
        <v>12334.708000000001</v>
      </c>
      <c r="AG8" s="133">
        <v>12832</v>
      </c>
      <c r="AH8" s="133">
        <v>13208.611000000001</v>
      </c>
      <c r="AI8" s="133">
        <v>13615.369000000001</v>
      </c>
      <c r="AJ8" s="133">
        <v>13920.927</v>
      </c>
      <c r="AK8" s="133">
        <v>14261.509</v>
      </c>
      <c r="AL8" s="133">
        <v>14608.217000000001</v>
      </c>
      <c r="AM8" s="133">
        <v>14869.039000000001</v>
      </c>
      <c r="AN8" s="133">
        <v>15179.147999999999</v>
      </c>
      <c r="AO8" s="133">
        <v>15461.824000000001</v>
      </c>
      <c r="AP8" s="133">
        <v>15866.724</v>
      </c>
    </row>
    <row r="9" spans="1:42" s="184" customFormat="1" ht="31.5" customHeight="1" x14ac:dyDescent="0.4">
      <c r="A9" s="134" t="s">
        <v>73</v>
      </c>
      <c r="B9" s="135">
        <v>145.29</v>
      </c>
      <c r="C9" s="135">
        <v>201.90299999999999</v>
      </c>
      <c r="D9" s="135">
        <v>172.048</v>
      </c>
      <c r="E9" s="135">
        <v>160.422</v>
      </c>
      <c r="F9" s="135">
        <v>184.01499999999999</v>
      </c>
      <c r="G9" s="135">
        <v>218.45400000000001</v>
      </c>
      <c r="H9" s="135">
        <v>255.125</v>
      </c>
      <c r="I9" s="135">
        <v>286.97699999999998</v>
      </c>
      <c r="J9" s="135">
        <v>311.31099999999998</v>
      </c>
      <c r="K9" s="135">
        <v>333.92099999999999</v>
      </c>
      <c r="L9" s="135">
        <v>347.74700000000001</v>
      </c>
      <c r="M9" s="135">
        <v>376.94799999999998</v>
      </c>
      <c r="N9" s="135">
        <v>426.62</v>
      </c>
      <c r="O9" s="135">
        <v>480.22500000000002</v>
      </c>
      <c r="P9" s="135">
        <v>650.95799999999997</v>
      </c>
      <c r="Q9" s="135">
        <v>744.13400000000001</v>
      </c>
      <c r="R9" s="135">
        <v>835.98099999999999</v>
      </c>
      <c r="S9" s="135">
        <v>901.54200000000003</v>
      </c>
      <c r="T9" s="135">
        <v>936.30700000000002</v>
      </c>
      <c r="U9" s="135">
        <v>934.31</v>
      </c>
      <c r="V9" s="135">
        <v>928.44899999999996</v>
      </c>
      <c r="W9" s="135">
        <v>914.899</v>
      </c>
      <c r="X9" s="135">
        <v>879.89099999999996</v>
      </c>
      <c r="Y9" s="135">
        <v>845.58500000000004</v>
      </c>
      <c r="Z9" s="135">
        <v>820.08299999999997</v>
      </c>
      <c r="AA9" s="135">
        <v>789.81</v>
      </c>
      <c r="AB9" s="135">
        <v>770.50400000000002</v>
      </c>
      <c r="AC9" s="135">
        <v>752.66200000000003</v>
      </c>
      <c r="AD9" s="135">
        <v>741</v>
      </c>
      <c r="AE9" s="135">
        <v>731</v>
      </c>
      <c r="AF9" s="135">
        <v>713.63499999999999</v>
      </c>
      <c r="AG9" s="135">
        <v>683</v>
      </c>
      <c r="AH9" s="135">
        <v>663.60599999999999</v>
      </c>
      <c r="AI9" s="135">
        <v>619.61599999999999</v>
      </c>
      <c r="AJ9" s="135">
        <v>558.39700000000005</v>
      </c>
      <c r="AK9" s="135">
        <v>505.67</v>
      </c>
      <c r="AL9" s="135">
        <v>454.78899999999999</v>
      </c>
      <c r="AM9" s="135">
        <v>396.56200000000001</v>
      </c>
      <c r="AN9" s="135">
        <v>344.84699999999998</v>
      </c>
      <c r="AO9" s="135">
        <v>304.42500000000001</v>
      </c>
      <c r="AP9" s="135">
        <v>244.78399999999999</v>
      </c>
    </row>
    <row r="10" spans="1:42" s="184" customFormat="1" ht="15" customHeight="1" x14ac:dyDescent="0.4">
      <c r="A10" s="136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</row>
    <row r="11" spans="1:42" s="184" customFormat="1" ht="31.5" customHeight="1" x14ac:dyDescent="0.4">
      <c r="A11" s="119"/>
      <c r="B11" s="123">
        <v>2008</v>
      </c>
      <c r="C11" s="124"/>
      <c r="D11" s="124"/>
      <c r="E11" s="124"/>
      <c r="F11" s="8">
        <v>2009</v>
      </c>
      <c r="G11" s="119"/>
      <c r="H11" s="119"/>
      <c r="I11" s="119"/>
      <c r="J11" s="8">
        <v>2010</v>
      </c>
      <c r="K11" s="119"/>
      <c r="L11" s="119"/>
      <c r="M11" s="119"/>
      <c r="N11" s="8">
        <v>2011</v>
      </c>
      <c r="O11" s="119"/>
      <c r="P11" s="119"/>
      <c r="Q11" s="119"/>
      <c r="R11" s="8">
        <v>2012</v>
      </c>
      <c r="S11" s="137"/>
      <c r="T11" s="137"/>
      <c r="U11" s="137"/>
      <c r="V11" s="8">
        <v>2013</v>
      </c>
      <c r="W11" s="137"/>
      <c r="X11" s="137"/>
      <c r="Y11" s="137"/>
      <c r="Z11" s="8">
        <v>2014</v>
      </c>
      <c r="AA11" s="137"/>
      <c r="AB11" s="137"/>
      <c r="AC11" s="137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  <c r="AO11"/>
      <c r="AP11" s="8">
        <v>2018</v>
      </c>
    </row>
    <row r="12" spans="1:42" s="184" customFormat="1" ht="31.5" customHeight="1" x14ac:dyDescent="0.4">
      <c r="A12" s="125" t="s">
        <v>74</v>
      </c>
      <c r="B12" s="126" t="s">
        <v>41</v>
      </c>
      <c r="C12" s="126" t="s">
        <v>42</v>
      </c>
      <c r="D12" s="126" t="s">
        <v>43</v>
      </c>
      <c r="E12" s="126" t="s">
        <v>44</v>
      </c>
      <c r="F12" s="127" t="s">
        <v>45</v>
      </c>
      <c r="G12" s="127" t="s">
        <v>46</v>
      </c>
      <c r="H12" s="14" t="s">
        <v>47</v>
      </c>
      <c r="I12" s="14" t="s">
        <v>48</v>
      </c>
      <c r="J12" s="14" t="s">
        <v>49</v>
      </c>
      <c r="K12" s="14" t="s">
        <v>50</v>
      </c>
      <c r="L12" s="14" t="s">
        <v>51</v>
      </c>
      <c r="M12" s="14" t="s">
        <v>52</v>
      </c>
      <c r="N12" s="14" t="s">
        <v>53</v>
      </c>
      <c r="O12" s="14" t="s">
        <v>54</v>
      </c>
      <c r="P12" s="14" t="s">
        <v>55</v>
      </c>
      <c r="Q12" s="14" t="s">
        <v>56</v>
      </c>
      <c r="R12" s="15" t="s">
        <v>57</v>
      </c>
      <c r="S12" s="15" t="s">
        <v>58</v>
      </c>
      <c r="T12" s="15" t="s">
        <v>59</v>
      </c>
      <c r="U12" s="15" t="s">
        <v>60</v>
      </c>
      <c r="V12" s="15" t="s">
        <v>61</v>
      </c>
      <c r="W12" s="15" t="s">
        <v>62</v>
      </c>
      <c r="X12" s="15" t="s">
        <v>63</v>
      </c>
      <c r="Y12" s="15" t="s">
        <v>64</v>
      </c>
      <c r="Z12" s="15" t="s">
        <v>65</v>
      </c>
      <c r="AA12" s="15" t="s">
        <v>66</v>
      </c>
      <c r="AB12" s="15" t="s">
        <v>67</v>
      </c>
      <c r="AC12" s="15" t="s">
        <v>68</v>
      </c>
      <c r="AD12" s="15" t="s">
        <v>100</v>
      </c>
      <c r="AE12" s="15" t="s">
        <v>101</v>
      </c>
      <c r="AF12" s="15" t="s">
        <v>102</v>
      </c>
      <c r="AG12" s="15" t="s">
        <v>103</v>
      </c>
      <c r="AH12" s="15" t="s">
        <v>88</v>
      </c>
      <c r="AI12" s="15" t="s">
        <v>92</v>
      </c>
      <c r="AJ12" s="15" t="s">
        <v>111</v>
      </c>
      <c r="AK12" s="15" t="s">
        <v>105</v>
      </c>
      <c r="AL12" s="128" t="s">
        <v>106</v>
      </c>
      <c r="AM12" s="128" t="s">
        <v>113</v>
      </c>
      <c r="AN12" s="128" t="s">
        <v>114</v>
      </c>
      <c r="AO12" s="128" t="s">
        <v>117</v>
      </c>
      <c r="AP12" s="15" t="s">
        <v>118</v>
      </c>
    </row>
    <row r="13" spans="1:42" s="184" customFormat="1" ht="31.5" customHeight="1" x14ac:dyDescent="0.4">
      <c r="A13" s="138" t="s">
        <v>75</v>
      </c>
      <c r="B13" s="139">
        <v>13940.154</v>
      </c>
      <c r="C13" s="139">
        <v>14165.262000000001</v>
      </c>
      <c r="D13" s="139">
        <v>14258.546</v>
      </c>
      <c r="E13" s="139">
        <v>14365.233</v>
      </c>
      <c r="F13" s="139">
        <v>14547.344999999999</v>
      </c>
      <c r="G13" s="139">
        <v>14712.823</v>
      </c>
      <c r="H13" s="139">
        <v>14904.133</v>
      </c>
      <c r="I13" s="139">
        <v>15016.195</v>
      </c>
      <c r="J13" s="139">
        <v>15367.972</v>
      </c>
      <c r="K13" s="139">
        <v>15594.035</v>
      </c>
      <c r="L13" s="139">
        <v>15831.419</v>
      </c>
      <c r="M13" s="139">
        <v>16040.527</v>
      </c>
      <c r="N13" s="139">
        <v>16298.904</v>
      </c>
      <c r="O13" s="139">
        <v>16296.196</v>
      </c>
      <c r="P13" s="139">
        <v>16391.190999999999</v>
      </c>
      <c r="Q13" s="139">
        <v>16563.157999999999</v>
      </c>
      <c r="R13" s="139">
        <v>16598.771000000001</v>
      </c>
      <c r="S13" s="139">
        <v>16487.919999999998</v>
      </c>
      <c r="T13" s="139">
        <v>16480.089</v>
      </c>
      <c r="U13" s="139">
        <v>16501.638999999999</v>
      </c>
      <c r="V13" s="139">
        <v>16442.523000000001</v>
      </c>
      <c r="W13" s="139">
        <v>16439.187999999998</v>
      </c>
      <c r="X13" s="139">
        <v>16324.991</v>
      </c>
      <c r="Y13" s="139">
        <v>16454.313999999998</v>
      </c>
      <c r="Z13" s="139">
        <v>16471.292000000001</v>
      </c>
      <c r="AA13" s="139">
        <v>16771.989000000001</v>
      </c>
      <c r="AB13" s="139">
        <v>17181.617999999999</v>
      </c>
      <c r="AC13" s="139">
        <v>17300.083999999999</v>
      </c>
      <c r="AD13" s="139">
        <v>17437</v>
      </c>
      <c r="AE13" s="139">
        <v>17636.95</v>
      </c>
      <c r="AF13" s="139">
        <v>17800.572</v>
      </c>
      <c r="AG13" s="139">
        <v>18038</v>
      </c>
      <c r="AH13" s="139">
        <v>18179.772000000001</v>
      </c>
      <c r="AI13" s="139">
        <v>18377.731</v>
      </c>
      <c r="AJ13" s="139">
        <v>18677.947</v>
      </c>
      <c r="AK13" s="139">
        <v>18891.794000000002</v>
      </c>
      <c r="AL13" s="139">
        <v>19234.243999999999</v>
      </c>
      <c r="AM13" s="139">
        <v>19521.112000000001</v>
      </c>
      <c r="AN13" s="139">
        <v>19795.264999999999</v>
      </c>
      <c r="AO13" s="139">
        <v>20015.471000000001</v>
      </c>
      <c r="AP13" s="139">
        <v>20378.29</v>
      </c>
    </row>
    <row r="14" spans="1:42" s="158" customFormat="1" ht="31.5" customHeight="1" x14ac:dyDescent="0.4">
      <c r="A14" s="140" t="s">
        <v>30</v>
      </c>
      <c r="B14" s="141">
        <v>2343</v>
      </c>
      <c r="C14" s="141">
        <v>2350</v>
      </c>
      <c r="D14" s="141">
        <v>1788</v>
      </c>
      <c r="E14" s="141">
        <v>1463</v>
      </c>
      <c r="F14" s="141">
        <v>1623</v>
      </c>
      <c r="G14" s="141">
        <v>2174</v>
      </c>
      <c r="H14" s="141">
        <v>1816</v>
      </c>
      <c r="I14" s="141">
        <v>1551</v>
      </c>
      <c r="J14" s="141">
        <v>1855</v>
      </c>
      <c r="K14" s="141">
        <v>1752</v>
      </c>
      <c r="L14" s="141">
        <v>2037</v>
      </c>
      <c r="M14" s="141">
        <v>1636</v>
      </c>
      <c r="N14" s="141">
        <v>1684</v>
      </c>
      <c r="O14" s="141">
        <v>1861</v>
      </c>
      <c r="P14" s="141">
        <v>1621</v>
      </c>
      <c r="Q14" s="141">
        <v>1808</v>
      </c>
      <c r="R14" s="141">
        <v>1422.7650000000001</v>
      </c>
      <c r="S14" s="141">
        <v>1270.857</v>
      </c>
      <c r="T14" s="141">
        <v>1501.575</v>
      </c>
      <c r="U14" s="141">
        <v>1280.1020000000001</v>
      </c>
      <c r="V14" s="141">
        <v>1272.5709999999999</v>
      </c>
      <c r="W14" s="141">
        <v>1223.7760000000001</v>
      </c>
      <c r="X14" s="141">
        <v>1080.4349999999999</v>
      </c>
      <c r="Y14" s="141">
        <v>1403.588</v>
      </c>
      <c r="Z14" s="141">
        <v>1476.758</v>
      </c>
      <c r="AA14" s="141">
        <v>1459.374</v>
      </c>
      <c r="AB14" s="141">
        <v>1792.8130000000001</v>
      </c>
      <c r="AC14" s="141">
        <v>1254.809</v>
      </c>
      <c r="AD14" s="141">
        <v>1393</v>
      </c>
      <c r="AE14" s="141">
        <v>1179</v>
      </c>
      <c r="AF14" s="141">
        <v>1115</v>
      </c>
      <c r="AG14" s="141">
        <v>1215</v>
      </c>
      <c r="AH14" s="141">
        <v>1144.5730000000001</v>
      </c>
      <c r="AI14" s="141">
        <v>1133.586</v>
      </c>
      <c r="AJ14" s="141">
        <v>1241.316</v>
      </c>
      <c r="AK14" s="141">
        <v>1243.9079999999999</v>
      </c>
      <c r="AL14" s="141">
        <v>1243.0150000000001</v>
      </c>
      <c r="AM14" s="141">
        <v>1224.7</v>
      </c>
      <c r="AN14" s="141">
        <v>1270.134</v>
      </c>
      <c r="AO14" s="141">
        <v>1263.645</v>
      </c>
      <c r="AP14" s="141">
        <v>1210.749</v>
      </c>
    </row>
    <row r="15" spans="1:42" s="158" customFormat="1" ht="31.5" customHeight="1" x14ac:dyDescent="0.4">
      <c r="A15" s="140" t="s">
        <v>31</v>
      </c>
      <c r="B15" s="141">
        <v>2124</v>
      </c>
      <c r="C15" s="141">
        <v>2125</v>
      </c>
      <c r="D15" s="141">
        <v>1695</v>
      </c>
      <c r="E15" s="141">
        <v>1356</v>
      </c>
      <c r="F15" s="141">
        <v>1440</v>
      </c>
      <c r="G15" s="141">
        <v>2008</v>
      </c>
      <c r="H15" s="141">
        <v>1625</v>
      </c>
      <c r="I15" s="141">
        <v>1439</v>
      </c>
      <c r="J15" s="141">
        <v>1503</v>
      </c>
      <c r="K15" s="141">
        <v>1526</v>
      </c>
      <c r="L15" s="141">
        <v>1800</v>
      </c>
      <c r="M15" s="141">
        <v>1427</v>
      </c>
      <c r="N15" s="141">
        <v>1426</v>
      </c>
      <c r="O15" s="141">
        <v>1864</v>
      </c>
      <c r="P15" s="141">
        <v>1526</v>
      </c>
      <c r="Q15" s="141">
        <v>1636</v>
      </c>
      <c r="R15" s="141">
        <v>1387.152</v>
      </c>
      <c r="S15" s="141">
        <v>1381.7080000000001</v>
      </c>
      <c r="T15" s="141">
        <v>1509.4059999999999</v>
      </c>
      <c r="U15" s="141">
        <v>1258.5519999999999</v>
      </c>
      <c r="V15" s="141">
        <v>1331.6869999999999</v>
      </c>
      <c r="W15" s="141">
        <v>1227.1110000000001</v>
      </c>
      <c r="X15" s="142">
        <v>1194.6320000000001</v>
      </c>
      <c r="Y15" s="142">
        <v>1274.2650000000001</v>
      </c>
      <c r="Z15" s="142">
        <v>1457.693</v>
      </c>
      <c r="AA15" s="142">
        <v>1158.704</v>
      </c>
      <c r="AB15" s="142">
        <v>1382.8969999999999</v>
      </c>
      <c r="AC15" s="142">
        <v>1111.249</v>
      </c>
      <c r="AD15" s="142">
        <v>1219</v>
      </c>
      <c r="AE15" s="142">
        <v>940</v>
      </c>
      <c r="AF15" s="142">
        <v>938</v>
      </c>
      <c r="AG15" s="142">
        <v>958</v>
      </c>
      <c r="AH15" s="142">
        <v>1003</v>
      </c>
      <c r="AI15" s="142">
        <v>936</v>
      </c>
      <c r="AJ15" s="142">
        <v>941.1</v>
      </c>
      <c r="AK15" s="142">
        <v>1030.0830000000001</v>
      </c>
      <c r="AL15" s="142">
        <v>901</v>
      </c>
      <c r="AM15" s="142">
        <v>938</v>
      </c>
      <c r="AN15" s="142">
        <v>996</v>
      </c>
      <c r="AO15" s="142">
        <v>1043</v>
      </c>
      <c r="AP15" s="142">
        <v>848</v>
      </c>
    </row>
    <row r="16" spans="1:42" s="158" customFormat="1" ht="31.5" hidden="1" customHeight="1" x14ac:dyDescent="0.4">
      <c r="A16" s="140" t="s">
        <v>32</v>
      </c>
      <c r="B16" s="143">
        <v>291</v>
      </c>
      <c r="C16" s="143">
        <v>288</v>
      </c>
      <c r="D16" s="143">
        <v>352</v>
      </c>
      <c r="E16" s="143">
        <v>243</v>
      </c>
      <c r="F16" s="141">
        <v>214</v>
      </c>
      <c r="G16" s="141">
        <v>229</v>
      </c>
      <c r="H16" s="141">
        <v>306</v>
      </c>
      <c r="I16" s="141">
        <v>217</v>
      </c>
      <c r="J16" s="141">
        <v>195</v>
      </c>
      <c r="K16" s="141">
        <v>141</v>
      </c>
      <c r="L16" s="141">
        <v>136</v>
      </c>
      <c r="M16" s="141">
        <v>64</v>
      </c>
      <c r="N16" s="141">
        <v>69</v>
      </c>
      <c r="O16" s="141">
        <v>210</v>
      </c>
      <c r="P16" s="141">
        <v>105</v>
      </c>
      <c r="Q16" s="141">
        <v>117</v>
      </c>
      <c r="R16" s="141">
        <v>45.597000000000001</v>
      </c>
      <c r="S16" s="144">
        <v>1.6910000000000001</v>
      </c>
      <c r="T16" s="141">
        <v>0.94199999999999995</v>
      </c>
      <c r="U16" s="141">
        <v>0.65800000000000003</v>
      </c>
      <c r="V16" s="141"/>
      <c r="W16" s="144">
        <v>0</v>
      </c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</row>
    <row r="17" spans="1:42" s="158" customFormat="1" ht="31.5" customHeight="1" x14ac:dyDescent="0.4">
      <c r="A17" s="145" t="s">
        <v>33</v>
      </c>
      <c r="B17" s="146">
        <v>219</v>
      </c>
      <c r="C17" s="146">
        <v>225</v>
      </c>
      <c r="D17" s="146">
        <v>93</v>
      </c>
      <c r="E17" s="146">
        <v>107</v>
      </c>
      <c r="F17" s="146">
        <v>182</v>
      </c>
      <c r="G17" s="146">
        <v>165</v>
      </c>
      <c r="H17" s="146">
        <v>191</v>
      </c>
      <c r="I17" s="146">
        <v>112</v>
      </c>
      <c r="J17" s="146">
        <v>352</v>
      </c>
      <c r="K17" s="146">
        <v>226</v>
      </c>
      <c r="L17" s="146">
        <v>237</v>
      </c>
      <c r="M17" s="146">
        <v>209</v>
      </c>
      <c r="N17" s="146">
        <v>258</v>
      </c>
      <c r="O17" s="146">
        <v>-2.7080000000005384</v>
      </c>
      <c r="P17" s="146">
        <v>94.994999999998981</v>
      </c>
      <c r="Q17" s="146">
        <v>171.96700000000055</v>
      </c>
      <c r="R17" s="146">
        <v>35.613</v>
      </c>
      <c r="S17" s="146">
        <v>-110.851</v>
      </c>
      <c r="T17" s="146">
        <v>-7.830999999998312</v>
      </c>
      <c r="U17" s="146">
        <v>21.550000000000182</v>
      </c>
      <c r="V17" s="146">
        <v>-59.115999999998166</v>
      </c>
      <c r="W17" s="146">
        <v>-3.335</v>
      </c>
      <c r="X17" s="146">
        <v>-114.197</v>
      </c>
      <c r="Y17" s="146">
        <f t="shared" ref="Y17:AF17" si="0">Y13-X13</f>
        <v>129.3229999999985</v>
      </c>
      <c r="Z17" s="146">
        <f t="shared" si="0"/>
        <v>16.978000000002794</v>
      </c>
      <c r="AA17" s="146">
        <f t="shared" si="0"/>
        <v>300.69700000000012</v>
      </c>
      <c r="AB17" s="146">
        <f t="shared" si="0"/>
        <v>409.62899999999718</v>
      </c>
      <c r="AC17" s="146">
        <f t="shared" si="0"/>
        <v>118.46600000000035</v>
      </c>
      <c r="AD17" s="146">
        <f t="shared" si="0"/>
        <v>136.91600000000108</v>
      </c>
      <c r="AE17" s="146">
        <f t="shared" si="0"/>
        <v>199.95000000000073</v>
      </c>
      <c r="AF17" s="146">
        <f t="shared" si="0"/>
        <v>163.62199999999939</v>
      </c>
      <c r="AG17" s="146">
        <f>AG13-AF13</f>
        <v>237.42799999999988</v>
      </c>
      <c r="AH17" s="146">
        <f>AH13-AG13</f>
        <v>141.77200000000084</v>
      </c>
      <c r="AI17" s="146">
        <f>AI13-AH13</f>
        <v>197.95899999999892</v>
      </c>
      <c r="AJ17" s="146">
        <f>AJ13-AI13</f>
        <v>300.21600000000035</v>
      </c>
      <c r="AK17" s="146">
        <f>AK13-AJ13</f>
        <v>213.84700000000157</v>
      </c>
      <c r="AL17" s="146">
        <v>342.45</v>
      </c>
      <c r="AM17" s="146">
        <v>286.86799999999999</v>
      </c>
      <c r="AN17" s="146">
        <v>274.15300000000002</v>
      </c>
      <c r="AO17" s="146">
        <v>220.20599999999999</v>
      </c>
      <c r="AP17" s="146">
        <v>362.81900000000002</v>
      </c>
    </row>
    <row r="18" spans="1:42" s="158" customFormat="1" ht="23.25" customHeight="1" x14ac:dyDescent="0.4">
      <c r="A18" s="147" t="s">
        <v>34</v>
      </c>
      <c r="B18" s="148"/>
      <c r="C18" s="137"/>
      <c r="D18" s="137"/>
      <c r="E18" s="137"/>
      <c r="F18" s="137"/>
      <c r="G18" s="14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</row>
    <row r="19" spans="1:42" s="158" customFormat="1" ht="23.25" customHeight="1" x14ac:dyDescent="0.4">
      <c r="A19" s="147" t="s">
        <v>104</v>
      </c>
      <c r="B19" s="148"/>
      <c r="C19" s="137"/>
      <c r="D19" s="137"/>
      <c r="E19" s="137"/>
      <c r="F19" s="137"/>
      <c r="G19" s="149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</row>
    <row r="20" spans="1:42" s="184" customFormat="1" ht="8.25" customHeight="1" x14ac:dyDescent="0.4">
      <c r="A20" s="150"/>
      <c r="B20" s="151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</row>
    <row r="21" spans="1:42" s="183" customFormat="1" ht="22.5" customHeight="1" x14ac:dyDescent="0.4">
      <c r="A21" s="153" t="s">
        <v>76</v>
      </c>
      <c r="B21" s="149">
        <v>4.3999999999999997E-2</v>
      </c>
      <c r="C21" s="149">
        <v>4.3999999999999997E-2</v>
      </c>
      <c r="D21" s="149">
        <v>3.2000000000000001E-2</v>
      </c>
      <c r="E21" s="149">
        <v>2.5999999999999999E-2</v>
      </c>
      <c r="F21" s="149">
        <v>2.8000000000000001E-2</v>
      </c>
      <c r="G21" s="149">
        <v>4.1000000000000002E-2</v>
      </c>
      <c r="H21" s="149">
        <v>0.03</v>
      </c>
      <c r="I21" s="149">
        <v>2.7E-2</v>
      </c>
      <c r="J21" s="149">
        <v>2.9000000000000001E-2</v>
      </c>
      <c r="K21" s="149">
        <v>0.03</v>
      </c>
      <c r="L21" s="149">
        <v>3.5000000000000003E-2</v>
      </c>
      <c r="M21" s="149">
        <v>2.9000000000000001E-2</v>
      </c>
      <c r="N21" s="149">
        <v>2.8000000000000001E-2</v>
      </c>
      <c r="O21" s="149">
        <v>3.4000000000000002E-2</v>
      </c>
      <c r="P21" s="149">
        <v>2.9000000000000001E-2</v>
      </c>
      <c r="Q21" s="149">
        <v>3.1E-2</v>
      </c>
      <c r="R21" s="149">
        <v>2.6663248735867368E-2</v>
      </c>
      <c r="S21" s="149">
        <v>2.757876650063151E-2</v>
      </c>
      <c r="T21" s="149">
        <v>3.0521776851747524E-2</v>
      </c>
      <c r="U21" s="149">
        <v>2.5000000000000001E-2</v>
      </c>
      <c r="V21" s="149">
        <v>2.7E-2</v>
      </c>
      <c r="W21" s="149">
        <v>2.4896691476263128E-2</v>
      </c>
      <c r="X21" s="149">
        <v>2.4312015742839848E-2</v>
      </c>
      <c r="Y21" s="149">
        <v>2.6296503944819381E-2</v>
      </c>
      <c r="Z21" s="149">
        <v>2.9466095281787591E-2</v>
      </c>
      <c r="AA21" s="149">
        <v>2.3E-2</v>
      </c>
      <c r="AB21" s="149">
        <v>2.7E-2</v>
      </c>
      <c r="AC21" s="149">
        <v>2.1445092682905939E-2</v>
      </c>
      <c r="AD21" s="149">
        <v>2.3E-2</v>
      </c>
      <c r="AE21" s="149">
        <v>1.7999999999999999E-2</v>
      </c>
      <c r="AF21" s="149">
        <v>1.7999999999999999E-2</v>
      </c>
      <c r="AG21" s="149">
        <v>1.7999999999999999E-2</v>
      </c>
      <c r="AH21" s="149">
        <v>1.7999999999999999E-2</v>
      </c>
      <c r="AI21" s="149">
        <v>1.7000000000000001E-2</v>
      </c>
      <c r="AJ21" s="149">
        <v>1.7000000000000001E-2</v>
      </c>
      <c r="AK21" s="149">
        <v>1.7999999999999999E-2</v>
      </c>
      <c r="AL21" s="149">
        <v>1.6E-2</v>
      </c>
      <c r="AM21" s="149">
        <v>1.6E-2</v>
      </c>
      <c r="AN21" s="149">
        <v>1.7000000000000001E-2</v>
      </c>
      <c r="AO21" s="149">
        <v>1.7000000000000001E-2</v>
      </c>
      <c r="AP21" s="149">
        <v>1.4E-2</v>
      </c>
    </row>
    <row r="22" spans="1:42" s="158" customFormat="1" ht="8.25" customHeight="1" x14ac:dyDescent="0.4">
      <c r="A22" s="154"/>
      <c r="B22" s="155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</row>
    <row r="23" spans="1:42" s="158" customFormat="1" ht="24" customHeight="1" x14ac:dyDescent="0.4">
      <c r="A23" s="157"/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</row>
    <row r="24" spans="1:42" s="158" customFormat="1" ht="31.5" customHeight="1" x14ac:dyDescent="0.4">
      <c r="A24" s="122" t="s">
        <v>77</v>
      </c>
      <c r="C24" s="159"/>
      <c r="E24" s="159"/>
      <c r="F24" s="8">
        <v>2009</v>
      </c>
      <c r="G24" s="119"/>
      <c r="H24" s="119"/>
      <c r="I24" s="119"/>
      <c r="J24" s="8">
        <v>2010</v>
      </c>
      <c r="K24" s="119"/>
      <c r="L24" s="119"/>
      <c r="M24" s="119"/>
      <c r="N24" s="8">
        <v>2011</v>
      </c>
      <c r="O24" s="119"/>
      <c r="P24" s="119"/>
      <c r="Q24" s="119"/>
      <c r="R24" s="8">
        <v>2012</v>
      </c>
      <c r="S24" s="119"/>
      <c r="T24" s="119"/>
      <c r="U24" s="119"/>
      <c r="V24" s="8">
        <v>2013</v>
      </c>
      <c r="W24" s="119"/>
      <c r="X24" s="119"/>
      <c r="Y24" s="119"/>
      <c r="Z24" s="8">
        <v>2014</v>
      </c>
      <c r="AA24" s="119"/>
      <c r="AB24" s="119"/>
      <c r="AC24" s="119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  <c r="AO24"/>
      <c r="AP24" s="8">
        <v>2018</v>
      </c>
    </row>
    <row r="25" spans="1:42" s="183" customFormat="1" ht="31.5" customHeight="1" x14ac:dyDescent="0.4">
      <c r="A25" s="160" t="s">
        <v>78</v>
      </c>
      <c r="B25" s="126" t="s">
        <v>41</v>
      </c>
      <c r="C25" s="126" t="s">
        <v>42</v>
      </c>
      <c r="D25" s="126" t="s">
        <v>43</v>
      </c>
      <c r="E25" s="126" t="s">
        <v>44</v>
      </c>
      <c r="F25" s="127" t="s">
        <v>45</v>
      </c>
      <c r="G25" s="127" t="s">
        <v>46</v>
      </c>
      <c r="H25" s="14" t="s">
        <v>47</v>
      </c>
      <c r="I25" s="14" t="s">
        <v>48</v>
      </c>
      <c r="J25" s="14" t="s">
        <v>49</v>
      </c>
      <c r="K25" s="14" t="s">
        <v>50</v>
      </c>
      <c r="L25" s="14" t="s">
        <v>51</v>
      </c>
      <c r="M25" s="14" t="s">
        <v>52</v>
      </c>
      <c r="N25" s="14" t="s">
        <v>53</v>
      </c>
      <c r="O25" s="14" t="s">
        <v>54</v>
      </c>
      <c r="P25" s="14" t="s">
        <v>55</v>
      </c>
      <c r="Q25" s="14" t="s">
        <v>56</v>
      </c>
      <c r="R25" s="15" t="s">
        <v>57</v>
      </c>
      <c r="S25" s="15" t="s">
        <v>58</v>
      </c>
      <c r="T25" s="15" t="s">
        <v>59</v>
      </c>
      <c r="U25" s="15" t="s">
        <v>60</v>
      </c>
      <c r="V25" s="15" t="s">
        <v>61</v>
      </c>
      <c r="W25" s="15" t="s">
        <v>62</v>
      </c>
      <c r="X25" s="15" t="s">
        <v>63</v>
      </c>
      <c r="Y25" s="15" t="s">
        <v>64</v>
      </c>
      <c r="Z25" s="15" t="s">
        <v>65</v>
      </c>
      <c r="AA25" s="15" t="s">
        <v>66</v>
      </c>
      <c r="AB25" s="15" t="s">
        <v>67</v>
      </c>
      <c r="AC25" s="15" t="s">
        <v>68</v>
      </c>
      <c r="AD25" s="15" t="s">
        <v>100</v>
      </c>
      <c r="AE25" s="15" t="s">
        <v>101</v>
      </c>
      <c r="AF25" s="15" t="s">
        <v>102</v>
      </c>
      <c r="AG25" s="15" t="s">
        <v>103</v>
      </c>
      <c r="AH25" s="15" t="s">
        <v>88</v>
      </c>
      <c r="AI25" s="15" t="s">
        <v>92</v>
      </c>
      <c r="AJ25" s="15" t="s">
        <v>111</v>
      </c>
      <c r="AK25" s="15" t="s">
        <v>105</v>
      </c>
      <c r="AL25" s="128" t="s">
        <v>106</v>
      </c>
      <c r="AM25" s="128" t="s">
        <v>113</v>
      </c>
      <c r="AN25" s="128" t="s">
        <v>114</v>
      </c>
      <c r="AO25" s="128" t="s">
        <v>117</v>
      </c>
      <c r="AP25" s="15" t="s">
        <v>118</v>
      </c>
    </row>
    <row r="26" spans="1:42" s="158" customFormat="1" ht="31.5" hidden="1" customHeight="1" x14ac:dyDescent="0.4">
      <c r="A26" s="161" t="s">
        <v>79</v>
      </c>
      <c r="B26" s="162">
        <v>24144</v>
      </c>
      <c r="C26" s="162">
        <v>24804</v>
      </c>
      <c r="D26" s="162">
        <v>24482</v>
      </c>
      <c r="E26" s="162">
        <v>24609</v>
      </c>
      <c r="F26" s="162">
        <v>23612</v>
      </c>
      <c r="G26" s="162">
        <v>23967</v>
      </c>
      <c r="H26" s="162">
        <v>23983</v>
      </c>
      <c r="I26" s="162">
        <v>24272</v>
      </c>
      <c r="J26" s="162">
        <v>23828</v>
      </c>
      <c r="K26" s="162">
        <v>24100</v>
      </c>
      <c r="L26" s="162">
        <v>23527</v>
      </c>
      <c r="M26" s="162">
        <v>22456</v>
      </c>
      <c r="N26" s="162">
        <v>20424</v>
      </c>
      <c r="O26" s="162">
        <v>19688.828355795322</v>
      </c>
      <c r="P26" s="162">
        <v>18155</v>
      </c>
      <c r="Q26" s="162">
        <v>16574</v>
      </c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</row>
    <row r="27" spans="1:42" s="158" customFormat="1" ht="31.5" hidden="1" customHeight="1" x14ac:dyDescent="0.4">
      <c r="A27" s="163" t="s">
        <v>35</v>
      </c>
      <c r="B27" s="164">
        <v>13122</v>
      </c>
      <c r="C27" s="164">
        <v>12955</v>
      </c>
      <c r="D27" s="164">
        <v>12852</v>
      </c>
      <c r="E27" s="164">
        <v>12753</v>
      </c>
      <c r="F27" s="164">
        <v>12600</v>
      </c>
      <c r="G27" s="164">
        <v>12551</v>
      </c>
      <c r="H27" s="164">
        <v>12573</v>
      </c>
      <c r="I27" s="164">
        <v>13066</v>
      </c>
      <c r="J27" s="164">
        <v>13398</v>
      </c>
      <c r="K27" s="164">
        <v>13717</v>
      </c>
      <c r="L27" s="164">
        <v>13881</v>
      </c>
      <c r="M27" s="164">
        <v>13480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  <c r="AO27" s="164"/>
      <c r="AP27" s="164"/>
    </row>
    <row r="28" spans="1:42" s="158" customFormat="1" ht="31.5" hidden="1" customHeight="1" x14ac:dyDescent="0.4">
      <c r="A28" s="163" t="s">
        <v>36</v>
      </c>
      <c r="B28" s="164">
        <v>9531</v>
      </c>
      <c r="C28" s="164">
        <v>10354</v>
      </c>
      <c r="D28" s="164">
        <v>10128</v>
      </c>
      <c r="E28" s="164">
        <v>10321</v>
      </c>
      <c r="F28" s="164">
        <v>9481</v>
      </c>
      <c r="G28" s="164">
        <v>10040</v>
      </c>
      <c r="H28" s="164">
        <v>9970</v>
      </c>
      <c r="I28" s="164">
        <v>9874</v>
      </c>
      <c r="J28" s="164">
        <v>9228</v>
      </c>
      <c r="K28" s="164">
        <v>8931</v>
      </c>
      <c r="L28" s="164">
        <v>8184</v>
      </c>
      <c r="M28" s="164">
        <v>7633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</row>
    <row r="29" spans="1:42" s="185" customFormat="1" ht="31.5" hidden="1" customHeight="1" x14ac:dyDescent="0.4">
      <c r="A29" s="163" t="s">
        <v>80</v>
      </c>
      <c r="B29" s="164">
        <v>1491</v>
      </c>
      <c r="C29" s="164">
        <v>1495</v>
      </c>
      <c r="D29" s="164">
        <v>1501</v>
      </c>
      <c r="E29" s="164">
        <v>1535</v>
      </c>
      <c r="F29" s="164">
        <v>1531</v>
      </c>
      <c r="G29" s="164">
        <v>1375</v>
      </c>
      <c r="H29" s="164">
        <v>1440</v>
      </c>
      <c r="I29" s="164">
        <v>1332</v>
      </c>
      <c r="J29" s="164">
        <v>1202</v>
      </c>
      <c r="K29" s="164">
        <v>1452</v>
      </c>
      <c r="L29" s="164">
        <v>1462</v>
      </c>
      <c r="M29" s="164">
        <v>1343</v>
      </c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</row>
    <row r="30" spans="1:42" s="158" customFormat="1" ht="31.5" hidden="1" customHeight="1" x14ac:dyDescent="0.4">
      <c r="A30" s="165" t="s">
        <v>81</v>
      </c>
      <c r="B30" s="164">
        <v>1491</v>
      </c>
      <c r="C30" s="166">
        <v>0</v>
      </c>
      <c r="D30" s="166">
        <v>0</v>
      </c>
      <c r="E30" s="166">
        <v>0</v>
      </c>
      <c r="F30" s="166">
        <v>0</v>
      </c>
      <c r="G30" s="166">
        <v>0</v>
      </c>
      <c r="H30" s="166">
        <v>0</v>
      </c>
      <c r="I30" s="166">
        <v>0</v>
      </c>
      <c r="J30" s="166">
        <v>0</v>
      </c>
      <c r="K30" s="166">
        <v>0</v>
      </c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</row>
    <row r="31" spans="1:42" s="158" customFormat="1" ht="31.5" hidden="1" customHeight="1" x14ac:dyDescent="0.4">
      <c r="A31" s="161" t="s">
        <v>82</v>
      </c>
      <c r="B31" s="162">
        <v>6103</v>
      </c>
      <c r="C31" s="162">
        <v>6356</v>
      </c>
      <c r="D31" s="162">
        <v>6454</v>
      </c>
      <c r="E31" s="162">
        <v>6384</v>
      </c>
      <c r="F31" s="162">
        <v>6431</v>
      </c>
      <c r="G31" s="162">
        <v>6650</v>
      </c>
      <c r="H31" s="162">
        <v>6915</v>
      </c>
      <c r="I31" s="162">
        <v>7218</v>
      </c>
      <c r="J31" s="162">
        <v>7399</v>
      </c>
      <c r="K31" s="162">
        <v>7785</v>
      </c>
      <c r="L31" s="162">
        <v>8031</v>
      </c>
      <c r="M31" s="162">
        <v>8824</v>
      </c>
      <c r="N31" s="162">
        <v>9823</v>
      </c>
      <c r="O31" s="162">
        <v>10489.424934442295</v>
      </c>
      <c r="P31" s="162">
        <v>11454</v>
      </c>
      <c r="Q31" s="162">
        <v>12252</v>
      </c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</row>
    <row r="32" spans="1:42" s="158" customFormat="1" ht="31.5" hidden="1" customHeight="1" x14ac:dyDescent="0.4">
      <c r="A32" s="163" t="s">
        <v>37</v>
      </c>
      <c r="B32" s="164">
        <v>0</v>
      </c>
      <c r="C32" s="164">
        <v>0</v>
      </c>
      <c r="D32" s="164">
        <v>0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</row>
    <row r="33" spans="1:42" s="158" customFormat="1" ht="31.5" hidden="1" customHeight="1" x14ac:dyDescent="0.4">
      <c r="A33" s="165" t="s">
        <v>38</v>
      </c>
      <c r="B33" s="167">
        <v>0</v>
      </c>
      <c r="C33" s="167">
        <v>0</v>
      </c>
      <c r="D33" s="167">
        <v>0</v>
      </c>
      <c r="E33" s="167">
        <v>0</v>
      </c>
      <c r="F33" s="167">
        <v>0</v>
      </c>
      <c r="G33" s="167">
        <v>0</v>
      </c>
      <c r="H33" s="167">
        <v>0</v>
      </c>
      <c r="I33" s="167">
        <v>0</v>
      </c>
      <c r="J33" s="167">
        <v>0</v>
      </c>
      <c r="K33" s="167">
        <v>0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</row>
    <row r="34" spans="1:42" s="158" customFormat="1" ht="8.25" hidden="1" customHeight="1" x14ac:dyDescent="0.35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</row>
    <row r="35" spans="1:42" s="158" customFormat="1" ht="22.5" hidden="1" customHeight="1" x14ac:dyDescent="0.4">
      <c r="A35" s="170" t="s">
        <v>83</v>
      </c>
      <c r="B35" s="171">
        <v>4569</v>
      </c>
      <c r="C35" s="171">
        <v>4794</v>
      </c>
      <c r="D35" s="171">
        <v>4701</v>
      </c>
      <c r="E35" s="171">
        <v>5256</v>
      </c>
      <c r="F35" s="171">
        <v>4627</v>
      </c>
      <c r="G35" s="171">
        <v>4737</v>
      </c>
      <c r="H35" s="171">
        <v>5077</v>
      </c>
      <c r="I35" s="171">
        <v>4859</v>
      </c>
      <c r="J35" s="171">
        <v>4734</v>
      </c>
      <c r="K35" s="171">
        <v>4921</v>
      </c>
      <c r="L35" s="171">
        <v>4957</v>
      </c>
      <c r="M35" s="171">
        <v>3743</v>
      </c>
      <c r="N35" s="171">
        <v>4014</v>
      </c>
      <c r="O35" s="171">
        <v>4117.6622793302331</v>
      </c>
      <c r="P35" s="171">
        <v>3961</v>
      </c>
      <c r="Q35" s="171">
        <v>3943</v>
      </c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</row>
    <row r="36" spans="1:42" s="158" customFormat="1" ht="22.5" hidden="1" customHeight="1" x14ac:dyDescent="0.4">
      <c r="A36" s="172" t="s">
        <v>84</v>
      </c>
      <c r="B36" s="173">
        <v>1034</v>
      </c>
      <c r="C36" s="173">
        <v>976</v>
      </c>
      <c r="D36" s="173">
        <v>685</v>
      </c>
      <c r="E36" s="173">
        <v>592</v>
      </c>
      <c r="F36" s="173">
        <v>631</v>
      </c>
      <c r="G36" s="173">
        <v>792</v>
      </c>
      <c r="H36" s="173">
        <v>659</v>
      </c>
      <c r="I36" s="173">
        <v>536</v>
      </c>
      <c r="J36" s="173">
        <v>698</v>
      </c>
      <c r="K36" s="173">
        <v>695</v>
      </c>
      <c r="L36" s="173">
        <v>805.23578791533646</v>
      </c>
      <c r="M36" s="173">
        <v>649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</row>
    <row r="37" spans="1:42" s="158" customFormat="1" ht="31.5" customHeight="1" x14ac:dyDescent="0.4">
      <c r="A37" s="136" t="s">
        <v>85</v>
      </c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</row>
    <row r="38" spans="1:42" s="186" customFormat="1" ht="31.5" customHeight="1" x14ac:dyDescent="0.4">
      <c r="A38" s="175" t="s">
        <v>86</v>
      </c>
      <c r="B38" s="162">
        <v>30247</v>
      </c>
      <c r="C38" s="162">
        <v>31160</v>
      </c>
      <c r="D38" s="162">
        <v>30936</v>
      </c>
      <c r="E38" s="162">
        <v>30993</v>
      </c>
      <c r="F38" s="162">
        <v>30042</v>
      </c>
      <c r="G38" s="162">
        <v>30617</v>
      </c>
      <c r="H38" s="162">
        <v>30898</v>
      </c>
      <c r="I38" s="162">
        <v>31490</v>
      </c>
      <c r="J38" s="162">
        <v>31227</v>
      </c>
      <c r="K38" s="162">
        <v>31885</v>
      </c>
      <c r="L38" s="162">
        <v>31559</v>
      </c>
      <c r="M38" s="162">
        <v>31281</v>
      </c>
      <c r="N38" s="162">
        <v>30247</v>
      </c>
      <c r="O38" s="162">
        <v>30178.253290237615</v>
      </c>
      <c r="P38" s="162">
        <v>29609</v>
      </c>
      <c r="Q38" s="162">
        <v>28826</v>
      </c>
      <c r="R38" s="162">
        <v>28721.8538639615</v>
      </c>
      <c r="S38" s="162">
        <v>29447.168376640533</v>
      </c>
      <c r="T38" s="162">
        <v>29969.879530835675</v>
      </c>
      <c r="U38" s="162">
        <v>30697</v>
      </c>
      <c r="V38" s="162">
        <v>31116</v>
      </c>
      <c r="W38" s="162">
        <v>31615.485824636093</v>
      </c>
      <c r="X38" s="176">
        <v>31332.085656704545</v>
      </c>
      <c r="Y38" s="176">
        <v>32160.352715576944</v>
      </c>
      <c r="Z38" s="176">
        <v>33621.579504909037</v>
      </c>
      <c r="AA38" s="177">
        <v>34504.23493915375</v>
      </c>
      <c r="AB38" s="177">
        <v>35759.946634758468</v>
      </c>
      <c r="AC38" s="177">
        <v>36284.956880718593</v>
      </c>
      <c r="AD38" s="177">
        <v>34796</v>
      </c>
      <c r="AE38" s="177">
        <v>35357</v>
      </c>
      <c r="AF38" s="177">
        <v>35422</v>
      </c>
      <c r="AG38" s="177">
        <v>35656</v>
      </c>
      <c r="AH38" s="177">
        <v>34969</v>
      </c>
      <c r="AI38" s="177">
        <v>35291</v>
      </c>
      <c r="AJ38" s="177">
        <v>35394</v>
      </c>
      <c r="AK38" s="177">
        <v>35062</v>
      </c>
      <c r="AL38" s="177">
        <v>34537</v>
      </c>
      <c r="AM38" s="177">
        <v>34554</v>
      </c>
      <c r="AN38" s="177">
        <v>34608</v>
      </c>
      <c r="AO38" s="177">
        <v>34077</v>
      </c>
      <c r="AP38" s="177">
        <v>32993</v>
      </c>
    </row>
    <row r="39" spans="1:42" s="186" customFormat="1" ht="31.5" hidden="1" customHeight="1" x14ac:dyDescent="0.4">
      <c r="A39" s="175" t="s">
        <v>87</v>
      </c>
      <c r="B39" s="162">
        <v>35849</v>
      </c>
      <c r="C39" s="162">
        <v>36930</v>
      </c>
      <c r="D39" s="162">
        <v>36322</v>
      </c>
      <c r="E39" s="162">
        <v>36841</v>
      </c>
      <c r="F39" s="162">
        <v>35300</v>
      </c>
      <c r="G39" s="162">
        <v>36145</v>
      </c>
      <c r="H39" s="162">
        <v>36634</v>
      </c>
      <c r="I39" s="162">
        <v>36885</v>
      </c>
      <c r="J39" s="162">
        <v>36659</v>
      </c>
      <c r="K39" s="162">
        <v>37501</v>
      </c>
      <c r="L39" s="162">
        <v>37320.235787915335</v>
      </c>
      <c r="M39" s="162">
        <v>35673</v>
      </c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</row>
    <row r="40" spans="1:42" s="158" customFormat="1" ht="9" customHeight="1" x14ac:dyDescent="0.35">
      <c r="A40" s="178"/>
      <c r="B40" s="179"/>
      <c r="C40" s="179"/>
      <c r="D40" s="179"/>
      <c r="E40" s="179"/>
      <c r="F40" s="179"/>
      <c r="G40" s="180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</row>
    <row r="41" spans="1:42" s="158" customFormat="1" ht="18" customHeight="1" x14ac:dyDescent="0.4">
      <c r="A41" s="181" t="s">
        <v>39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</row>
    <row r="42" spans="1:42" s="187" customFormat="1" ht="18.75" customHeight="1" x14ac:dyDescent="0.4">
      <c r="A42" s="181" t="s">
        <v>120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</row>
    <row r="43" spans="1:42" ht="18.75" customHeight="1" x14ac:dyDescent="0.35">
      <c r="A43" s="181" t="s">
        <v>121</v>
      </c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2018-05-30T04:50:48Z</dcterms:modified>
</cp:coreProperties>
</file>