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1557\Downloads\"/>
    </mc:Choice>
  </mc:AlternateContent>
  <xr:revisionPtr revIDLastSave="0" documentId="13_ncr:1_{8F2F9189-BBA9-4FB6-9549-D194F771AD68}" xr6:coauthVersionLast="47" xr6:coauthVersionMax="47" xr10:uidLastSave="{00000000-0000-0000-0000-000000000000}"/>
  <bookViews>
    <workbookView xWindow="-120" yWindow="-120" windowWidth="29040" windowHeight="1572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'Fixed(M)'!$A$1:$CY$24</definedName>
    <definedName name="_xlnm.Print_Area" localSheetId="0">'Wireless(Q)'!$A$1:$AI$20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" i="2" l="1"/>
  <c r="CY6" i="1"/>
  <c r="CY8" i="1"/>
  <c r="CY11" i="1"/>
  <c r="CY18" i="1"/>
  <c r="CY23" i="1"/>
  <c r="CX11" i="1"/>
  <c r="CY12" i="1" s="1"/>
  <c r="CX23" i="1"/>
  <c r="CX18" i="1"/>
  <c r="CX12" i="1"/>
  <c r="CX8" i="1"/>
  <c r="CX6" i="1"/>
  <c r="CU8" i="1"/>
  <c r="CV8" i="1"/>
  <c r="CW8" i="1"/>
  <c r="CU6" i="1"/>
  <c r="CV6" i="1"/>
  <c r="CW6" i="1"/>
  <c r="CU10" i="1"/>
  <c r="CU11" i="1"/>
  <c r="CV11" i="1"/>
  <c r="CW11" i="1"/>
  <c r="CW12" i="1" s="1"/>
  <c r="CW18" i="1"/>
  <c r="CW23" i="1"/>
  <c r="AH6" i="2" l="1"/>
  <c r="CV23" i="1"/>
  <c r="CV18" i="1"/>
  <c r="CV12" i="1"/>
  <c r="A1" i="2" l="1"/>
  <c r="CU23" i="1"/>
  <c r="CU18" i="1"/>
  <c r="CT6" i="1"/>
  <c r="CT11" i="1"/>
  <c r="CU12" i="1" s="1"/>
  <c r="CT8" i="1"/>
  <c r="CT10" i="1"/>
  <c r="CT18" i="1"/>
  <c r="CT23" i="1"/>
  <c r="AC8" i="2"/>
  <c r="CN11" i="1"/>
  <c r="CO11" i="1"/>
  <c r="CP11" i="1"/>
  <c r="CQ11" i="1"/>
  <c r="CR11" i="1"/>
  <c r="CS11" i="1"/>
  <c r="CT12" i="1" l="1"/>
  <c r="CS6" i="1"/>
  <c r="CS8" i="1"/>
  <c r="CS10" i="1"/>
  <c r="CS12" i="1"/>
  <c r="CS18" i="1"/>
  <c r="CS23" i="1"/>
  <c r="AG6" i="2"/>
  <c r="CR6" i="1"/>
  <c r="CR8" i="1"/>
  <c r="CR10" i="1"/>
  <c r="CR12" i="1"/>
  <c r="CR18" i="1"/>
  <c r="CR23" i="1"/>
  <c r="CQ6" i="1"/>
  <c r="CQ8" i="1"/>
  <c r="CQ10" i="1"/>
  <c r="CQ12" i="1"/>
  <c r="CQ18" i="1"/>
  <c r="CQ23" i="1"/>
  <c r="CP6" i="1"/>
  <c r="CP8" i="1"/>
  <c r="CP10" i="1"/>
  <c r="CP12" i="1"/>
  <c r="CP18" i="1"/>
  <c r="CP23" i="1"/>
  <c r="AF6" i="2"/>
  <c r="CO6" i="1"/>
  <c r="CO8" i="1"/>
  <c r="CO10" i="1"/>
  <c r="CO12" i="1"/>
  <c r="CO18" i="1"/>
  <c r="CO23" i="1"/>
  <c r="CN6" i="1"/>
  <c r="CN8" i="1"/>
  <c r="CN10" i="1"/>
  <c r="CN12" i="1"/>
  <c r="CN18" i="1"/>
  <c r="CN23" i="1"/>
  <c r="AE6" i="2"/>
  <c r="CM6" i="1"/>
  <c r="CM8" i="1"/>
  <c r="CM10" i="1"/>
  <c r="CM12" i="1"/>
  <c r="CM18" i="1"/>
  <c r="CM23" i="1"/>
  <c r="CL6" i="1"/>
  <c r="CL8" i="1"/>
  <c r="CL10" i="1"/>
  <c r="CL12" i="1"/>
  <c r="CL18" i="1"/>
  <c r="CL23" i="1"/>
  <c r="CK6" i="1"/>
  <c r="CK8" i="1"/>
  <c r="CK10" i="1"/>
  <c r="CK12" i="1"/>
  <c r="CK18" i="1"/>
  <c r="CK23" i="1"/>
  <c r="CJ6" i="1"/>
  <c r="CJ8" i="1"/>
  <c r="CJ10" i="1"/>
  <c r="CJ12" i="1"/>
  <c r="CJ18" i="1"/>
  <c r="CJ23" i="1"/>
  <c r="AD6" i="2"/>
  <c r="CI6" i="1"/>
  <c r="CI8" i="1"/>
  <c r="CI10" i="1"/>
  <c r="CI12" i="1"/>
  <c r="CI18" i="1"/>
  <c r="CI23" i="1"/>
  <c r="CH6" i="1"/>
  <c r="CH8" i="1"/>
  <c r="CH10" i="1"/>
  <c r="CH12" i="1"/>
  <c r="CH18" i="1"/>
  <c r="CH23" i="1"/>
  <c r="CG6" i="1"/>
  <c r="CG8" i="1"/>
  <c r="CG10" i="1"/>
  <c r="CG12" i="1"/>
  <c r="CG18" i="1"/>
  <c r="CG23" i="1"/>
  <c r="AC6" i="2"/>
  <c r="CF6" i="1"/>
  <c r="CF8" i="1"/>
  <c r="CF10" i="1"/>
  <c r="CF12" i="1"/>
  <c r="CF18" i="1"/>
  <c r="CF23" i="1"/>
  <c r="CE6" i="1"/>
  <c r="CE8" i="1"/>
  <c r="CE10" i="1"/>
  <c r="CE12" i="1"/>
  <c r="CE18" i="1"/>
  <c r="CE23" i="1"/>
  <c r="CD6" i="1"/>
  <c r="CD8" i="1"/>
  <c r="CD10" i="1"/>
  <c r="CD12" i="1"/>
  <c r="CD18" i="1"/>
  <c r="CD23" i="1"/>
  <c r="AB6" i="2"/>
  <c r="CC6" i="1"/>
  <c r="CC8" i="1"/>
  <c r="CC10" i="1"/>
  <c r="CC12" i="1"/>
  <c r="CC18" i="1"/>
  <c r="CC23" i="1"/>
  <c r="CB6" i="1" l="1"/>
  <c r="CB8" i="1"/>
  <c r="CB10" i="1"/>
  <c r="CB12" i="1"/>
  <c r="CB18" i="1"/>
  <c r="CB23" i="1"/>
  <c r="AA6" i="2" l="1"/>
  <c r="CA6" i="1"/>
  <c r="CA8" i="1"/>
  <c r="CA10" i="1"/>
  <c r="CA12" i="1"/>
  <c r="CA18" i="1"/>
  <c r="CA23" i="1"/>
  <c r="BZ23" i="1"/>
  <c r="BZ6" i="1"/>
  <c r="BZ8" i="1"/>
  <c r="BZ10" i="1"/>
  <c r="BZ12" i="1"/>
  <c r="BZ18" i="1"/>
  <c r="BY10" i="1"/>
  <c r="BY6" i="1"/>
  <c r="BY8" i="1"/>
  <c r="BY12" i="1"/>
  <c r="BY18" i="1"/>
  <c r="BY23" i="1"/>
  <c r="Z6" i="2"/>
  <c r="BX8" i="1"/>
  <c r="BX6" i="1"/>
  <c r="BX10" i="1"/>
  <c r="BX12" i="1"/>
  <c r="BX18" i="1"/>
  <c r="BX23" i="1"/>
  <c r="BW6" i="1" l="1"/>
  <c r="BW8" i="1"/>
  <c r="BW10" i="1"/>
  <c r="BW12" i="1"/>
  <c r="BW18" i="1"/>
  <c r="BW23" i="1"/>
  <c r="BV23" i="1"/>
  <c r="BV6" i="1"/>
  <c r="BV8" i="1"/>
  <c r="BV10" i="1"/>
  <c r="BV12" i="1"/>
  <c r="BV18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6" i="1"/>
  <c r="BU8" i="1"/>
  <c r="BU10" i="1"/>
  <c r="BU12" i="1"/>
  <c r="BU18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 s="1"/>
  <c r="BQ21" i="1" s="1"/>
  <c r="BR21" i="1" s="1"/>
  <c r="BS21" i="1" s="1"/>
  <c r="BT21" i="1" s="1"/>
  <c r="BU21" i="1" s="1"/>
  <c r="BV21" i="1" s="1"/>
  <c r="BW21" i="1" s="1"/>
  <c r="BX21" i="1" s="1"/>
  <c r="BY21" i="1" s="1"/>
  <c r="BZ21" i="1" s="1"/>
  <c r="CA21" i="1" s="1"/>
  <c r="CB21" i="1" s="1"/>
  <c r="CC21" i="1" s="1"/>
  <c r="CD21" i="1" s="1"/>
  <c r="CE21" i="1" s="1"/>
  <c r="CF21" i="1" s="1"/>
  <c r="CG21" i="1" s="1"/>
  <c r="CH21" i="1" s="1"/>
  <c r="CI21" i="1" s="1"/>
  <c r="CJ21" i="1" s="1"/>
  <c r="CK21" i="1" s="1"/>
  <c r="CL21" i="1" s="1"/>
  <c r="CM21" i="1" s="1"/>
  <c r="CN21" i="1" s="1"/>
  <c r="CO21" i="1" s="1"/>
  <c r="CP21" i="1" s="1"/>
  <c r="CQ21" i="1" s="1"/>
  <c r="CR21" i="1" s="1"/>
  <c r="CS21" i="1" s="1"/>
  <c r="CT21" i="1" s="1"/>
  <c r="CU21" i="1" s="1"/>
  <c r="CV21" i="1" s="1"/>
  <c r="CW21" i="1" s="1"/>
  <c r="CX21" i="1" s="1"/>
  <c r="CY21" i="1" s="1"/>
  <c r="BK16" i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T16" i="1" s="1"/>
  <c r="CU16" i="1" s="1"/>
  <c r="CV16" i="1" s="1"/>
  <c r="CW16" i="1" s="1"/>
  <c r="CX16" i="1" s="1"/>
  <c r="CY16" i="1" s="1"/>
  <c r="BK4" i="1"/>
  <c r="BL4" i="1"/>
  <c r="BM4" i="1"/>
  <c r="BN4" i="1"/>
  <c r="BO4" i="1"/>
  <c r="BP4" i="1"/>
  <c r="BQ4" i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<sst xmlns="http://schemas.openxmlformats.org/spreadsheetml/2006/main" count="110" uniqueCount="74">
  <si>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</si>
  <si>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</si>
  <si>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</si>
  <si>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</si>
  <si>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</si>
  <si>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</si>
  <si>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</si>
  <si>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</si>
  <si>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</si>
  <si>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</si>
  <si>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</si>
  <si>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</si>
  <si>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</si>
  <si>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</si>
  <si>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</si>
  <si>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</si>
  <si>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</si>
  <si>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</si>
  <si>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</si>
  <si>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</si>
  <si>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</si>
  <si>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</si>
  <si>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</si>
  <si>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</si>
  <si>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</si>
  <si>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</si>
  <si>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</si>
  <si>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</si>
  <si>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</si>
  <si>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</si>
  <si>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</si>
  <si>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</si>
  <si>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</si>
  <si>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</si>
  <si>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</si>
  <si>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</si>
  <si>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</si>
  <si>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</si>
  <si>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</si>
  <si>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</si>
  <si>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</si>
  <si>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</si>
  <si>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</si>
  <si>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</si>
  <si>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</si>
  <si>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</si>
  <si>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</si>
  <si>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</si>
  <si>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</si>
  <si>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</si>
  <si>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</si>
  <si>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</si>
  <si>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</si>
  <si>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</si>
  <si>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</si>
  <si>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</si>
  <si>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</si>
  <si>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</si>
  <si>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</si>
  <si>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</si>
  <si>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</si>
  <si>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</si>
  <si>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</si>
  <si>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</si>
  <si>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</si>
  <si>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</si>
  <si>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</si>
  <si>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</si>
  <si>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2Q 25</t>
    <phoneticPr fontId="5" type="noConversion"/>
  </si>
  <si>
    <t>3Q 25</t>
    <phoneticPr fontId="5" type="noConversion"/>
  </si>
  <si>
    <t>4Q 25</t>
    <phoneticPr fontId="5" type="noConversion"/>
  </si>
  <si>
    <t>1Q 26</t>
    <phoneticPr fontId="5" type="noConversion"/>
  </si>
  <si>
    <t>2Q 26</t>
    <phoneticPr fontId="5" type="noConversion"/>
  </si>
  <si>
    <t>KT Monthly Factsheet (June 2026)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</si>
</sst>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178886</xdr:colOff>
      <xdr:row>0</xdr:row>
      <xdr:rowOff>191994</xdr:rowOff>
    </xdr:from>
    <xdr:ext cx="733535" cy="528411"/>
    <xdr:pic>
      <xdr:nvPicPr>
        <xdr:cNvPr id="3" name="그림 2">
          <a:extLst>
            <a:ext uri="{FF2B5EF4-FFF2-40B4-BE49-F238E27FC236}">
              <a16:creationId xmlns:a16="http://schemas.microsoft.com/office/drawing/2014/main" id="{DBE4D075-B93A-480B-B471-CBC43CA8B8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7043739" y="191994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101</xdr:col>
      <xdr:colOff>789214</xdr:colOff>
      <xdr:row>0</xdr:row>
      <xdr:rowOff>368754</xdr:rowOff>
    </xdr:from>
    <xdr:ext cx="672073" cy="598714"/>
    <xdr:pic>
      <xdr:nvPicPr>
        <xdr:cNvPr id="2" name="그림 1">
          <a:extLst>
            <a:ext uri="{FF2B5EF4-FFF2-40B4-BE49-F238E27FC236}">
              <a16:creationId xmlns:a16="http://schemas.microsoft.com/office/drawing/2014/main" id="{368A4C38-63D1-4CAC-B366-83A87DEDB3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6546285" y="368754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I20"/>
  <sheetViews>
    <sheetView showGridLines="0" tabSelected="1" view="pageBreakPreview" zoomScale="85" zoomScaleNormal="60" zoomScaleSheetLayoutView="85" workbookViewId="0">
      <pane xSplit="1" topLeftCell="V1" activePane="topRight" state="frozen"/>
      <selection pane="topRight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8" width="15.125" style="39" hidden="1" customWidth="1"/>
    <col min="19" max="19" width="14.375" style="39" hidden="1" customWidth="1"/>
    <col min="20" max="20" width="13.5" style="39" hidden="1" customWidth="1"/>
    <col min="21" max="21" width="15" style="39" hidden="1" customWidth="1"/>
    <col min="22" max="35" width="15" style="39" customWidth="1"/>
    <col min="36" max="16384" width="9" style="39"/>
  </cols>
  <sheetData>
    <row r="1" spans="1:35" s="40" customFormat="1" ht="46.5" customHeight="1">
      <c r="A1" s="1" t="str">
        <f>'Fixed(M)'!A1</f>
        <v>KT Monthly Factsheet (June 2026)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33"/>
      <c r="AI1" s="33"/>
    </row>
    <row r="2" spans="1:35" s="33" customFormat="1" ht="27.75" customHeight="1"/>
    <row r="3" spans="1:35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  <c r="AE3" s="25"/>
      <c r="AF3" s="25"/>
      <c r="AG3" s="25"/>
      <c r="AH3" s="3">
        <v>2026</v>
      </c>
      <c r="AI3" s="25"/>
    </row>
    <row r="4" spans="1:35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7" t="s">
        <v>57</v>
      </c>
      <c r="AA4" s="7" t="s">
        <v>63</v>
      </c>
      <c r="AB4" s="7" t="s">
        <v>65</v>
      </c>
      <c r="AC4" s="7" t="s">
        <v>66</v>
      </c>
      <c r="AD4" s="7" t="s">
        <v>67</v>
      </c>
      <c r="AE4" s="7" t="s">
        <v>68</v>
      </c>
      <c r="AF4" s="7" t="s">
        <v>69</v>
      </c>
      <c r="AG4" s="7" t="s">
        <v>70</v>
      </c>
      <c r="AH4" s="28" t="s">
        <v>71</v>
      </c>
      <c r="AI4" s="28" t="s">
        <v>72</v>
      </c>
    </row>
    <row r="5" spans="1:35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  <c r="AE5" s="51">
        <v>27491208</v>
      </c>
      <c r="AF5" s="51">
        <v>28327721</v>
      </c>
      <c r="AG5" s="51">
        <v>28985049</v>
      </c>
      <c r="AH5" s="51">
        <v>29161582</v>
      </c>
      <c r="AI5" s="51">
        <v>29501098</v>
      </c>
    </row>
    <row r="6" spans="1:35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I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  <c r="AE6" s="57">
        <f t="shared" si="0"/>
        <v>1046169</v>
      </c>
      <c r="AF6" s="57">
        <f t="shared" si="0"/>
        <v>836513</v>
      </c>
      <c r="AG6" s="57">
        <f t="shared" si="0"/>
        <v>657328</v>
      </c>
      <c r="AH6" s="57">
        <f t="shared" si="0"/>
        <v>176533</v>
      </c>
      <c r="AI6" s="57">
        <f t="shared" si="0"/>
        <v>339516</v>
      </c>
    </row>
    <row r="7" spans="1:35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  <c r="AE7" s="52">
        <v>19841858</v>
      </c>
      <c r="AF7" s="52">
        <v>20271097</v>
      </c>
      <c r="AG7" s="52">
        <v>20617517</v>
      </c>
      <c r="AH7" s="52">
        <v>20412864</v>
      </c>
      <c r="AI7" s="52">
        <v>20453212</v>
      </c>
    </row>
    <row r="8" spans="1:35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f t="shared" ref="AC8" si="1">AC5-AC7</f>
        <v>7181998</v>
      </c>
      <c r="AD8" s="55">
        <v>7258905</v>
      </c>
      <c r="AE8" s="55">
        <v>7649350</v>
      </c>
      <c r="AF8" s="55">
        <v>8056624</v>
      </c>
      <c r="AG8" s="55">
        <v>8367532</v>
      </c>
      <c r="AH8" s="55">
        <v>8748718</v>
      </c>
      <c r="AI8" s="55">
        <v>9047886</v>
      </c>
    </row>
    <row r="9" spans="1:35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  <c r="AE9" s="59">
        <v>10866475</v>
      </c>
      <c r="AF9" s="59">
        <v>11047979</v>
      </c>
      <c r="AG9" s="59">
        <v>11156281</v>
      </c>
      <c r="AH9" s="59">
        <v>11070189</v>
      </c>
      <c r="AI9" s="59">
        <v>11147138</v>
      </c>
    </row>
    <row r="10" spans="1:35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5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5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  <c r="AE12" s="31">
        <v>9.838156468381317E-3</v>
      </c>
      <c r="AF12" s="31">
        <v>1.1618317609540798E-2</v>
      </c>
      <c r="AG12" s="31">
        <v>1.0413953887402594E-2</v>
      </c>
      <c r="AH12" s="31">
        <v>1.6752403366424626E-2</v>
      </c>
      <c r="AI12" s="31">
        <v>9.4671678702012967E-3</v>
      </c>
    </row>
    <row r="13" spans="1:35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  <c r="AE13" s="31" t="s">
        <v>64</v>
      </c>
      <c r="AF13" s="31" t="s">
        <v>64</v>
      </c>
      <c r="AG13" s="31" t="s">
        <v>64</v>
      </c>
    </row>
    <row r="14" spans="1:35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5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  <c r="AE15" s="25"/>
      <c r="AF15" s="25"/>
      <c r="AG15" s="25"/>
      <c r="AH15" s="3">
        <v>2026</v>
      </c>
      <c r="AI15" s="25"/>
    </row>
    <row r="16" spans="1:35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7" t="s">
        <v>57</v>
      </c>
      <c r="AA16" s="7" t="s">
        <v>63</v>
      </c>
      <c r="AB16" s="7" t="s">
        <v>65</v>
      </c>
      <c r="AC16" s="7" t="s">
        <v>66</v>
      </c>
      <c r="AD16" s="7" t="s">
        <v>67</v>
      </c>
      <c r="AE16" s="7" t="s">
        <v>68</v>
      </c>
      <c r="AF16" s="7" t="s">
        <v>69</v>
      </c>
      <c r="AG16" s="7" t="s">
        <v>70</v>
      </c>
      <c r="AH16" s="28" t="s">
        <v>71</v>
      </c>
      <c r="AI16" s="28" t="s">
        <v>72</v>
      </c>
    </row>
    <row r="17" spans="1:35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  <c r="AE17" s="35">
        <v>35236.270376294917</v>
      </c>
      <c r="AF17" s="35">
        <v>35294.931445458096</v>
      </c>
      <c r="AG17" s="35">
        <v>35335.039400947833</v>
      </c>
      <c r="AH17" s="35">
        <v>34781</v>
      </c>
      <c r="AI17" s="35">
        <v>34412</v>
      </c>
    </row>
    <row r="18" spans="1:35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5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5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Y24"/>
  <sheetViews>
    <sheetView showGridLines="0" view="pageBreakPreview" zoomScale="70" zoomScaleNormal="70" zoomScaleSheetLayoutView="70" workbookViewId="0">
      <pane xSplit="73" topLeftCell="CH1" activePane="topRight" state="frozen"/>
      <selection pane="topRight" activeCell="A2" sqref="A2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4" width="11.125" style="2" hidden="1" customWidth="1"/>
    <col min="65" max="65" width="10.875" style="2" hidden="1" customWidth="1"/>
    <col min="66" max="71" width="11" style="2" hidden="1" customWidth="1"/>
    <col min="72" max="74" width="11.125" style="2" hidden="1" customWidth="1"/>
    <col min="75" max="79" width="10.875" style="2" hidden="1" customWidth="1"/>
    <col min="80" max="85" width="11.5" style="2" hidden="1" customWidth="1"/>
    <col min="86" max="88" width="11.5" style="2" customWidth="1"/>
    <col min="89" max="89" width="10" style="2" bestFit="1" customWidth="1"/>
    <col min="90" max="90" width="10.625" style="2" customWidth="1"/>
    <col min="91" max="103" width="10.5" style="2" customWidth="1"/>
    <col min="104" max="16384" width="9" style="2"/>
  </cols>
  <sheetData>
    <row r="1" spans="1:103" ht="44.25" customHeight="1">
      <c r="A1" s="1" t="s">
        <v>73</v>
      </c>
    </row>
    <row r="2" spans="1:103" ht="29.25" customHeight="1">
      <c r="A2" s="2"/>
    </row>
    <row r="3" spans="1:103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  <c r="CK3" s="4">
        <v>2028</v>
      </c>
      <c r="CL3" s="4">
        <v>2029</v>
      </c>
      <c r="CM3" s="4">
        <v>2030</v>
      </c>
      <c r="CN3" s="4">
        <v>2031</v>
      </c>
      <c r="CO3" s="4">
        <v>2032</v>
      </c>
      <c r="CP3" s="4">
        <v>2033</v>
      </c>
      <c r="CQ3" s="4">
        <v>2034</v>
      </c>
      <c r="CR3" s="4">
        <v>2035</v>
      </c>
      <c r="CS3" s="4">
        <v>2036</v>
      </c>
      <c r="CT3" s="3">
        <v>2026</v>
      </c>
    </row>
    <row r="4" spans="1:103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X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  <c r="CK4" s="7">
        <f t="shared" si="0"/>
        <v>45748</v>
      </c>
      <c r="CL4" s="7">
        <f t="shared" si="0"/>
        <v>45778</v>
      </c>
      <c r="CM4" s="7">
        <f t="shared" si="0"/>
        <v>45809</v>
      </c>
      <c r="CN4" s="7">
        <f t="shared" si="0"/>
        <v>45839</v>
      </c>
      <c r="CO4" s="7">
        <f t="shared" si="0"/>
        <v>45870</v>
      </c>
      <c r="CP4" s="7">
        <f t="shared" si="0"/>
        <v>45901</v>
      </c>
      <c r="CQ4" s="7">
        <f t="shared" si="0"/>
        <v>45931</v>
      </c>
      <c r="CR4" s="7">
        <f t="shared" si="0"/>
        <v>45962</v>
      </c>
      <c r="CS4" s="7">
        <f t="shared" si="0"/>
        <v>45992</v>
      </c>
      <c r="CT4" s="28">
        <f t="shared" si="0"/>
        <v>46023</v>
      </c>
      <c r="CU4" s="28">
        <f t="shared" si="0"/>
        <v>46054</v>
      </c>
      <c r="CV4" s="28">
        <f t="shared" si="0"/>
        <v>46082</v>
      </c>
      <c r="CW4" s="28">
        <f t="shared" si="0"/>
        <v>46113</v>
      </c>
      <c r="CX4" s="28">
        <f t="shared" si="0"/>
        <v>46143</v>
      </c>
      <c r="CY4" s="28">
        <f t="shared" ref="CY4" si="1">EDATE(CX4,1)</f>
        <v>46174</v>
      </c>
    </row>
    <row r="5" spans="1:103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  <c r="CK5" s="48">
        <v>11267569</v>
      </c>
      <c r="CL5" s="48">
        <v>11221773</v>
      </c>
      <c r="CM5" s="48">
        <v>11174729</v>
      </c>
      <c r="CN5" s="48">
        <v>11128513</v>
      </c>
      <c r="CO5" s="48">
        <v>11084083</v>
      </c>
      <c r="CP5" s="48">
        <v>11038662</v>
      </c>
      <c r="CQ5" s="48">
        <v>10991322</v>
      </c>
      <c r="CR5" s="48">
        <v>10948493</v>
      </c>
      <c r="CS5" s="48">
        <v>10889505</v>
      </c>
      <c r="CT5" s="48">
        <v>10836104</v>
      </c>
      <c r="CU5" s="48">
        <v>10793400</v>
      </c>
      <c r="CV5" s="48">
        <v>10739611</v>
      </c>
      <c r="CW5" s="48">
        <v>10692242</v>
      </c>
      <c r="CX5" s="48">
        <v>10650162</v>
      </c>
      <c r="CY5" s="48">
        <v>10602458</v>
      </c>
    </row>
    <row r="6" spans="1:103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S6" si="2">BI5-BH5</f>
        <v>-43791</v>
      </c>
      <c r="BJ6" s="12">
        <f t="shared" si="2"/>
        <v>-43075</v>
      </c>
      <c r="BK6" s="12">
        <f t="shared" si="2"/>
        <v>-48390</v>
      </c>
      <c r="BL6" s="12">
        <f t="shared" si="2"/>
        <v>-44297</v>
      </c>
      <c r="BM6" s="12">
        <f t="shared" si="2"/>
        <v>-41023</v>
      </c>
      <c r="BN6" s="12">
        <f t="shared" si="2"/>
        <v>-50187</v>
      </c>
      <c r="BO6" s="12">
        <f t="shared" si="2"/>
        <v>-44382</v>
      </c>
      <c r="BP6" s="12">
        <f t="shared" si="2"/>
        <v>-46079</v>
      </c>
      <c r="BQ6" s="12">
        <f t="shared" si="2"/>
        <v>-46097</v>
      </c>
      <c r="BR6" s="12">
        <f t="shared" si="2"/>
        <v>-33410</v>
      </c>
      <c r="BS6" s="12">
        <f t="shared" si="2"/>
        <v>-45805</v>
      </c>
      <c r="BT6" s="12">
        <f t="shared" si="2"/>
        <v>-44873</v>
      </c>
      <c r="BU6" s="12">
        <f t="shared" si="2"/>
        <v>-58926</v>
      </c>
      <c r="BV6" s="12">
        <f t="shared" si="2"/>
        <v>-57006</v>
      </c>
      <c r="BW6" s="12">
        <f t="shared" si="2"/>
        <v>-30584</v>
      </c>
      <c r="BX6" s="12">
        <f t="shared" si="2"/>
        <v>-44114</v>
      </c>
      <c r="BY6" s="12">
        <f t="shared" si="2"/>
        <v>-58992</v>
      </c>
      <c r="BZ6" s="12">
        <f t="shared" si="2"/>
        <v>-52934</v>
      </c>
      <c r="CA6" s="12">
        <f t="shared" si="2"/>
        <v>-42622</v>
      </c>
      <c r="CB6" s="12">
        <f t="shared" si="2"/>
        <v>-48655</v>
      </c>
      <c r="CC6" s="12">
        <f t="shared" si="2"/>
        <v>-44071</v>
      </c>
      <c r="CD6" s="12">
        <f t="shared" si="2"/>
        <v>-39478</v>
      </c>
      <c r="CE6" s="12">
        <f t="shared" si="2"/>
        <v>-46598</v>
      </c>
      <c r="CF6" s="12">
        <f t="shared" si="2"/>
        <v>-42316</v>
      </c>
      <c r="CG6" s="12">
        <f t="shared" si="2"/>
        <v>-52392</v>
      </c>
      <c r="CH6" s="12">
        <f t="shared" si="2"/>
        <v>-45378</v>
      </c>
      <c r="CI6" s="12">
        <f t="shared" si="2"/>
        <v>-58204</v>
      </c>
      <c r="CJ6" s="12">
        <f t="shared" si="2"/>
        <v>-51567</v>
      </c>
      <c r="CK6" s="12">
        <f t="shared" si="2"/>
        <v>-52233</v>
      </c>
      <c r="CL6" s="12">
        <f t="shared" si="2"/>
        <v>-45796</v>
      </c>
      <c r="CM6" s="12">
        <f t="shared" si="2"/>
        <v>-47044</v>
      </c>
      <c r="CN6" s="12">
        <f t="shared" si="2"/>
        <v>-46216</v>
      </c>
      <c r="CO6" s="12">
        <f t="shared" si="2"/>
        <v>-44430</v>
      </c>
      <c r="CP6" s="12">
        <f t="shared" si="2"/>
        <v>-45421</v>
      </c>
      <c r="CQ6" s="12">
        <f t="shared" si="2"/>
        <v>-47340</v>
      </c>
      <c r="CR6" s="12">
        <f t="shared" si="2"/>
        <v>-42829</v>
      </c>
      <c r="CS6" s="12">
        <f t="shared" si="2"/>
        <v>-58988</v>
      </c>
      <c r="CT6" s="12">
        <f>CT5-CS5</f>
        <v>-53401</v>
      </c>
      <c r="CU6" s="12">
        <f t="shared" ref="CU6:CX6" si="3">CU5-CT5</f>
        <v>-42704</v>
      </c>
      <c r="CV6" s="12">
        <f t="shared" si="3"/>
        <v>-53789</v>
      </c>
      <c r="CW6" s="12">
        <f t="shared" si="3"/>
        <v>-47369</v>
      </c>
      <c r="CX6" s="12">
        <f t="shared" si="3"/>
        <v>-42080</v>
      </c>
      <c r="CY6" s="12">
        <f t="shared" ref="CY6" si="4">CY5-CX5</f>
        <v>-47704</v>
      </c>
    </row>
    <row r="7" spans="1:103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  <c r="CK7" s="10">
        <v>8074755</v>
      </c>
      <c r="CL7" s="10">
        <v>8031465</v>
      </c>
      <c r="CM7" s="10">
        <v>7988370</v>
      </c>
      <c r="CN7" s="10">
        <v>7939134</v>
      </c>
      <c r="CO7" s="10">
        <v>7894405</v>
      </c>
      <c r="CP7" s="10">
        <v>7851076</v>
      </c>
      <c r="CQ7" s="10">
        <v>7807226</v>
      </c>
      <c r="CR7" s="10">
        <v>7767036</v>
      </c>
      <c r="CS7" s="10">
        <v>7715771</v>
      </c>
      <c r="CT7" s="10">
        <v>7668535</v>
      </c>
      <c r="CU7" s="10">
        <v>7629238</v>
      </c>
      <c r="CV7" s="10">
        <v>7578235</v>
      </c>
      <c r="CW7" s="10">
        <v>7533213</v>
      </c>
      <c r="CX7" s="10">
        <v>7492254</v>
      </c>
      <c r="CY7" s="10">
        <v>7446946</v>
      </c>
    </row>
    <row r="8" spans="1:103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T8" si="5">BI7-BH7</f>
        <v>-45048</v>
      </c>
      <c r="BJ8" s="15">
        <f t="shared" si="5"/>
        <v>-43511</v>
      </c>
      <c r="BK8" s="15">
        <f t="shared" si="5"/>
        <v>-51293</v>
      </c>
      <c r="BL8" s="15">
        <f t="shared" si="5"/>
        <v>-54718</v>
      </c>
      <c r="BM8" s="15">
        <f t="shared" si="5"/>
        <v>-42576</v>
      </c>
      <c r="BN8" s="15">
        <f t="shared" si="5"/>
        <v>-49067</v>
      </c>
      <c r="BO8" s="15">
        <f t="shared" si="5"/>
        <v>-45269</v>
      </c>
      <c r="BP8" s="15">
        <f t="shared" si="5"/>
        <v>-46517</v>
      </c>
      <c r="BQ8" s="15">
        <f t="shared" si="5"/>
        <v>-46489</v>
      </c>
      <c r="BR8" s="15">
        <f t="shared" si="5"/>
        <v>-36445</v>
      </c>
      <c r="BS8" s="15">
        <f t="shared" si="5"/>
        <v>-44730</v>
      </c>
      <c r="BT8" s="15">
        <f t="shared" si="5"/>
        <v>-44633</v>
      </c>
      <c r="BU8" s="15">
        <f t="shared" si="5"/>
        <v>-50467</v>
      </c>
      <c r="BV8" s="15">
        <f t="shared" si="5"/>
        <v>-57112</v>
      </c>
      <c r="BW8" s="15">
        <f t="shared" si="5"/>
        <v>-42998</v>
      </c>
      <c r="BX8" s="15">
        <f t="shared" si="5"/>
        <v>-46433</v>
      </c>
      <c r="BY8" s="15">
        <f t="shared" si="5"/>
        <v>-57546</v>
      </c>
      <c r="BZ8" s="15">
        <f t="shared" si="5"/>
        <v>-45960</v>
      </c>
      <c r="CA8" s="15">
        <f t="shared" si="5"/>
        <v>-43733</v>
      </c>
      <c r="CB8" s="15">
        <f t="shared" si="5"/>
        <v>-48058</v>
      </c>
      <c r="CC8" s="15">
        <f t="shared" si="5"/>
        <v>-44399</v>
      </c>
      <c r="CD8" s="15">
        <f t="shared" si="5"/>
        <v>-39002</v>
      </c>
      <c r="CE8" s="15">
        <f t="shared" si="5"/>
        <v>-44516</v>
      </c>
      <c r="CF8" s="15">
        <f t="shared" si="5"/>
        <v>-39001</v>
      </c>
      <c r="CG8" s="15">
        <f t="shared" si="5"/>
        <v>-46932</v>
      </c>
      <c r="CH8" s="15">
        <f t="shared" si="5"/>
        <v>-39397</v>
      </c>
      <c r="CI8" s="15">
        <f t="shared" si="5"/>
        <v>-53685</v>
      </c>
      <c r="CJ8" s="15">
        <f t="shared" si="5"/>
        <v>-49154</v>
      </c>
      <c r="CK8" s="15">
        <f t="shared" si="5"/>
        <v>-47292</v>
      </c>
      <c r="CL8" s="15">
        <f t="shared" si="5"/>
        <v>-43290</v>
      </c>
      <c r="CM8" s="15">
        <f t="shared" si="5"/>
        <v>-43095</v>
      </c>
      <c r="CN8" s="15">
        <f t="shared" si="5"/>
        <v>-49236</v>
      </c>
      <c r="CO8" s="15">
        <f t="shared" si="5"/>
        <v>-44729</v>
      </c>
      <c r="CP8" s="15">
        <f t="shared" si="5"/>
        <v>-43329</v>
      </c>
      <c r="CQ8" s="15">
        <f t="shared" si="5"/>
        <v>-43850</v>
      </c>
      <c r="CR8" s="15">
        <f t="shared" si="5"/>
        <v>-40190</v>
      </c>
      <c r="CS8" s="15">
        <f t="shared" si="5"/>
        <v>-51265</v>
      </c>
      <c r="CT8" s="15">
        <f t="shared" si="5"/>
        <v>-47236</v>
      </c>
      <c r="CU8" s="15">
        <f t="shared" ref="CU8" si="6">CU7-CT7</f>
        <v>-39297</v>
      </c>
      <c r="CV8" s="15">
        <f t="shared" ref="CV8" si="7">CV7-CU7</f>
        <v>-51003</v>
      </c>
      <c r="CW8" s="15">
        <f t="shared" ref="CW8:CX8" si="8">CW7-CV7</f>
        <v>-45022</v>
      </c>
      <c r="CX8" s="15">
        <f t="shared" si="8"/>
        <v>-40959</v>
      </c>
      <c r="CY8" s="15">
        <f t="shared" ref="CY8" si="9">CY7-CX7</f>
        <v>-45308</v>
      </c>
    </row>
    <row r="9" spans="1:103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  <c r="CK9" s="49">
        <v>7158643</v>
      </c>
      <c r="CL9" s="49">
        <v>7117063</v>
      </c>
      <c r="CM9" s="49">
        <v>7076257</v>
      </c>
      <c r="CN9" s="49">
        <v>7027211</v>
      </c>
      <c r="CO9" s="49">
        <v>6982131</v>
      </c>
      <c r="CP9" s="49">
        <v>6940467</v>
      </c>
      <c r="CQ9" s="49">
        <v>6897334</v>
      </c>
      <c r="CR9" s="49">
        <v>6857002</v>
      </c>
      <c r="CS9" s="49">
        <v>6807474</v>
      </c>
      <c r="CT9" s="49">
        <v>6760094</v>
      </c>
      <c r="CU9" s="49">
        <v>6722018</v>
      </c>
      <c r="CV9" s="49">
        <v>6672423</v>
      </c>
      <c r="CW9" s="49">
        <v>6630905</v>
      </c>
      <c r="CX9" s="49">
        <v>6591728</v>
      </c>
      <c r="CY9" s="49">
        <v>6548492</v>
      </c>
    </row>
    <row r="10" spans="1:103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10">BQ7-BQ9</f>
        <v>933056</v>
      </c>
      <c r="BR10" s="61">
        <f t="shared" si="10"/>
        <v>934467</v>
      </c>
      <c r="BS10" s="61">
        <f t="shared" si="10"/>
        <v>934665</v>
      </c>
      <c r="BT10" s="49">
        <f t="shared" si="10"/>
        <v>934837</v>
      </c>
      <c r="BU10" s="49">
        <f t="shared" si="10"/>
        <v>928193</v>
      </c>
      <c r="BV10" s="49">
        <f t="shared" si="10"/>
        <v>926805</v>
      </c>
      <c r="BW10" s="49">
        <f t="shared" ref="BW10:BY10" si="11">BW7-BW9</f>
        <v>930328</v>
      </c>
      <c r="BX10" s="49">
        <f t="shared" si="11"/>
        <v>932429</v>
      </c>
      <c r="BY10" s="49">
        <f t="shared" si="11"/>
        <v>923014</v>
      </c>
      <c r="BZ10" s="49">
        <f t="shared" ref="BZ10:CA10" si="12">BZ7-BZ9</f>
        <v>923295</v>
      </c>
      <c r="CA10" s="49">
        <f t="shared" si="12"/>
        <v>921111</v>
      </c>
      <c r="CB10" s="49">
        <f t="shared" ref="CB10:CC10" si="13">CB7-CB9</f>
        <v>918735</v>
      </c>
      <c r="CC10" s="49">
        <f t="shared" si="13"/>
        <v>917858</v>
      </c>
      <c r="CD10" s="49">
        <f t="shared" ref="CD10:CE10" si="14">CD7-CD9</f>
        <v>916735</v>
      </c>
      <c r="CE10" s="49">
        <f t="shared" si="14"/>
        <v>916234</v>
      </c>
      <c r="CF10" s="49">
        <f t="shared" ref="CF10:CG10" si="15">CF7-CF9</f>
        <v>919057</v>
      </c>
      <c r="CG10" s="49">
        <f t="shared" si="15"/>
        <v>917395</v>
      </c>
      <c r="CH10" s="49">
        <f t="shared" ref="CH10:CI10" si="16">CH7-CH9</f>
        <v>917984</v>
      </c>
      <c r="CI10" s="49">
        <f t="shared" si="16"/>
        <v>917875</v>
      </c>
      <c r="CJ10" s="49">
        <f t="shared" ref="CJ10:CK10" si="17">CJ7-CJ9</f>
        <v>917069</v>
      </c>
      <c r="CK10" s="49">
        <f t="shared" si="17"/>
        <v>916112</v>
      </c>
      <c r="CL10" s="49">
        <f t="shared" ref="CL10:CM10" si="18">CL7-CL9</f>
        <v>914402</v>
      </c>
      <c r="CM10" s="49">
        <f t="shared" si="18"/>
        <v>912113</v>
      </c>
      <c r="CN10" s="49">
        <f t="shared" ref="CN10:CO10" si="19">CN7-CN9</f>
        <v>911923</v>
      </c>
      <c r="CO10" s="49">
        <f t="shared" si="19"/>
        <v>912274</v>
      </c>
      <c r="CP10" s="49">
        <f t="shared" ref="CP10:CQ10" si="20">CP7-CP9</f>
        <v>910609</v>
      </c>
      <c r="CQ10" s="49">
        <f t="shared" si="20"/>
        <v>909892</v>
      </c>
      <c r="CR10" s="49">
        <f t="shared" ref="CR10:CS10" si="21">CR7-CR9</f>
        <v>910034</v>
      </c>
      <c r="CS10" s="49">
        <f t="shared" si="21"/>
        <v>908297</v>
      </c>
      <c r="CT10" s="49">
        <f t="shared" ref="CT10" si="22">CT7-CT9</f>
        <v>908441</v>
      </c>
      <c r="CU10" s="49">
        <f t="shared" ref="CU10" si="23">CU7-CU9</f>
        <v>907220</v>
      </c>
      <c r="CV10" s="49">
        <v>905812</v>
      </c>
      <c r="CW10" s="49">
        <v>902308</v>
      </c>
      <c r="CX10" s="49">
        <v>900526</v>
      </c>
      <c r="CY10" s="49">
        <v>898454</v>
      </c>
    </row>
    <row r="11" spans="1:103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  <c r="CK11" s="10">
        <v>3192814</v>
      </c>
      <c r="CL11" s="10">
        <v>3190308</v>
      </c>
      <c r="CM11" s="10">
        <v>3186359</v>
      </c>
      <c r="CN11" s="10">
        <f t="shared" ref="CN11:CR11" si="24">CN5-CN7</f>
        <v>3189379</v>
      </c>
      <c r="CO11" s="10">
        <f t="shared" si="24"/>
        <v>3189678</v>
      </c>
      <c r="CP11" s="10">
        <f t="shared" si="24"/>
        <v>3187586</v>
      </c>
      <c r="CQ11" s="10">
        <f t="shared" si="24"/>
        <v>3184096</v>
      </c>
      <c r="CR11" s="10">
        <f t="shared" si="24"/>
        <v>3181457</v>
      </c>
      <c r="CS11" s="10">
        <f>CS5-CS7</f>
        <v>3173734</v>
      </c>
      <c r="CT11" s="10">
        <f>CT5-CT7</f>
        <v>3167569</v>
      </c>
      <c r="CU11" s="10">
        <f t="shared" ref="CU11:CW11" si="25">CU5-CU7</f>
        <v>3164162</v>
      </c>
      <c r="CV11" s="10">
        <f t="shared" si="25"/>
        <v>3161376</v>
      </c>
      <c r="CW11" s="10">
        <f t="shared" si="25"/>
        <v>3159029</v>
      </c>
      <c r="CX11" s="10">
        <f t="shared" ref="CX11:CY11" si="26">CX5-CX7</f>
        <v>3157908</v>
      </c>
      <c r="CY11" s="10">
        <f t="shared" si="26"/>
        <v>3155512</v>
      </c>
    </row>
    <row r="12" spans="1:103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T12" si="27">BI11-BH11</f>
        <v>1257</v>
      </c>
      <c r="BJ12" s="12">
        <f t="shared" si="27"/>
        <v>436</v>
      </c>
      <c r="BK12" s="12">
        <f t="shared" si="27"/>
        <v>2903</v>
      </c>
      <c r="BL12" s="12">
        <f t="shared" si="27"/>
        <v>10421</v>
      </c>
      <c r="BM12" s="12">
        <f t="shared" si="27"/>
        <v>1553</v>
      </c>
      <c r="BN12" s="12">
        <f t="shared" si="27"/>
        <v>-1120</v>
      </c>
      <c r="BO12" s="12">
        <f t="shared" si="27"/>
        <v>887</v>
      </c>
      <c r="BP12" s="12">
        <f t="shared" si="27"/>
        <v>438</v>
      </c>
      <c r="BQ12" s="12">
        <f t="shared" si="27"/>
        <v>392</v>
      </c>
      <c r="BR12" s="12">
        <f t="shared" si="27"/>
        <v>3035</v>
      </c>
      <c r="BS12" s="12">
        <f t="shared" si="27"/>
        <v>-1075</v>
      </c>
      <c r="BT12" s="12">
        <f t="shared" si="27"/>
        <v>-240</v>
      </c>
      <c r="BU12" s="12">
        <f t="shared" si="27"/>
        <v>-8459</v>
      </c>
      <c r="BV12" s="12">
        <f t="shared" si="27"/>
        <v>106</v>
      </c>
      <c r="BW12" s="12">
        <f t="shared" si="27"/>
        <v>12414</v>
      </c>
      <c r="BX12" s="12">
        <f t="shared" si="27"/>
        <v>2319</v>
      </c>
      <c r="BY12" s="12">
        <f t="shared" si="27"/>
        <v>-1446</v>
      </c>
      <c r="BZ12" s="12">
        <f t="shared" si="27"/>
        <v>-6974</v>
      </c>
      <c r="CA12" s="12">
        <f t="shared" si="27"/>
        <v>1111</v>
      </c>
      <c r="CB12" s="12">
        <f t="shared" si="27"/>
        <v>-597</v>
      </c>
      <c r="CC12" s="12">
        <f t="shared" si="27"/>
        <v>328</v>
      </c>
      <c r="CD12" s="12">
        <f t="shared" si="27"/>
        <v>-476</v>
      </c>
      <c r="CE12" s="12">
        <f t="shared" si="27"/>
        <v>-2082</v>
      </c>
      <c r="CF12" s="12">
        <f t="shared" si="27"/>
        <v>-3315</v>
      </c>
      <c r="CG12" s="12">
        <f t="shared" si="27"/>
        <v>-5460</v>
      </c>
      <c r="CH12" s="12">
        <f t="shared" si="27"/>
        <v>-5981</v>
      </c>
      <c r="CI12" s="12">
        <f t="shared" si="27"/>
        <v>-4519</v>
      </c>
      <c r="CJ12" s="12">
        <f t="shared" si="27"/>
        <v>-2413</v>
      </c>
      <c r="CK12" s="12">
        <f t="shared" si="27"/>
        <v>-4941</v>
      </c>
      <c r="CL12" s="12">
        <f t="shared" si="27"/>
        <v>-2506</v>
      </c>
      <c r="CM12" s="12">
        <f t="shared" si="27"/>
        <v>-3949</v>
      </c>
      <c r="CN12" s="12">
        <f t="shared" si="27"/>
        <v>3020</v>
      </c>
      <c r="CO12" s="12">
        <f t="shared" si="27"/>
        <v>299</v>
      </c>
      <c r="CP12" s="12">
        <f t="shared" si="27"/>
        <v>-2092</v>
      </c>
      <c r="CQ12" s="12">
        <f t="shared" si="27"/>
        <v>-3490</v>
      </c>
      <c r="CR12" s="12">
        <f t="shared" si="27"/>
        <v>-2639</v>
      </c>
      <c r="CS12" s="12">
        <f t="shared" si="27"/>
        <v>-7723</v>
      </c>
      <c r="CT12" s="12">
        <f t="shared" si="27"/>
        <v>-6165</v>
      </c>
      <c r="CU12" s="12">
        <f t="shared" ref="CU12:CX12" si="28">CU11-CT11</f>
        <v>-3407</v>
      </c>
      <c r="CV12" s="12">
        <f t="shared" ref="CV12" si="29">CV11-CU11</f>
        <v>-2786</v>
      </c>
      <c r="CW12" s="12">
        <f t="shared" si="28"/>
        <v>-2347</v>
      </c>
      <c r="CX12" s="12">
        <f t="shared" si="28"/>
        <v>-1121</v>
      </c>
      <c r="CY12" s="12">
        <f t="shared" ref="CY12" si="30">CY11-CX11</f>
        <v>-2396</v>
      </c>
    </row>
    <row r="13" spans="1:103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103" s="37" customFormat="1" ht="15" customHeight="1">
      <c r="A14" s="41"/>
      <c r="BB14" s="18"/>
      <c r="BC14" s="18"/>
      <c r="BD14" s="18"/>
      <c r="BE14" s="18"/>
      <c r="BF14" s="18"/>
      <c r="BG14" s="18"/>
    </row>
    <row r="15" spans="1:103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103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S16" si="31">EDATE(BK16,1)</f>
        <v>44986</v>
      </c>
      <c r="BM16" s="7">
        <f t="shared" si="31"/>
        <v>45017</v>
      </c>
      <c r="BN16" s="7">
        <f t="shared" si="31"/>
        <v>45047</v>
      </c>
      <c r="BO16" s="7">
        <f t="shared" si="31"/>
        <v>45078</v>
      </c>
      <c r="BP16" s="7">
        <f t="shared" si="31"/>
        <v>45108</v>
      </c>
      <c r="BQ16" s="7">
        <f t="shared" si="31"/>
        <v>45139</v>
      </c>
      <c r="BR16" s="7">
        <f t="shared" si="31"/>
        <v>45170</v>
      </c>
      <c r="BS16" s="7">
        <f t="shared" si="31"/>
        <v>45200</v>
      </c>
      <c r="BT16" s="7">
        <f t="shared" si="31"/>
        <v>45231</v>
      </c>
      <c r="BU16" s="7">
        <f t="shared" si="31"/>
        <v>45261</v>
      </c>
      <c r="BV16" s="28">
        <f t="shared" si="31"/>
        <v>45292</v>
      </c>
      <c r="BW16" s="28">
        <f t="shared" si="31"/>
        <v>45323</v>
      </c>
      <c r="BX16" s="28">
        <f t="shared" si="31"/>
        <v>45352</v>
      </c>
      <c r="BY16" s="28">
        <f t="shared" si="31"/>
        <v>45383</v>
      </c>
      <c r="BZ16" s="28">
        <f t="shared" si="31"/>
        <v>45413</v>
      </c>
      <c r="CA16" s="28">
        <f t="shared" si="31"/>
        <v>45444</v>
      </c>
      <c r="CB16" s="28">
        <f t="shared" si="31"/>
        <v>45474</v>
      </c>
      <c r="CC16" s="28">
        <f t="shared" si="31"/>
        <v>45505</v>
      </c>
      <c r="CD16" s="28">
        <f t="shared" si="31"/>
        <v>45536</v>
      </c>
      <c r="CE16" s="28">
        <f t="shared" si="31"/>
        <v>45566</v>
      </c>
      <c r="CF16" s="28">
        <f t="shared" si="31"/>
        <v>45597</v>
      </c>
      <c r="CG16" s="28">
        <f t="shared" si="31"/>
        <v>45627</v>
      </c>
      <c r="CH16" s="7">
        <f t="shared" si="31"/>
        <v>45658</v>
      </c>
      <c r="CI16" s="7">
        <f t="shared" si="31"/>
        <v>45689</v>
      </c>
      <c r="CJ16" s="7">
        <f t="shared" si="31"/>
        <v>45717</v>
      </c>
      <c r="CK16" s="7">
        <f t="shared" si="31"/>
        <v>45748</v>
      </c>
      <c r="CL16" s="7">
        <f t="shared" si="31"/>
        <v>45778</v>
      </c>
      <c r="CM16" s="7">
        <f t="shared" si="31"/>
        <v>45809</v>
      </c>
      <c r="CN16" s="7">
        <f t="shared" si="31"/>
        <v>45839</v>
      </c>
      <c r="CO16" s="7">
        <f t="shared" si="31"/>
        <v>45870</v>
      </c>
      <c r="CP16" s="7">
        <f t="shared" si="31"/>
        <v>45901</v>
      </c>
      <c r="CQ16" s="7">
        <f t="shared" si="31"/>
        <v>45931</v>
      </c>
      <c r="CR16" s="7">
        <f t="shared" si="31"/>
        <v>45962</v>
      </c>
      <c r="CS16" s="7">
        <f t="shared" si="31"/>
        <v>45992</v>
      </c>
      <c r="CT16" s="28">
        <f t="shared" ref="CT16" si="32">EDATE(CS16,1)</f>
        <v>46023</v>
      </c>
      <c r="CU16" s="28">
        <f t="shared" ref="CU16:CX16" si="33">EDATE(CT16,1)</f>
        <v>46054</v>
      </c>
      <c r="CV16" s="28">
        <f t="shared" si="33"/>
        <v>46082</v>
      </c>
      <c r="CW16" s="28">
        <f t="shared" si="33"/>
        <v>46113</v>
      </c>
      <c r="CX16" s="28">
        <f t="shared" si="33"/>
        <v>46143</v>
      </c>
      <c r="CY16" s="28">
        <f t="shared" ref="CY16" si="34">EDATE(CX16,1)</f>
        <v>46174</v>
      </c>
    </row>
    <row r="17" spans="1:103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  <c r="CK17" s="10">
        <v>9997535</v>
      </c>
      <c r="CL17" s="10">
        <v>10046613</v>
      </c>
      <c r="CM17" s="10">
        <v>10073266</v>
      </c>
      <c r="CN17" s="10">
        <v>10101662</v>
      </c>
      <c r="CO17" s="10">
        <v>10119438</v>
      </c>
      <c r="CP17" s="10">
        <v>10134939</v>
      </c>
      <c r="CQ17" s="10">
        <v>10144514</v>
      </c>
      <c r="CR17" s="10">
        <v>10158469</v>
      </c>
      <c r="CS17" s="10">
        <v>10170090</v>
      </c>
      <c r="CT17" s="10">
        <v>10159316</v>
      </c>
      <c r="CU17" s="10">
        <v>10168373</v>
      </c>
      <c r="CV17" s="10">
        <v>10187835</v>
      </c>
      <c r="CW17" s="10">
        <v>10204566</v>
      </c>
      <c r="CX17" s="10">
        <v>10218375</v>
      </c>
      <c r="CY17" s="10">
        <v>10230596</v>
      </c>
    </row>
    <row r="18" spans="1:103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X18" si="35">BI17-BH17</f>
        <v>7508</v>
      </c>
      <c r="BJ18" s="12">
        <f t="shared" si="35"/>
        <v>11056</v>
      </c>
      <c r="BK18" s="12">
        <f t="shared" si="35"/>
        <v>18245</v>
      </c>
      <c r="BL18" s="12">
        <f t="shared" si="35"/>
        <v>17766</v>
      </c>
      <c r="BM18" s="12">
        <f t="shared" si="35"/>
        <v>14046</v>
      </c>
      <c r="BN18" s="12">
        <f t="shared" si="35"/>
        <v>11529</v>
      </c>
      <c r="BO18" s="12">
        <f t="shared" si="35"/>
        <v>12676</v>
      </c>
      <c r="BP18" s="12">
        <f t="shared" si="35"/>
        <v>5456</v>
      </c>
      <c r="BQ18" s="12">
        <f t="shared" si="35"/>
        <v>-18440</v>
      </c>
      <c r="BR18" s="12">
        <f t="shared" si="35"/>
        <v>11366</v>
      </c>
      <c r="BS18" s="12">
        <f t="shared" si="35"/>
        <v>6109</v>
      </c>
      <c r="BT18" s="12">
        <f t="shared" si="35"/>
        <v>7598</v>
      </c>
      <c r="BU18" s="12">
        <f t="shared" si="35"/>
        <v>3098</v>
      </c>
      <c r="BV18" s="12">
        <f t="shared" si="35"/>
        <v>7546</v>
      </c>
      <c r="BW18" s="12">
        <f t="shared" si="35"/>
        <v>8546</v>
      </c>
      <c r="BX18" s="12">
        <f t="shared" si="35"/>
        <v>18567</v>
      </c>
      <c r="BY18" s="12">
        <f t="shared" si="35"/>
        <v>11502</v>
      </c>
      <c r="BZ18" s="12">
        <f t="shared" si="35"/>
        <v>13235</v>
      </c>
      <c r="CA18" s="12">
        <f t="shared" si="35"/>
        <v>12278</v>
      </c>
      <c r="CB18" s="12">
        <f t="shared" si="35"/>
        <v>8204</v>
      </c>
      <c r="CC18" s="12">
        <f t="shared" si="35"/>
        <v>11419</v>
      </c>
      <c r="CD18" s="12">
        <f t="shared" si="35"/>
        <v>9617</v>
      </c>
      <c r="CE18" s="12">
        <f t="shared" si="35"/>
        <v>10488</v>
      </c>
      <c r="CF18" s="12">
        <f t="shared" si="35"/>
        <v>10438</v>
      </c>
      <c r="CG18" s="12">
        <f t="shared" si="35"/>
        <v>7428</v>
      </c>
      <c r="CH18" s="12">
        <f t="shared" si="35"/>
        <v>4719</v>
      </c>
      <c r="CI18" s="12">
        <f t="shared" si="35"/>
        <v>10574</v>
      </c>
      <c r="CJ18" s="12">
        <f t="shared" si="35"/>
        <v>12547</v>
      </c>
      <c r="CK18" s="12">
        <f t="shared" si="35"/>
        <v>13347</v>
      </c>
      <c r="CL18" s="12">
        <f t="shared" si="35"/>
        <v>49078</v>
      </c>
      <c r="CM18" s="12">
        <f t="shared" si="35"/>
        <v>26653</v>
      </c>
      <c r="CN18" s="12">
        <f t="shared" si="35"/>
        <v>28396</v>
      </c>
      <c r="CO18" s="12">
        <f t="shared" si="35"/>
        <v>17776</v>
      </c>
      <c r="CP18" s="12">
        <f t="shared" si="35"/>
        <v>15501</v>
      </c>
      <c r="CQ18" s="12">
        <f t="shared" si="35"/>
        <v>9575</v>
      </c>
      <c r="CR18" s="12">
        <f t="shared" si="35"/>
        <v>13955</v>
      </c>
      <c r="CS18" s="12">
        <f t="shared" si="35"/>
        <v>11621</v>
      </c>
      <c r="CT18" s="12">
        <f t="shared" si="35"/>
        <v>-10774</v>
      </c>
      <c r="CU18" s="12">
        <f t="shared" si="35"/>
        <v>9057</v>
      </c>
      <c r="CV18" s="12">
        <f t="shared" si="35"/>
        <v>19462</v>
      </c>
      <c r="CW18" s="12">
        <f t="shared" si="35"/>
        <v>16731</v>
      </c>
      <c r="CX18" s="12">
        <f t="shared" si="35"/>
        <v>13809</v>
      </c>
      <c r="CY18" s="12">
        <f t="shared" ref="CY18" si="36">CY17-CX17</f>
        <v>12221</v>
      </c>
    </row>
    <row r="19" spans="1:103" s="37" customFormat="1" ht="15" customHeight="1">
      <c r="A19" s="41"/>
    </row>
    <row r="20" spans="1:103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103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S21" si="37">EDATE(BK21,1)</f>
        <v>44986</v>
      </c>
      <c r="BM21" s="7">
        <f t="shared" si="37"/>
        <v>45017</v>
      </c>
      <c r="BN21" s="7">
        <f t="shared" si="37"/>
        <v>45047</v>
      </c>
      <c r="BO21" s="7">
        <f t="shared" si="37"/>
        <v>45078</v>
      </c>
      <c r="BP21" s="7">
        <f t="shared" si="37"/>
        <v>45108</v>
      </c>
      <c r="BQ21" s="7">
        <f t="shared" si="37"/>
        <v>45139</v>
      </c>
      <c r="BR21" s="7">
        <f t="shared" si="37"/>
        <v>45170</v>
      </c>
      <c r="BS21" s="7">
        <f t="shared" si="37"/>
        <v>45200</v>
      </c>
      <c r="BT21" s="7">
        <f t="shared" si="37"/>
        <v>45231</v>
      </c>
      <c r="BU21" s="7">
        <f t="shared" si="37"/>
        <v>45261</v>
      </c>
      <c r="BV21" s="28">
        <f t="shared" si="37"/>
        <v>45292</v>
      </c>
      <c r="BW21" s="28">
        <f t="shared" si="37"/>
        <v>45323</v>
      </c>
      <c r="BX21" s="28">
        <f t="shared" si="37"/>
        <v>45352</v>
      </c>
      <c r="BY21" s="28">
        <f t="shared" si="37"/>
        <v>45383</v>
      </c>
      <c r="BZ21" s="28">
        <f t="shared" si="37"/>
        <v>45413</v>
      </c>
      <c r="CA21" s="28">
        <f t="shared" si="37"/>
        <v>45444</v>
      </c>
      <c r="CB21" s="28">
        <f t="shared" si="37"/>
        <v>45474</v>
      </c>
      <c r="CC21" s="28">
        <f t="shared" si="37"/>
        <v>45505</v>
      </c>
      <c r="CD21" s="28">
        <f t="shared" si="37"/>
        <v>45536</v>
      </c>
      <c r="CE21" s="28">
        <f t="shared" si="37"/>
        <v>45566</v>
      </c>
      <c r="CF21" s="28">
        <f t="shared" si="37"/>
        <v>45597</v>
      </c>
      <c r="CG21" s="28">
        <f t="shared" si="37"/>
        <v>45627</v>
      </c>
      <c r="CH21" s="7">
        <f t="shared" si="37"/>
        <v>45658</v>
      </c>
      <c r="CI21" s="7">
        <f t="shared" si="37"/>
        <v>45689</v>
      </c>
      <c r="CJ21" s="7">
        <f t="shared" si="37"/>
        <v>45717</v>
      </c>
      <c r="CK21" s="7">
        <f t="shared" si="37"/>
        <v>45748</v>
      </c>
      <c r="CL21" s="7">
        <f t="shared" si="37"/>
        <v>45778</v>
      </c>
      <c r="CM21" s="7">
        <f t="shared" si="37"/>
        <v>45809</v>
      </c>
      <c r="CN21" s="7">
        <f t="shared" si="37"/>
        <v>45839</v>
      </c>
      <c r="CO21" s="7">
        <f t="shared" si="37"/>
        <v>45870</v>
      </c>
      <c r="CP21" s="7">
        <f t="shared" si="37"/>
        <v>45901</v>
      </c>
      <c r="CQ21" s="7">
        <f t="shared" si="37"/>
        <v>45931</v>
      </c>
      <c r="CR21" s="7">
        <f t="shared" si="37"/>
        <v>45962</v>
      </c>
      <c r="CS21" s="7">
        <f t="shared" si="37"/>
        <v>45992</v>
      </c>
      <c r="CT21" s="28">
        <f t="shared" ref="CT21" si="38">EDATE(CS21,1)</f>
        <v>46023</v>
      </c>
      <c r="CU21" s="28">
        <f t="shared" ref="CU21:CX21" si="39">EDATE(CT21,1)</f>
        <v>46054</v>
      </c>
      <c r="CV21" s="28">
        <f t="shared" si="39"/>
        <v>46082</v>
      </c>
      <c r="CW21" s="28">
        <f t="shared" si="39"/>
        <v>46113</v>
      </c>
      <c r="CX21" s="28">
        <f t="shared" si="39"/>
        <v>46143</v>
      </c>
      <c r="CY21" s="28">
        <f t="shared" ref="CY21" si="40">EDATE(CX21,1)</f>
        <v>46174</v>
      </c>
    </row>
    <row r="22" spans="1:103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  <c r="CK22" s="10">
        <v>9435310</v>
      </c>
      <c r="CL22" s="10">
        <v>9471291</v>
      </c>
      <c r="CM22" s="10">
        <v>9489925</v>
      </c>
      <c r="CN22" s="10">
        <v>9507123</v>
      </c>
      <c r="CO22" s="10">
        <v>9514589</v>
      </c>
      <c r="CP22" s="10">
        <v>9520239</v>
      </c>
      <c r="CQ22" s="10">
        <v>9523195</v>
      </c>
      <c r="CR22" s="10">
        <v>9529109</v>
      </c>
      <c r="CS22" s="10">
        <v>9532719</v>
      </c>
      <c r="CT22" s="10">
        <v>9509661</v>
      </c>
      <c r="CU22" s="10">
        <v>9512012</v>
      </c>
      <c r="CV22" s="10">
        <v>9520334</v>
      </c>
      <c r="CW22" s="10">
        <v>9529217</v>
      </c>
      <c r="CX22" s="10">
        <v>9537482</v>
      </c>
      <c r="CY22" s="10">
        <v>9543743</v>
      </c>
    </row>
    <row r="23" spans="1:103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41">BI22-BH22</f>
        <v>-2469</v>
      </c>
      <c r="BJ23" s="12">
        <f t="shared" si="41"/>
        <v>3911</v>
      </c>
      <c r="BK23" s="12">
        <f t="shared" si="41"/>
        <v>7254</v>
      </c>
      <c r="BL23" s="12">
        <f t="shared" si="41"/>
        <v>7846</v>
      </c>
      <c r="BM23" s="12">
        <f t="shared" si="41"/>
        <v>9409</v>
      </c>
      <c r="BN23" s="12">
        <f t="shared" si="41"/>
        <v>3241</v>
      </c>
      <c r="BO23" s="12">
        <f t="shared" si="41"/>
        <v>6507</v>
      </c>
      <c r="BP23" s="12">
        <f t="shared" si="41"/>
        <v>-6637</v>
      </c>
      <c r="BQ23" s="12">
        <f t="shared" si="41"/>
        <v>-32993</v>
      </c>
      <c r="BR23" s="12">
        <f t="shared" si="41"/>
        <v>-960</v>
      </c>
      <c r="BS23" s="12">
        <f t="shared" si="41"/>
        <v>-10630</v>
      </c>
      <c r="BT23" s="12">
        <f t="shared" ref="BT23:CX23" si="42">BT22-BS22</f>
        <v>-5128</v>
      </c>
      <c r="BU23" s="12">
        <f t="shared" si="42"/>
        <v>-5296</v>
      </c>
      <c r="BV23" s="12">
        <f t="shared" si="42"/>
        <v>2945</v>
      </c>
      <c r="BW23" s="12">
        <f t="shared" si="42"/>
        <v>575</v>
      </c>
      <c r="BX23" s="12">
        <f t="shared" si="42"/>
        <v>5658</v>
      </c>
      <c r="BY23" s="12">
        <f t="shared" si="42"/>
        <v>-2714</v>
      </c>
      <c r="BZ23" s="12">
        <f t="shared" si="42"/>
        <v>-1179</v>
      </c>
      <c r="CA23" s="12">
        <f t="shared" si="42"/>
        <v>8824</v>
      </c>
      <c r="CB23" s="12">
        <f t="shared" si="42"/>
        <v>5357</v>
      </c>
      <c r="CC23" s="12">
        <f t="shared" si="42"/>
        <v>7962</v>
      </c>
      <c r="CD23" s="12">
        <f t="shared" si="42"/>
        <v>4368</v>
      </c>
      <c r="CE23" s="12">
        <f t="shared" si="42"/>
        <v>2013</v>
      </c>
      <c r="CF23" s="12">
        <f t="shared" si="42"/>
        <v>5141</v>
      </c>
      <c r="CG23" s="12">
        <f t="shared" si="42"/>
        <v>1702</v>
      </c>
      <c r="CH23" s="12">
        <f t="shared" si="42"/>
        <v>-3372</v>
      </c>
      <c r="CI23" s="12">
        <f t="shared" si="42"/>
        <v>-2717</v>
      </c>
      <c r="CJ23" s="12">
        <f t="shared" si="42"/>
        <v>-5559</v>
      </c>
      <c r="CK23" s="12">
        <f t="shared" si="42"/>
        <v>-2348</v>
      </c>
      <c r="CL23" s="12">
        <f t="shared" si="42"/>
        <v>35981</v>
      </c>
      <c r="CM23" s="12">
        <f t="shared" si="42"/>
        <v>18634</v>
      </c>
      <c r="CN23" s="12">
        <f t="shared" si="42"/>
        <v>17198</v>
      </c>
      <c r="CO23" s="12">
        <f t="shared" si="42"/>
        <v>7466</v>
      </c>
      <c r="CP23" s="12">
        <f t="shared" si="42"/>
        <v>5650</v>
      </c>
      <c r="CQ23" s="12">
        <f t="shared" si="42"/>
        <v>2956</v>
      </c>
      <c r="CR23" s="12">
        <f t="shared" si="42"/>
        <v>5914</v>
      </c>
      <c r="CS23" s="12">
        <f t="shared" si="42"/>
        <v>3610</v>
      </c>
      <c r="CT23" s="12">
        <f t="shared" si="42"/>
        <v>-23058</v>
      </c>
      <c r="CU23" s="12">
        <f t="shared" si="42"/>
        <v>2351</v>
      </c>
      <c r="CV23" s="12">
        <f t="shared" si="42"/>
        <v>8322</v>
      </c>
      <c r="CW23" s="12">
        <f t="shared" si="42"/>
        <v>8883</v>
      </c>
      <c r="CX23" s="12">
        <f t="shared" si="42"/>
        <v>8265</v>
      </c>
      <c r="CY23" s="12">
        <f t="shared" ref="CY23" si="43">CY22-CX22</f>
        <v>6261</v>
      </c>
    </row>
    <row r="24" spans="1:103" s="37" customFormat="1" ht="15" customHeight="1">
      <c r="A24" s="41"/>
    </row>
  </sheetData>
  <phoneticPr fontId="2" type="noConversion"/>
  <pageMargins left="0.7" right="0.7" top="0.75" bottom="0.75" header="0.3" footer="0.3"/>
  <pageSetup paperSize="9" scale="53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Wireless(Q)</vt:lpstr>
      <vt:lpstr>Fixed(M)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이주영</dc:creator>
  <cp:lastModifiedBy>윤태현(IR시장분석팀)</cp:lastModifiedBy>
  <cp:lastPrinted>2022-05-02T04:43:26Z</cp:lastPrinted>
  <dcterms:created xsi:type="dcterms:W3CDTF">2016-04-15T08:39:09Z</dcterms:created>
  <dcterms:modified xsi:type="dcterms:W3CDTF">2026-08-12T00:24:47Z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2025-11-07T01:51:28Z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