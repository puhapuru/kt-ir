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24.03 IPTV 수정반영\"/>
    </mc:Choice>
  </mc:AlternateContent>
  <bookViews>
    <workbookView xWindow="-120" yWindow="-120" windowWidth="29040" windowHeight="1584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'Fixed(M)'!$A$1:$CE$24</definedName>
    <definedName name="_xlnm.Print_Area" localSheetId="0">'Wireless(Q)'!$A$1:$AB$20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E4" i="1" l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<sst xmlns="http://schemas.openxmlformats.org/spreadsheetml/2006/main" count="92" uniqueCount="67">
  <si>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</si>
  <si>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</si>
  <si>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</si>
  <si>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</si>
  <si>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</si>
  <si>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</si>
  <si>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</si>
  <si>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</si>
  <si>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</si>
  <si>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</si>
  <si>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</si>
  <si>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</si>
  <si>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</si>
  <si>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</si>
  <si>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</si>
  <si>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</si>
  <si>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</si>
  <si>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</si>
  <si>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</si>
  <si>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</si>
  <si>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</si>
  <si>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</si>
  <si>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</si>
  <si>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</si>
  <si>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</si>
  <si>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</si>
  <si>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</si>
  <si>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</si>
  <si>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</si>
  <si>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</si>
  <si>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</si>
  <si>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</si>
  <si>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</si>
  <si>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</si>
  <si>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</si>
  <si>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</si>
  <si>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</si>
  <si>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</si>
  <si>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</si>
  <si>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</si>
  <si>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</si>
  <si>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</si>
  <si>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</si>
  <si>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</si>
  <si>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</si>
  <si>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</si>
  <si>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</si>
  <si>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</si>
  <si>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</si>
  <si>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</si>
  <si>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</si>
  <si>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</si>
  <si>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</si>
  <si>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</si>
  <si>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</si>
  <si>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</si>
  <si>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</si>
  <si>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</si>
  <si>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</si>
  <si>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</si>
  <si>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</si>
  <si>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</si>
  <si>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</si>
  <si>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</si>
  <si>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</si>
  <si>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</si>
  <si>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KT Monthly Factsheet (October 2024)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</si>
</sst>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27</xdr:col>
      <xdr:colOff>290945</xdr:colOff>
      <xdr:row>0</xdr:row>
      <xdr:rowOff>199465</xdr:rowOff>
    </xdr:from>
    <xdr:ext cx="733535" cy="528411"/>
    <xdr:pic>
      <xdr:nvPicPr>
        <xdr:cNvPr id="3" name="그림 2">
          <a:extLst>
            <a:ext uri="{FF2B5EF4-FFF2-40B4-BE49-F238E27FC236}">
              <a16:creationId xmlns:a16="http://schemas.microsoft.com/office/drawing/2014/main" id="{D7AFEA94-BC1E-4EB3-BDE3-C57346ACB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3573990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81</xdr:col>
      <xdr:colOff>816755</xdr:colOff>
      <xdr:row>0</xdr:row>
      <xdr:rowOff>232558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C84A780C-A810-4C9E-8BC6-A7FCA105E8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9526576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20"/>
  <sheetViews>
    <sheetView showGridLines="0" tabSelected="1" view="pageBreakPreview" zoomScale="85" zoomScaleNormal="60" zoomScaleSheetLayoutView="85" workbookViewId="0">
      <pane xSplit="1" topLeftCell="R1" activePane="topRight" state="frozen"/>
      <selection pane="topRight" activeCell="AB17" sqref="AB17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7" width="15.125" style="39" hidden="1" customWidth="1"/>
    <col min="18" max="18" width="15.125" style="39" customWidth="1"/>
    <col min="19" max="19" width="14.375" style="39" customWidth="1"/>
    <col min="20" max="20" width="13.5" style="39" customWidth="1"/>
    <col min="21" max="28" width="15" style="39" customWidth="1"/>
    <col min="29" max="29" width="10.875" style="39" bestFit="1" customWidth="1"/>
    <col min="30" max="16384" width="9" style="39"/>
  </cols>
  <sheetData>
    <row r="1" spans="1:28" s="40" customFormat="1" ht="46.5" customHeight="1">
      <c r="A1" s="1" t="s">
        <v>66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s="33" customFormat="1" ht="27.75" customHeight="1"/>
    <row r="3" spans="1:28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</row>
    <row r="4" spans="1:28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</row>
    <row r="5" spans="1:28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</row>
    <row r="6" spans="1:28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B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</row>
    <row r="7" spans="1:28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</row>
    <row r="8" spans="1:28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</row>
    <row r="9" spans="1:28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</row>
    <row r="10" spans="1:28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28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28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</row>
    <row r="13" spans="1:28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</row>
    <row r="14" spans="1:28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28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</row>
    <row r="16" spans="1:28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</row>
    <row r="17" spans="1:28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34460.549539331172</v>
      </c>
      <c r="AA17" s="35">
        <v>34507</v>
      </c>
      <c r="AB17" s="35">
        <v>34560.462943472645</v>
      </c>
    </row>
    <row r="18" spans="1:28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28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28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E24"/>
  <sheetViews>
    <sheetView showGridLines="0" view="pageBreakPreview" zoomScale="70" zoomScaleNormal="70" zoomScaleSheetLayoutView="70" workbookViewId="0">
      <pane xSplit="49" topLeftCell="BJ1" activePane="topRight" state="frozen"/>
      <selection pane="topRight" activeCell="CE22" sqref="CE22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1" width="11.125" style="2" hidden="1" customWidth="1"/>
    <col min="62" max="64" width="11.125" style="2" bestFit="1" customWidth="1"/>
    <col min="65" max="65" width="10.875" style="2" bestFit="1" customWidth="1"/>
    <col min="66" max="71" width="11" style="2" customWidth="1"/>
    <col min="72" max="74" width="11.125" style="2" customWidth="1"/>
    <col min="75" max="79" width="10.875" style="2" bestFit="1" customWidth="1"/>
    <col min="80" max="80" width="11.5" style="2" bestFit="1" customWidth="1"/>
    <col min="81" max="83" width="11.5" style="2" customWidth="1"/>
    <col min="84" max="16384" width="9" style="2"/>
  </cols>
  <sheetData>
    <row r="1" spans="1:83" ht="44.25" customHeight="1">
      <c r="A1" s="1" t="s">
        <v>66</v>
      </c>
    </row>
    <row r="2" spans="1:83" ht="29.25" customHeight="1">
      <c r="A2" s="2"/>
    </row>
    <row r="3" spans="1:83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</row>
    <row r="4" spans="1:83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E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</row>
    <row r="5" spans="1:83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</row>
    <row r="6" spans="1:83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E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</row>
    <row r="7" spans="1:83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</row>
    <row r="8" spans="1:83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E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</row>
    <row r="9" spans="1:83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</row>
    <row r="10" spans="1:83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</row>
    <row r="11" spans="1:83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</row>
    <row r="12" spans="1:83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E12" si="8">BI11-BH11</f>
        <v>1257</v>
      </c>
      <c r="BJ12" s="12">
        <f t="shared" si="8"/>
        <v>436</v>
      </c>
      <c r="BK12" s="12">
        <f t="shared" si="8"/>
        <v>2903</v>
      </c>
      <c r="BL12" s="12">
        <f t="shared" si="8"/>
        <v>10421</v>
      </c>
      <c r="BM12" s="12">
        <f t="shared" si="8"/>
        <v>1553</v>
      </c>
      <c r="BN12" s="12">
        <f t="shared" si="8"/>
        <v>-1120</v>
      </c>
      <c r="BO12" s="12">
        <f t="shared" si="8"/>
        <v>887</v>
      </c>
      <c r="BP12" s="12">
        <f t="shared" si="8"/>
        <v>438</v>
      </c>
      <c r="BQ12" s="12">
        <f t="shared" si="8"/>
        <v>392</v>
      </c>
      <c r="BR12" s="12">
        <f t="shared" si="8"/>
        <v>3035</v>
      </c>
      <c r="BS12" s="12">
        <f t="shared" si="8"/>
        <v>-1075</v>
      </c>
      <c r="BT12" s="12">
        <f t="shared" si="8"/>
        <v>-240</v>
      </c>
      <c r="BU12" s="12">
        <f t="shared" si="8"/>
        <v>-8459</v>
      </c>
      <c r="BV12" s="12">
        <f t="shared" si="8"/>
        <v>106</v>
      </c>
      <c r="BW12" s="12">
        <f t="shared" si="8"/>
        <v>12414</v>
      </c>
      <c r="BX12" s="12">
        <f t="shared" si="8"/>
        <v>2319</v>
      </c>
      <c r="BY12" s="12">
        <f t="shared" si="8"/>
        <v>-1446</v>
      </c>
      <c r="BZ12" s="12">
        <f t="shared" si="8"/>
        <v>-6974</v>
      </c>
      <c r="CA12" s="12">
        <f t="shared" si="8"/>
        <v>1111</v>
      </c>
      <c r="CB12" s="12">
        <f t="shared" si="8"/>
        <v>-597</v>
      </c>
      <c r="CC12" s="12">
        <f t="shared" si="8"/>
        <v>328</v>
      </c>
      <c r="CD12" s="12">
        <f t="shared" si="8"/>
        <v>-476</v>
      </c>
      <c r="CE12" s="12">
        <f t="shared" si="8"/>
        <v>-2082</v>
      </c>
    </row>
    <row r="13" spans="1:83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83" s="37" customFormat="1" ht="15" customHeight="1">
      <c r="A14" s="41"/>
      <c r="BB14" s="18"/>
      <c r="BC14" s="18"/>
      <c r="BD14" s="18"/>
      <c r="BE14" s="18"/>
      <c r="BF14" s="18"/>
      <c r="BG14" s="18"/>
    </row>
    <row r="15" spans="1:83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83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E16" si="9">EDATE(BK16,1)</f>
        <v>44986</v>
      </c>
      <c r="BM16" s="7">
        <f t="shared" si="9"/>
        <v>45017</v>
      </c>
      <c r="BN16" s="7">
        <f t="shared" si="9"/>
        <v>45047</v>
      </c>
      <c r="BO16" s="7">
        <f t="shared" si="9"/>
        <v>45078</v>
      </c>
      <c r="BP16" s="7">
        <f t="shared" si="9"/>
        <v>45108</v>
      </c>
      <c r="BQ16" s="7">
        <f t="shared" si="9"/>
        <v>45139</v>
      </c>
      <c r="BR16" s="7">
        <f t="shared" si="9"/>
        <v>45170</v>
      </c>
      <c r="BS16" s="7">
        <f t="shared" si="9"/>
        <v>45200</v>
      </c>
      <c r="BT16" s="7">
        <f t="shared" si="9"/>
        <v>45231</v>
      </c>
      <c r="BU16" s="7">
        <f t="shared" si="9"/>
        <v>45261</v>
      </c>
      <c r="BV16" s="28">
        <f t="shared" si="9"/>
        <v>45292</v>
      </c>
      <c r="BW16" s="28">
        <f t="shared" si="9"/>
        <v>45323</v>
      </c>
      <c r="BX16" s="28">
        <f t="shared" si="9"/>
        <v>45352</v>
      </c>
      <c r="BY16" s="28">
        <f t="shared" si="9"/>
        <v>45383</v>
      </c>
      <c r="BZ16" s="28">
        <f t="shared" si="9"/>
        <v>45413</v>
      </c>
      <c r="CA16" s="28">
        <f t="shared" si="9"/>
        <v>45444</v>
      </c>
      <c r="CB16" s="28">
        <f t="shared" si="9"/>
        <v>45474</v>
      </c>
      <c r="CC16" s="28">
        <f t="shared" si="9"/>
        <v>45505</v>
      </c>
      <c r="CD16" s="28">
        <f t="shared" si="9"/>
        <v>45536</v>
      </c>
      <c r="CE16" s="28">
        <f t="shared" si="9"/>
        <v>45566</v>
      </c>
    </row>
    <row r="17" spans="1:83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</row>
    <row r="18" spans="1:83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E18" si="10">BI17-BH17</f>
        <v>7508</v>
      </c>
      <c r="BJ18" s="12">
        <f t="shared" si="10"/>
        <v>11056</v>
      </c>
      <c r="BK18" s="12">
        <f t="shared" si="10"/>
        <v>18245</v>
      </c>
      <c r="BL18" s="12">
        <f t="shared" si="10"/>
        <v>17766</v>
      </c>
      <c r="BM18" s="12">
        <f t="shared" si="10"/>
        <v>14046</v>
      </c>
      <c r="BN18" s="12">
        <f t="shared" si="10"/>
        <v>11529</v>
      </c>
      <c r="BO18" s="12">
        <f t="shared" si="10"/>
        <v>12676</v>
      </c>
      <c r="BP18" s="12">
        <f t="shared" si="10"/>
        <v>5456</v>
      </c>
      <c r="BQ18" s="12">
        <f t="shared" si="10"/>
        <v>-18440</v>
      </c>
      <c r="BR18" s="12">
        <f t="shared" si="10"/>
        <v>11366</v>
      </c>
      <c r="BS18" s="12">
        <f t="shared" si="10"/>
        <v>6109</v>
      </c>
      <c r="BT18" s="12">
        <f t="shared" si="10"/>
        <v>7598</v>
      </c>
      <c r="BU18" s="12">
        <f t="shared" si="10"/>
        <v>3098</v>
      </c>
      <c r="BV18" s="12">
        <f t="shared" si="10"/>
        <v>7546</v>
      </c>
      <c r="BW18" s="12">
        <f t="shared" si="10"/>
        <v>8546</v>
      </c>
      <c r="BX18" s="12">
        <f t="shared" si="10"/>
        <v>18567</v>
      </c>
      <c r="BY18" s="12">
        <f t="shared" si="10"/>
        <v>11502</v>
      </c>
      <c r="BZ18" s="12">
        <f t="shared" si="10"/>
        <v>13235</v>
      </c>
      <c r="CA18" s="12">
        <f t="shared" si="10"/>
        <v>12278</v>
      </c>
      <c r="CB18" s="12">
        <f t="shared" si="10"/>
        <v>8204</v>
      </c>
      <c r="CC18" s="12">
        <f t="shared" si="10"/>
        <v>11419</v>
      </c>
      <c r="CD18" s="12">
        <f t="shared" si="10"/>
        <v>9617</v>
      </c>
      <c r="CE18" s="12">
        <f t="shared" si="10"/>
        <v>10488</v>
      </c>
    </row>
    <row r="19" spans="1:83" s="37" customFormat="1" ht="15" customHeight="1">
      <c r="A19" s="41"/>
    </row>
    <row r="20" spans="1:83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83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E21" si="11">EDATE(BK21,1)</f>
        <v>44986</v>
      </c>
      <c r="BM21" s="7">
        <f t="shared" si="11"/>
        <v>45017</v>
      </c>
      <c r="BN21" s="7">
        <f t="shared" si="11"/>
        <v>45047</v>
      </c>
      <c r="BO21" s="7">
        <f t="shared" si="11"/>
        <v>45078</v>
      </c>
      <c r="BP21" s="7">
        <f t="shared" si="11"/>
        <v>45108</v>
      </c>
      <c r="BQ21" s="7">
        <f t="shared" si="11"/>
        <v>45139</v>
      </c>
      <c r="BR21" s="7">
        <f t="shared" si="11"/>
        <v>45170</v>
      </c>
      <c r="BS21" s="7">
        <f t="shared" si="11"/>
        <v>45200</v>
      </c>
      <c r="BT21" s="7">
        <f t="shared" si="11"/>
        <v>45231</v>
      </c>
      <c r="BU21" s="7">
        <f t="shared" si="11"/>
        <v>45261</v>
      </c>
      <c r="BV21" s="28">
        <f t="shared" si="11"/>
        <v>45292</v>
      </c>
      <c r="BW21" s="28">
        <f t="shared" si="11"/>
        <v>45323</v>
      </c>
      <c r="BX21" s="28">
        <f t="shared" si="11"/>
        <v>45352</v>
      </c>
      <c r="BY21" s="28">
        <f t="shared" si="11"/>
        <v>45383</v>
      </c>
      <c r="BZ21" s="28">
        <f t="shared" si="11"/>
        <v>45413</v>
      </c>
      <c r="CA21" s="28">
        <f t="shared" si="11"/>
        <v>45444</v>
      </c>
      <c r="CB21" s="28">
        <f t="shared" si="11"/>
        <v>45474</v>
      </c>
      <c r="CC21" s="28">
        <f t="shared" si="11"/>
        <v>45505</v>
      </c>
      <c r="CD21" s="28">
        <f t="shared" si="11"/>
        <v>45536</v>
      </c>
      <c r="CE21" s="28">
        <f t="shared" si="11"/>
        <v>45566</v>
      </c>
    </row>
    <row r="22" spans="1:83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</row>
    <row r="23" spans="1:83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2">BI22-BH22</f>
        <v>-2469</v>
      </c>
      <c r="BJ23" s="12">
        <f t="shared" si="12"/>
        <v>3911</v>
      </c>
      <c r="BK23" s="12">
        <f t="shared" si="12"/>
        <v>7254</v>
      </c>
      <c r="BL23" s="12">
        <f t="shared" si="12"/>
        <v>7846</v>
      </c>
      <c r="BM23" s="12">
        <f t="shared" si="12"/>
        <v>9409</v>
      </c>
      <c r="BN23" s="12">
        <f t="shared" si="12"/>
        <v>3241</v>
      </c>
      <c r="BO23" s="12">
        <f t="shared" si="12"/>
        <v>6507</v>
      </c>
      <c r="BP23" s="12">
        <f t="shared" si="12"/>
        <v>-6637</v>
      </c>
      <c r="BQ23" s="12">
        <f t="shared" si="12"/>
        <v>-32993</v>
      </c>
      <c r="BR23" s="12">
        <f t="shared" si="12"/>
        <v>-960</v>
      </c>
      <c r="BS23" s="12">
        <f t="shared" si="12"/>
        <v>-10630</v>
      </c>
      <c r="BT23" s="12">
        <f t="shared" ref="BT23:CE23" si="13">BT22-BS22</f>
        <v>-5128</v>
      </c>
      <c r="BU23" s="12">
        <f t="shared" si="13"/>
        <v>-5296</v>
      </c>
      <c r="BV23" s="12">
        <f t="shared" si="13"/>
        <v>2945</v>
      </c>
      <c r="BW23" s="12">
        <f t="shared" si="13"/>
        <v>575</v>
      </c>
      <c r="BX23" s="12">
        <f t="shared" si="13"/>
        <v>5658</v>
      </c>
      <c r="BY23" s="12">
        <f t="shared" si="13"/>
        <v>-2714</v>
      </c>
      <c r="BZ23" s="12">
        <f t="shared" si="13"/>
        <v>-1179</v>
      </c>
      <c r="CA23" s="12">
        <f t="shared" si="13"/>
        <v>8824</v>
      </c>
      <c r="CB23" s="12">
        <f t="shared" si="13"/>
        <v>5357</v>
      </c>
      <c r="CC23" s="12">
        <f t="shared" si="13"/>
        <v>7962</v>
      </c>
      <c r="CD23" s="12">
        <f t="shared" si="13"/>
        <v>4368</v>
      </c>
      <c r="CE23" s="12">
        <f t="shared" si="13"/>
        <v>2013</v>
      </c>
    </row>
    <row r="24" spans="1:83" s="37" customFormat="1" ht="15" customHeight="1">
      <c r="A24" s="41"/>
    </row>
  </sheetData>
  <phoneticPr fontId="2" type="noConversion"/>
  <pageMargins left="0.7" right="0.7" top="0.75" bottom="0.75" header="0.3" footer="0.3"/>
  <pageSetup paperSize="9" scale="43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15e0bb73-641f-422d-8877-c43ac3ae43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2025-05-07T05:54:41Z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2025-05-07T05:52:59Z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